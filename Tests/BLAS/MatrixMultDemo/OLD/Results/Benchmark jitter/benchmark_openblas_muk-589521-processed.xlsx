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812"/>
  <workbookPr/>
  <mc:AlternateContent xmlns:mc="http://schemas.openxmlformats.org/markup-compatibility/2006">
    <mc:Choice Requires="x15">
      <x15ac:absPath xmlns:x15ac="http://schemas.microsoft.com/office/spreadsheetml/2010/11/ac" url="/Users/KLust/Projects/TestProgramsCluster-WS/DemoPrograms/Results/Benchmark jitter/"/>
    </mc:Choice>
  </mc:AlternateContent>
  <bookViews>
    <workbookView xWindow="5020" yWindow="560" windowWidth="38640" windowHeight="25840" tabRatio="987"/>
  </bookViews>
  <sheets>
    <sheet name="data" sheetId="1" r:id="rId1"/>
    <sheet name="verwerking" sheetId="2" r:id="rId2"/>
  </sheets>
  <definedNames>
    <definedName name="datatable">verwerking!$A$5:$K$40</definedName>
  </definedNames>
  <calcPr calcId="150001" concurrentCalc="0"/>
  <extLs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P7" i="2" l="1"/>
  <c r="D7" i="2"/>
  <c r="F116" i="2"/>
  <c r="I116" i="2"/>
  <c r="P6" i="2"/>
  <c r="D6" i="2"/>
  <c r="E116" i="2"/>
  <c r="H116" i="2"/>
  <c r="P5" i="2"/>
  <c r="D5" i="2"/>
  <c r="D116" i="2"/>
  <c r="G116" i="2"/>
  <c r="N38" i="2"/>
  <c r="B38" i="2"/>
  <c r="B128" i="2"/>
  <c r="O38" i="2"/>
  <c r="C38" i="2"/>
  <c r="C128" i="2"/>
  <c r="P128" i="2"/>
  <c r="N5" i="2"/>
  <c r="O5" i="2"/>
  <c r="A5" i="2"/>
  <c r="N6" i="2"/>
  <c r="O6" i="2"/>
  <c r="A6" i="2"/>
  <c r="N7" i="2"/>
  <c r="O7" i="2"/>
  <c r="A7" i="2"/>
  <c r="B5" i="2"/>
  <c r="C5" i="2"/>
  <c r="E5" i="2"/>
  <c r="F5" i="2"/>
  <c r="G5" i="2"/>
  <c r="H5" i="2"/>
  <c r="I5" i="2"/>
  <c r="J5" i="2"/>
  <c r="K5" i="2"/>
  <c r="B6" i="2"/>
  <c r="C6" i="2"/>
  <c r="E6" i="2"/>
  <c r="F6" i="2"/>
  <c r="G6" i="2"/>
  <c r="H6" i="2"/>
  <c r="I6" i="2"/>
  <c r="J6" i="2"/>
  <c r="K6" i="2"/>
  <c r="B7" i="2"/>
  <c r="C7" i="2"/>
  <c r="E7" i="2"/>
  <c r="F7" i="2"/>
  <c r="G7" i="2"/>
  <c r="H7" i="2"/>
  <c r="I7" i="2"/>
  <c r="J7" i="2"/>
  <c r="K7" i="2"/>
  <c r="N8" i="2"/>
  <c r="O8" i="2"/>
  <c r="P8" i="2"/>
  <c r="A8" i="2"/>
  <c r="B8" i="2"/>
  <c r="C8" i="2"/>
  <c r="D8" i="2"/>
  <c r="E8" i="2"/>
  <c r="F8" i="2"/>
  <c r="G8" i="2"/>
  <c r="H8" i="2"/>
  <c r="I8" i="2"/>
  <c r="J8" i="2"/>
  <c r="K8" i="2"/>
  <c r="N9" i="2"/>
  <c r="O9" i="2"/>
  <c r="P9" i="2"/>
  <c r="A9" i="2"/>
  <c r="B9" i="2"/>
  <c r="C9" i="2"/>
  <c r="D9" i="2"/>
  <c r="E9" i="2"/>
  <c r="F9" i="2"/>
  <c r="G9" i="2"/>
  <c r="H9" i="2"/>
  <c r="I9" i="2"/>
  <c r="J9" i="2"/>
  <c r="K9" i="2"/>
  <c r="N10" i="2"/>
  <c r="O10" i="2"/>
  <c r="P10" i="2"/>
  <c r="A10" i="2"/>
  <c r="B10" i="2"/>
  <c r="C10" i="2"/>
  <c r="D10" i="2"/>
  <c r="E10" i="2"/>
  <c r="F10" i="2"/>
  <c r="G10" i="2"/>
  <c r="H10" i="2"/>
  <c r="I10" i="2"/>
  <c r="J10" i="2"/>
  <c r="K10" i="2"/>
  <c r="N11" i="2"/>
  <c r="O11" i="2"/>
  <c r="P11" i="2"/>
  <c r="A11" i="2"/>
  <c r="B11" i="2"/>
  <c r="C11" i="2"/>
  <c r="D11" i="2"/>
  <c r="E11" i="2"/>
  <c r="F11" i="2"/>
  <c r="G11" i="2"/>
  <c r="H11" i="2"/>
  <c r="I11" i="2"/>
  <c r="J11" i="2"/>
  <c r="K11" i="2"/>
  <c r="N12" i="2"/>
  <c r="O12" i="2"/>
  <c r="P12" i="2"/>
  <c r="A12" i="2"/>
  <c r="B12" i="2"/>
  <c r="C12" i="2"/>
  <c r="D12" i="2"/>
  <c r="E12" i="2"/>
  <c r="F12" i="2"/>
  <c r="G12" i="2"/>
  <c r="H12" i="2"/>
  <c r="I12" i="2"/>
  <c r="J12" i="2"/>
  <c r="K12" i="2"/>
  <c r="N13" i="2"/>
  <c r="O13" i="2"/>
  <c r="P13" i="2"/>
  <c r="A13" i="2"/>
  <c r="B13" i="2"/>
  <c r="C13" i="2"/>
  <c r="D13" i="2"/>
  <c r="E13" i="2"/>
  <c r="F13" i="2"/>
  <c r="G13" i="2"/>
  <c r="H13" i="2"/>
  <c r="I13" i="2"/>
  <c r="J13" i="2"/>
  <c r="K13" i="2"/>
  <c r="N14" i="2"/>
  <c r="O14" i="2"/>
  <c r="P14" i="2"/>
  <c r="A14" i="2"/>
  <c r="B14" i="2"/>
  <c r="C14" i="2"/>
  <c r="D14" i="2"/>
  <c r="E14" i="2"/>
  <c r="F14" i="2"/>
  <c r="G14" i="2"/>
  <c r="H14" i="2"/>
  <c r="I14" i="2"/>
  <c r="J14" i="2"/>
  <c r="K14" i="2"/>
  <c r="N15" i="2"/>
  <c r="O15" i="2"/>
  <c r="P15" i="2"/>
  <c r="A15" i="2"/>
  <c r="B15" i="2"/>
  <c r="C15" i="2"/>
  <c r="D15" i="2"/>
  <c r="E15" i="2"/>
  <c r="F15" i="2"/>
  <c r="G15" i="2"/>
  <c r="H15" i="2"/>
  <c r="I15" i="2"/>
  <c r="J15" i="2"/>
  <c r="K15" i="2"/>
  <c r="N16" i="2"/>
  <c r="O16" i="2"/>
  <c r="P16" i="2"/>
  <c r="A16" i="2"/>
  <c r="B16" i="2"/>
  <c r="C16" i="2"/>
  <c r="D16" i="2"/>
  <c r="E16" i="2"/>
  <c r="F16" i="2"/>
  <c r="G16" i="2"/>
  <c r="H16" i="2"/>
  <c r="I16" i="2"/>
  <c r="J16" i="2"/>
  <c r="K16" i="2"/>
  <c r="N17" i="2"/>
  <c r="O17" i="2"/>
  <c r="P17" i="2"/>
  <c r="A17" i="2"/>
  <c r="B17" i="2"/>
  <c r="C17" i="2"/>
  <c r="D17" i="2"/>
  <c r="E17" i="2"/>
  <c r="F17" i="2"/>
  <c r="G17" i="2"/>
  <c r="H17" i="2"/>
  <c r="I17" i="2"/>
  <c r="J17" i="2"/>
  <c r="K17" i="2"/>
  <c r="N18" i="2"/>
  <c r="O18" i="2"/>
  <c r="P18" i="2"/>
  <c r="A18" i="2"/>
  <c r="B18" i="2"/>
  <c r="C18" i="2"/>
  <c r="D18" i="2"/>
  <c r="E18" i="2"/>
  <c r="F18" i="2"/>
  <c r="G18" i="2"/>
  <c r="H18" i="2"/>
  <c r="I18" i="2"/>
  <c r="J18" i="2"/>
  <c r="K18" i="2"/>
  <c r="N19" i="2"/>
  <c r="O19" i="2"/>
  <c r="P19" i="2"/>
  <c r="A19" i="2"/>
  <c r="B19" i="2"/>
  <c r="C19" i="2"/>
  <c r="D19" i="2"/>
  <c r="E19" i="2"/>
  <c r="F19" i="2"/>
  <c r="G19" i="2"/>
  <c r="H19" i="2"/>
  <c r="I19" i="2"/>
  <c r="J19" i="2"/>
  <c r="K19" i="2"/>
  <c r="N20" i="2"/>
  <c r="O20" i="2"/>
  <c r="P20" i="2"/>
  <c r="A20" i="2"/>
  <c r="B20" i="2"/>
  <c r="C20" i="2"/>
  <c r="D20" i="2"/>
  <c r="E20" i="2"/>
  <c r="F20" i="2"/>
  <c r="G20" i="2"/>
  <c r="H20" i="2"/>
  <c r="I20" i="2"/>
  <c r="J20" i="2"/>
  <c r="K20" i="2"/>
  <c r="N21" i="2"/>
  <c r="O21" i="2"/>
  <c r="P21" i="2"/>
  <c r="A21" i="2"/>
  <c r="B21" i="2"/>
  <c r="C21" i="2"/>
  <c r="D21" i="2"/>
  <c r="E21" i="2"/>
  <c r="F21" i="2"/>
  <c r="G21" i="2"/>
  <c r="H21" i="2"/>
  <c r="I21" i="2"/>
  <c r="J21" i="2"/>
  <c r="K21" i="2"/>
  <c r="N22" i="2"/>
  <c r="O22" i="2"/>
  <c r="P22" i="2"/>
  <c r="A22" i="2"/>
  <c r="B22" i="2"/>
  <c r="C22" i="2"/>
  <c r="D22" i="2"/>
  <c r="E22" i="2"/>
  <c r="F22" i="2"/>
  <c r="G22" i="2"/>
  <c r="H22" i="2"/>
  <c r="I22" i="2"/>
  <c r="J22" i="2"/>
  <c r="K22" i="2"/>
  <c r="N23" i="2"/>
  <c r="O23" i="2"/>
  <c r="P23" i="2"/>
  <c r="A23" i="2"/>
  <c r="B23" i="2"/>
  <c r="C23" i="2"/>
  <c r="D23" i="2"/>
  <c r="E23" i="2"/>
  <c r="F23" i="2"/>
  <c r="G23" i="2"/>
  <c r="H23" i="2"/>
  <c r="I23" i="2"/>
  <c r="J23" i="2"/>
  <c r="K23" i="2"/>
  <c r="N24" i="2"/>
  <c r="O24" i="2"/>
  <c r="P24" i="2"/>
  <c r="A24" i="2"/>
  <c r="B24" i="2"/>
  <c r="C24" i="2"/>
  <c r="D24" i="2"/>
  <c r="E24" i="2"/>
  <c r="F24" i="2"/>
  <c r="G24" i="2"/>
  <c r="H24" i="2"/>
  <c r="I24" i="2"/>
  <c r="J24" i="2"/>
  <c r="K24" i="2"/>
  <c r="N25" i="2"/>
  <c r="O25" i="2"/>
  <c r="P25" i="2"/>
  <c r="A25" i="2"/>
  <c r="B25" i="2"/>
  <c r="C25" i="2"/>
  <c r="D25" i="2"/>
  <c r="E25" i="2"/>
  <c r="F25" i="2"/>
  <c r="G25" i="2"/>
  <c r="H25" i="2"/>
  <c r="I25" i="2"/>
  <c r="J25" i="2"/>
  <c r="K25" i="2"/>
  <c r="N26" i="2"/>
  <c r="O26" i="2"/>
  <c r="P26" i="2"/>
  <c r="A26" i="2"/>
  <c r="B26" i="2"/>
  <c r="C26" i="2"/>
  <c r="D26" i="2"/>
  <c r="E26" i="2"/>
  <c r="F26" i="2"/>
  <c r="G26" i="2"/>
  <c r="H26" i="2"/>
  <c r="I26" i="2"/>
  <c r="J26" i="2"/>
  <c r="K26" i="2"/>
  <c r="N27" i="2"/>
  <c r="O27" i="2"/>
  <c r="P27" i="2"/>
  <c r="A27" i="2"/>
  <c r="B27" i="2"/>
  <c r="C27" i="2"/>
  <c r="D27" i="2"/>
  <c r="E27" i="2"/>
  <c r="F27" i="2"/>
  <c r="G27" i="2"/>
  <c r="H27" i="2"/>
  <c r="I27" i="2"/>
  <c r="J27" i="2"/>
  <c r="K27" i="2"/>
  <c r="N28" i="2"/>
  <c r="O28" i="2"/>
  <c r="P28" i="2"/>
  <c r="A28" i="2"/>
  <c r="B28" i="2"/>
  <c r="C28" i="2"/>
  <c r="D28" i="2"/>
  <c r="E28" i="2"/>
  <c r="F28" i="2"/>
  <c r="G28" i="2"/>
  <c r="H28" i="2"/>
  <c r="I28" i="2"/>
  <c r="J28" i="2"/>
  <c r="K28" i="2"/>
  <c r="N29" i="2"/>
  <c r="O29" i="2"/>
  <c r="P29" i="2"/>
  <c r="A29" i="2"/>
  <c r="B29" i="2"/>
  <c r="C29" i="2"/>
  <c r="D29" i="2"/>
  <c r="E29" i="2"/>
  <c r="F29" i="2"/>
  <c r="G29" i="2"/>
  <c r="H29" i="2"/>
  <c r="I29" i="2"/>
  <c r="J29" i="2"/>
  <c r="K29" i="2"/>
  <c r="N30" i="2"/>
  <c r="O30" i="2"/>
  <c r="P30" i="2"/>
  <c r="A30" i="2"/>
  <c r="B30" i="2"/>
  <c r="C30" i="2"/>
  <c r="D30" i="2"/>
  <c r="E30" i="2"/>
  <c r="F30" i="2"/>
  <c r="G30" i="2"/>
  <c r="H30" i="2"/>
  <c r="I30" i="2"/>
  <c r="J30" i="2"/>
  <c r="K30" i="2"/>
  <c r="N31" i="2"/>
  <c r="O31" i="2"/>
  <c r="P31" i="2"/>
  <c r="A31" i="2"/>
  <c r="B31" i="2"/>
  <c r="C31" i="2"/>
  <c r="D31" i="2"/>
  <c r="E31" i="2"/>
  <c r="F31" i="2"/>
  <c r="G31" i="2"/>
  <c r="H31" i="2"/>
  <c r="I31" i="2"/>
  <c r="J31" i="2"/>
  <c r="K31" i="2"/>
  <c r="N32" i="2"/>
  <c r="O32" i="2"/>
  <c r="P32" i="2"/>
  <c r="A32" i="2"/>
  <c r="B32" i="2"/>
  <c r="C32" i="2"/>
  <c r="D32" i="2"/>
  <c r="E32" i="2"/>
  <c r="F32" i="2"/>
  <c r="G32" i="2"/>
  <c r="H32" i="2"/>
  <c r="I32" i="2"/>
  <c r="J32" i="2"/>
  <c r="K32" i="2"/>
  <c r="N33" i="2"/>
  <c r="O33" i="2"/>
  <c r="P33" i="2"/>
  <c r="A33" i="2"/>
  <c r="B33" i="2"/>
  <c r="C33" i="2"/>
  <c r="D33" i="2"/>
  <c r="E33" i="2"/>
  <c r="F33" i="2"/>
  <c r="G33" i="2"/>
  <c r="H33" i="2"/>
  <c r="I33" i="2"/>
  <c r="J33" i="2"/>
  <c r="K33" i="2"/>
  <c r="N34" i="2"/>
  <c r="O34" i="2"/>
  <c r="P34" i="2"/>
  <c r="A34" i="2"/>
  <c r="B34" i="2"/>
  <c r="C34" i="2"/>
  <c r="D34" i="2"/>
  <c r="E34" i="2"/>
  <c r="F34" i="2"/>
  <c r="G34" i="2"/>
  <c r="H34" i="2"/>
  <c r="I34" i="2"/>
  <c r="J34" i="2"/>
  <c r="K34" i="2"/>
  <c r="N35" i="2"/>
  <c r="O35" i="2"/>
  <c r="P35" i="2"/>
  <c r="A35" i="2"/>
  <c r="B35" i="2"/>
  <c r="C35" i="2"/>
  <c r="D35" i="2"/>
  <c r="E35" i="2"/>
  <c r="F35" i="2"/>
  <c r="G35" i="2"/>
  <c r="H35" i="2"/>
  <c r="I35" i="2"/>
  <c r="J35" i="2"/>
  <c r="K35" i="2"/>
  <c r="N36" i="2"/>
  <c r="O36" i="2"/>
  <c r="P36" i="2"/>
  <c r="A36" i="2"/>
  <c r="B36" i="2"/>
  <c r="C36" i="2"/>
  <c r="D36" i="2"/>
  <c r="E36" i="2"/>
  <c r="F36" i="2"/>
  <c r="G36" i="2"/>
  <c r="H36" i="2"/>
  <c r="I36" i="2"/>
  <c r="J36" i="2"/>
  <c r="K36" i="2"/>
  <c r="N37" i="2"/>
  <c r="O37" i="2"/>
  <c r="P37" i="2"/>
  <c r="A37" i="2"/>
  <c r="B37" i="2"/>
  <c r="C37" i="2"/>
  <c r="D37" i="2"/>
  <c r="E37" i="2"/>
  <c r="F37" i="2"/>
  <c r="G37" i="2"/>
  <c r="H37" i="2"/>
  <c r="I37" i="2"/>
  <c r="J37" i="2"/>
  <c r="K37" i="2"/>
  <c r="P38" i="2"/>
  <c r="A38" i="2"/>
  <c r="D38" i="2"/>
  <c r="E38" i="2"/>
  <c r="F38" i="2"/>
  <c r="G38" i="2"/>
  <c r="H38" i="2"/>
  <c r="I38" i="2"/>
  <c r="J38" i="2"/>
  <c r="K38" i="2"/>
  <c r="N39" i="2"/>
  <c r="O39" i="2"/>
  <c r="P39" i="2"/>
  <c r="A39" i="2"/>
  <c r="B39" i="2"/>
  <c r="C39" i="2"/>
  <c r="D39" i="2"/>
  <c r="E39" i="2"/>
  <c r="F39" i="2"/>
  <c r="G39" i="2"/>
  <c r="H39" i="2"/>
  <c r="I39" i="2"/>
  <c r="J39" i="2"/>
  <c r="K39" i="2"/>
  <c r="N40" i="2"/>
  <c r="O40" i="2"/>
  <c r="P40" i="2"/>
  <c r="A40" i="2"/>
  <c r="B40" i="2"/>
  <c r="C40" i="2"/>
  <c r="D40" i="2"/>
  <c r="E40" i="2"/>
  <c r="F40" i="2"/>
  <c r="G40" i="2"/>
  <c r="H40" i="2"/>
  <c r="I40" i="2"/>
  <c r="J40" i="2"/>
  <c r="K40" i="2"/>
  <c r="F128" i="2"/>
  <c r="O128" i="2"/>
  <c r="E128" i="2"/>
  <c r="N128" i="2"/>
  <c r="D128" i="2"/>
  <c r="B127" i="2"/>
  <c r="C127" i="2"/>
  <c r="P127" i="2"/>
  <c r="F127" i="2"/>
  <c r="O127" i="2"/>
  <c r="E127" i="2"/>
  <c r="N127" i="2"/>
  <c r="D127" i="2"/>
  <c r="B126" i="2"/>
  <c r="C126" i="2"/>
  <c r="P126" i="2"/>
  <c r="F126" i="2"/>
  <c r="O126" i="2"/>
  <c r="E126" i="2"/>
  <c r="N126" i="2"/>
  <c r="D126" i="2"/>
  <c r="B125" i="2"/>
  <c r="C125" i="2"/>
  <c r="P125" i="2"/>
  <c r="F125" i="2"/>
  <c r="O125" i="2"/>
  <c r="E125" i="2"/>
  <c r="N125" i="2"/>
  <c r="D125" i="2"/>
  <c r="B124" i="2"/>
  <c r="C124" i="2"/>
  <c r="P124" i="2"/>
  <c r="F124" i="2"/>
  <c r="O124" i="2"/>
  <c r="E124" i="2"/>
  <c r="N124" i="2"/>
  <c r="D124" i="2"/>
  <c r="B123" i="2"/>
  <c r="C123" i="2"/>
  <c r="P123" i="2"/>
  <c r="F123" i="2"/>
  <c r="O123" i="2"/>
  <c r="E123" i="2"/>
  <c r="N123" i="2"/>
  <c r="D123" i="2"/>
  <c r="B122" i="2"/>
  <c r="C122" i="2"/>
  <c r="P122" i="2"/>
  <c r="F122" i="2"/>
  <c r="O122" i="2"/>
  <c r="E122" i="2"/>
  <c r="N122" i="2"/>
  <c r="D122" i="2"/>
  <c r="B121" i="2"/>
  <c r="C121" i="2"/>
  <c r="P121" i="2"/>
  <c r="F121" i="2"/>
  <c r="O121" i="2"/>
  <c r="E121" i="2"/>
  <c r="N121" i="2"/>
  <c r="D121" i="2"/>
  <c r="B120" i="2"/>
  <c r="C120" i="2"/>
  <c r="P120" i="2"/>
  <c r="F120" i="2"/>
  <c r="O120" i="2"/>
  <c r="E120" i="2"/>
  <c r="N120" i="2"/>
  <c r="D120" i="2"/>
  <c r="B119" i="2"/>
  <c r="C119" i="2"/>
  <c r="P119" i="2"/>
  <c r="F119" i="2"/>
  <c r="O119" i="2"/>
  <c r="E119" i="2"/>
  <c r="N119" i="2"/>
  <c r="D119" i="2"/>
  <c r="B118" i="2"/>
  <c r="C118" i="2"/>
  <c r="P118" i="2"/>
  <c r="F118" i="2"/>
  <c r="O118" i="2"/>
  <c r="E118" i="2"/>
  <c r="N118" i="2"/>
  <c r="D118" i="2"/>
  <c r="B117" i="2"/>
  <c r="C117" i="2"/>
  <c r="P117" i="2"/>
  <c r="F117" i="2"/>
  <c r="O117" i="2"/>
  <c r="E117" i="2"/>
  <c r="N117" i="2"/>
  <c r="D117" i="2"/>
  <c r="I128" i="2"/>
  <c r="L116" i="2"/>
  <c r="D109" i="2"/>
  <c r="L128" i="2"/>
  <c r="H128" i="2"/>
  <c r="K116" i="2"/>
  <c r="K128" i="2"/>
  <c r="G128" i="2"/>
  <c r="J116" i="2"/>
  <c r="J128" i="2"/>
  <c r="I127" i="2"/>
  <c r="L127" i="2"/>
  <c r="H127" i="2"/>
  <c r="K127" i="2"/>
  <c r="G127" i="2"/>
  <c r="J127" i="2"/>
  <c r="I126" i="2"/>
  <c r="L126" i="2"/>
  <c r="H126" i="2"/>
  <c r="K126" i="2"/>
  <c r="G126" i="2"/>
  <c r="J126" i="2"/>
  <c r="I125" i="2"/>
  <c r="L125" i="2"/>
  <c r="H125" i="2"/>
  <c r="K125" i="2"/>
  <c r="G125" i="2"/>
  <c r="J125" i="2"/>
  <c r="I124" i="2"/>
  <c r="L124" i="2"/>
  <c r="H124" i="2"/>
  <c r="K124" i="2"/>
  <c r="G124" i="2"/>
  <c r="J124" i="2"/>
  <c r="I123" i="2"/>
  <c r="L123" i="2"/>
  <c r="H123" i="2"/>
  <c r="K123" i="2"/>
  <c r="G123" i="2"/>
  <c r="J123" i="2"/>
  <c r="I122" i="2"/>
  <c r="L122" i="2"/>
  <c r="H122" i="2"/>
  <c r="K122" i="2"/>
  <c r="G122" i="2"/>
  <c r="J122" i="2"/>
  <c r="I121" i="2"/>
  <c r="L121" i="2"/>
  <c r="H121" i="2"/>
  <c r="K121" i="2"/>
  <c r="G121" i="2"/>
  <c r="J121" i="2"/>
  <c r="I120" i="2"/>
  <c r="L120" i="2"/>
  <c r="H120" i="2"/>
  <c r="K120" i="2"/>
  <c r="G120" i="2"/>
  <c r="J120" i="2"/>
  <c r="I119" i="2"/>
  <c r="L119" i="2"/>
  <c r="H119" i="2"/>
  <c r="K119" i="2"/>
  <c r="G119" i="2"/>
  <c r="J119" i="2"/>
  <c r="I118" i="2"/>
  <c r="L118" i="2"/>
  <c r="H118" i="2"/>
  <c r="K118" i="2"/>
  <c r="G118" i="2"/>
  <c r="J118" i="2"/>
  <c r="I117" i="2"/>
  <c r="L117" i="2"/>
  <c r="H117" i="2"/>
  <c r="K117" i="2"/>
  <c r="G117" i="2"/>
  <c r="J117" i="2"/>
  <c r="F48" i="2"/>
  <c r="E48" i="2"/>
  <c r="D48" i="2"/>
  <c r="D110" i="2"/>
  <c r="B60" i="2"/>
  <c r="C60" i="2"/>
  <c r="P60" i="2"/>
  <c r="O60" i="2"/>
  <c r="N60" i="2"/>
  <c r="B59" i="2"/>
  <c r="C59" i="2"/>
  <c r="P59" i="2"/>
  <c r="O59" i="2"/>
  <c r="N59" i="2"/>
  <c r="B58" i="2"/>
  <c r="C58" i="2"/>
  <c r="P58" i="2"/>
  <c r="O58" i="2"/>
  <c r="N58" i="2"/>
  <c r="B57" i="2"/>
  <c r="C57" i="2"/>
  <c r="P57" i="2"/>
  <c r="O57" i="2"/>
  <c r="N57" i="2"/>
  <c r="B56" i="2"/>
  <c r="C56" i="2"/>
  <c r="P56" i="2"/>
  <c r="O56" i="2"/>
  <c r="N56" i="2"/>
  <c r="B55" i="2"/>
  <c r="C55" i="2"/>
  <c r="P55" i="2"/>
  <c r="O55" i="2"/>
  <c r="N55" i="2"/>
  <c r="B54" i="2"/>
  <c r="C54" i="2"/>
  <c r="P54" i="2"/>
  <c r="O54" i="2"/>
  <c r="N54" i="2"/>
  <c r="B53" i="2"/>
  <c r="C53" i="2"/>
  <c r="P53" i="2"/>
  <c r="O53" i="2"/>
  <c r="N53" i="2"/>
  <c r="B52" i="2"/>
  <c r="C52" i="2"/>
  <c r="P52" i="2"/>
  <c r="O52" i="2"/>
  <c r="N52" i="2"/>
  <c r="B51" i="2"/>
  <c r="C51" i="2"/>
  <c r="P51" i="2"/>
  <c r="O51" i="2"/>
  <c r="N51" i="2"/>
  <c r="B50" i="2"/>
  <c r="C50" i="2"/>
  <c r="P50" i="2"/>
  <c r="O50" i="2"/>
  <c r="N50" i="2"/>
  <c r="B49" i="2"/>
  <c r="C49" i="2"/>
  <c r="P49" i="2"/>
  <c r="O49" i="2"/>
  <c r="N49" i="2"/>
  <c r="D49" i="2"/>
  <c r="I60" i="2"/>
  <c r="H60" i="2"/>
  <c r="G60" i="2"/>
  <c r="F60" i="2"/>
  <c r="E60" i="2"/>
  <c r="D60" i="2"/>
  <c r="I59" i="2"/>
  <c r="H59" i="2"/>
  <c r="G59" i="2"/>
  <c r="F59" i="2"/>
  <c r="E59" i="2"/>
  <c r="D59" i="2"/>
  <c r="I58" i="2"/>
  <c r="H58" i="2"/>
  <c r="G58" i="2"/>
  <c r="F58" i="2"/>
  <c r="E58" i="2"/>
  <c r="D58" i="2"/>
  <c r="I57" i="2"/>
  <c r="H57" i="2"/>
  <c r="G57" i="2"/>
  <c r="F57" i="2"/>
  <c r="E57" i="2"/>
  <c r="D57" i="2"/>
  <c r="I56" i="2"/>
  <c r="H56" i="2"/>
  <c r="G56" i="2"/>
  <c r="F56" i="2"/>
  <c r="E56" i="2"/>
  <c r="D56" i="2"/>
  <c r="I55" i="2"/>
  <c r="H55" i="2"/>
  <c r="G55" i="2"/>
  <c r="F55" i="2"/>
  <c r="E55" i="2"/>
  <c r="D55" i="2"/>
  <c r="I54" i="2"/>
  <c r="H54" i="2"/>
  <c r="G54" i="2"/>
  <c r="F54" i="2"/>
  <c r="E54" i="2"/>
  <c r="D54" i="2"/>
  <c r="I53" i="2"/>
  <c r="H53" i="2"/>
  <c r="G53" i="2"/>
  <c r="F53" i="2"/>
  <c r="E53" i="2"/>
  <c r="D53" i="2"/>
  <c r="I52" i="2"/>
  <c r="H52" i="2"/>
  <c r="G52" i="2"/>
  <c r="F52" i="2"/>
  <c r="E52" i="2"/>
  <c r="D52" i="2"/>
  <c r="I51" i="2"/>
  <c r="H51" i="2"/>
  <c r="G51" i="2"/>
  <c r="F51" i="2"/>
  <c r="E51" i="2"/>
  <c r="D51" i="2"/>
  <c r="I50" i="2"/>
  <c r="H50" i="2"/>
  <c r="G50" i="2"/>
  <c r="F50" i="2"/>
  <c r="E50" i="2"/>
  <c r="D50" i="2"/>
  <c r="I49" i="2"/>
  <c r="H49" i="2"/>
  <c r="G49" i="2"/>
  <c r="F49" i="2"/>
  <c r="E49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21" i="2"/>
  <c r="Q22" i="2"/>
  <c r="I48" i="2"/>
  <c r="H48" i="2"/>
  <c r="G48" i="2"/>
  <c r="D1" i="2"/>
  <c r="T40" i="2"/>
  <c r="S40" i="2"/>
  <c r="T39" i="2"/>
  <c r="S39" i="2"/>
  <c r="T38" i="2"/>
  <c r="S38" i="2"/>
  <c r="T37" i="2"/>
  <c r="S37" i="2"/>
  <c r="T36" i="2"/>
  <c r="S36" i="2"/>
  <c r="T35" i="2"/>
  <c r="S35" i="2"/>
  <c r="T34" i="2"/>
  <c r="S34" i="2"/>
  <c r="T33" i="2"/>
  <c r="S33" i="2"/>
  <c r="T32" i="2"/>
  <c r="S32" i="2"/>
  <c r="T31" i="2"/>
  <c r="S31" i="2"/>
  <c r="T30" i="2"/>
  <c r="S30" i="2"/>
  <c r="T29" i="2"/>
  <c r="S29" i="2"/>
  <c r="T28" i="2"/>
  <c r="S28" i="2"/>
  <c r="T27" i="2"/>
  <c r="S27" i="2"/>
  <c r="T26" i="2"/>
  <c r="S26" i="2"/>
  <c r="T25" i="2"/>
  <c r="S25" i="2"/>
  <c r="T24" i="2"/>
  <c r="S24" i="2"/>
  <c r="T23" i="2"/>
  <c r="S23" i="2"/>
  <c r="T22" i="2"/>
  <c r="S22" i="2"/>
  <c r="T21" i="2"/>
  <c r="S21" i="2"/>
  <c r="T20" i="2"/>
  <c r="S20" i="2"/>
  <c r="T19" i="2"/>
  <c r="S19" i="2"/>
  <c r="T18" i="2"/>
  <c r="S18" i="2"/>
  <c r="T17" i="2"/>
  <c r="S17" i="2"/>
  <c r="T16" i="2"/>
  <c r="S16" i="2"/>
  <c r="T15" i="2"/>
  <c r="S15" i="2"/>
  <c r="T14" i="2"/>
  <c r="S14" i="2"/>
  <c r="T13" i="2"/>
  <c r="S13" i="2"/>
  <c r="T12" i="2"/>
  <c r="S12" i="2"/>
  <c r="T11" i="2"/>
  <c r="S11" i="2"/>
  <c r="T10" i="2"/>
  <c r="S10" i="2"/>
  <c r="T9" i="2"/>
  <c r="S9" i="2"/>
  <c r="T8" i="2"/>
  <c r="S8" i="2"/>
  <c r="T7" i="2"/>
  <c r="S7" i="2"/>
  <c r="T6" i="2"/>
  <c r="S6" i="2"/>
  <c r="T5" i="2"/>
  <c r="S5" i="2"/>
</calcChain>
</file>

<file path=xl/sharedStrings.xml><?xml version="1.0" encoding="utf-8"?>
<sst xmlns="http://schemas.openxmlformats.org/spreadsheetml/2006/main" count="1354" uniqueCount="39">
  <si>
    <t>hostname:</t>
  </si>
  <si>
    <t>jobid:</t>
  </si>
  <si>
    <t>Benchmark runs OpenBLAS</t>
  </si>
  <si>
    <t>Variant</t>
  </si>
  <si>
    <t>nrows</t>
  </si>
  <si>
    <t>nthreads</t>
  </si>
  <si>
    <t>time (s)</t>
  </si>
  <si>
    <t>Gflops</t>
  </si>
  <si>
    <t>speedup</t>
  </si>
  <si>
    <t>efficiency (%)</t>
  </si>
  <si>
    <t>CPU time (s)</t>
  </si>
  <si>
    <t>OpenBLAS</t>
  </si>
  <si>
    <t>Benchmark runs Intel MKL</t>
  </si>
  <si>
    <t>IntelMKL</t>
  </si>
  <si>
    <t>Threads</t>
  </si>
  <si>
    <t>Start</t>
  </si>
  <si>
    <t>Number</t>
  </si>
  <si>
    <t>Nrows</t>
  </si>
  <si>
    <t>Check NR</t>
  </si>
  <si>
    <t>Check Th</t>
  </si>
  <si>
    <t>Time</t>
  </si>
  <si>
    <t>gemiddelde</t>
  </si>
  <si>
    <t>max</t>
  </si>
  <si>
    <t>min</t>
  </si>
  <si>
    <t>speling</t>
  </si>
  <si>
    <t>Compute node:</t>
  </si>
  <si>
    <t>Speling tijd</t>
  </si>
  <si>
    <t>Key</t>
  </si>
  <si>
    <t>Variuant</t>
  </si>
  <si>
    <t>Size</t>
  </si>
  <si>
    <t>Cores/socket</t>
  </si>
  <si>
    <t>Sockets/node</t>
  </si>
  <si>
    <t>Flops/clock/core</t>
  </si>
  <si>
    <t>Gflops/core</t>
  </si>
  <si>
    <t>Gflops/node</t>
  </si>
  <si>
    <t>Clock (GHz)</t>
  </si>
  <si>
    <t>Efficiëntie berekend op basis van de nominale kloksnelheid</t>
  </si>
  <si>
    <t>Efficientie</t>
  </si>
  <si>
    <t>node1118.muk.os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</si>
</sst>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\ &quot;thread(s)&quot;"/>
  </numFmts>
  <fonts count="3" x14ac:knownFonts="1"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74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0" fillId="0" borderId="5" xfId="0" applyBorder="1"/>
    <xf numFmtId="10" fontId="0" fillId="0" borderId="6" xfId="0" applyNumberFormat="1" applyBorder="1"/>
    <xf numFmtId="0" fontId="0" fillId="0" borderId="7" xfId="0" applyBorder="1"/>
    <xf numFmtId="0" fontId="0" fillId="0" borderId="8" xfId="0" applyBorder="1"/>
    <xf numFmtId="10" fontId="0" fillId="0" borderId="9" xfId="0" applyNumberFormat="1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0" borderId="13" xfId="0" applyBorder="1"/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7" xfId="0" applyBorder="1" applyAlignment="1">
      <alignment horizontal="right"/>
    </xf>
    <xf numFmtId="0" fontId="0" fillId="0" borderId="18" xfId="0" applyBorder="1" applyAlignment="1">
      <alignment horizontal="right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10" fontId="0" fillId="0" borderId="21" xfId="0" applyNumberFormat="1" applyBorder="1"/>
    <xf numFmtId="0" fontId="0" fillId="0" borderId="11" xfId="0" applyBorder="1"/>
    <xf numFmtId="0" fontId="0" fillId="0" borderId="12" xfId="0" applyBorder="1"/>
    <xf numFmtId="10" fontId="0" fillId="0" borderId="12" xfId="0" applyNumberFormat="1" applyBorder="1"/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right"/>
    </xf>
    <xf numFmtId="0" fontId="0" fillId="0" borderId="0" xfId="0" applyBorder="1"/>
    <xf numFmtId="0" fontId="0" fillId="0" borderId="0" xfId="0" applyAlignment="1">
      <alignment horizontal="left"/>
    </xf>
    <xf numFmtId="10" fontId="0" fillId="0" borderId="1" xfId="0" applyNumberFormat="1" applyBorder="1"/>
    <xf numFmtId="2" fontId="0" fillId="0" borderId="1" xfId="0" applyNumberFormat="1" applyBorder="1"/>
    <xf numFmtId="10" fontId="0" fillId="0" borderId="11" xfId="0" applyNumberFormat="1" applyBorder="1"/>
    <xf numFmtId="2" fontId="0" fillId="0" borderId="11" xfId="0" applyNumberFormat="1" applyBorder="1"/>
    <xf numFmtId="2" fontId="0" fillId="0" borderId="12" xfId="0" applyNumberFormat="1" applyBorder="1"/>
    <xf numFmtId="2" fontId="0" fillId="0" borderId="6" xfId="0" applyNumberFormat="1" applyBorder="1"/>
    <xf numFmtId="10" fontId="0" fillId="0" borderId="8" xfId="0" applyNumberFormat="1" applyBorder="1"/>
    <xf numFmtId="2" fontId="0" fillId="0" borderId="8" xfId="0" applyNumberFormat="1" applyBorder="1"/>
    <xf numFmtId="2" fontId="0" fillId="0" borderId="9" xfId="0" applyNumberFormat="1" applyBorder="1"/>
    <xf numFmtId="0" fontId="0" fillId="0" borderId="22" xfId="0" applyBorder="1"/>
    <xf numFmtId="0" fontId="0" fillId="0" borderId="23" xfId="0" applyBorder="1"/>
    <xf numFmtId="10" fontId="0" fillId="0" borderId="10" xfId="0" applyNumberFormat="1" applyBorder="1"/>
    <xf numFmtId="10" fontId="0" fillId="0" borderId="5" xfId="0" applyNumberFormat="1" applyBorder="1"/>
    <xf numFmtId="10" fontId="0" fillId="0" borderId="7" xfId="0" applyNumberFormat="1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0" fillId="0" borderId="28" xfId="0" applyBorder="1" applyAlignment="1">
      <alignment horizontal="right"/>
    </xf>
    <xf numFmtId="2" fontId="0" fillId="0" borderId="29" xfId="0" applyNumberFormat="1" applyBorder="1"/>
    <xf numFmtId="2" fontId="0" fillId="0" borderId="30" xfId="0" applyNumberFormat="1" applyBorder="1"/>
    <xf numFmtId="2" fontId="0" fillId="0" borderId="31" xfId="0" applyNumberFormat="1" applyBorder="1"/>
    <xf numFmtId="10" fontId="0" fillId="0" borderId="19" xfId="0" applyNumberFormat="1" applyBorder="1"/>
    <xf numFmtId="10" fontId="0" fillId="0" borderId="20" xfId="0" applyNumberFormat="1" applyBorder="1"/>
    <xf numFmtId="2" fontId="0" fillId="0" borderId="32" xfId="0" applyNumberFormat="1" applyBorder="1"/>
    <xf numFmtId="2" fontId="0" fillId="0" borderId="20" xfId="0" applyNumberFormat="1" applyBorder="1"/>
    <xf numFmtId="2" fontId="0" fillId="0" borderId="21" xfId="0" applyNumberFormat="1" applyBorder="1"/>
    <xf numFmtId="164" fontId="0" fillId="0" borderId="16" xfId="0" applyNumberFormat="1" applyBorder="1"/>
    <xf numFmtId="164" fontId="0" fillId="0" borderId="17" xfId="0" applyNumberFormat="1" applyBorder="1"/>
    <xf numFmtId="164" fontId="0" fillId="0" borderId="18" xfId="0" applyNumberFormat="1" applyBorder="1"/>
    <xf numFmtId="164" fontId="0" fillId="0" borderId="25" xfId="0" applyNumberFormat="1" applyBorder="1"/>
    <xf numFmtId="0" fontId="0" fillId="0" borderId="0" xfId="0"/>
    <xf numFmtId="0" fontId="0" fillId="0" borderId="0" xfId="0"/>
    <xf numFmtId="0" fontId="0" fillId="0" borderId="0" xfId="0"/>
    <xf numFmtId="10" fontId="0" fillId="0" borderId="29" xfId="0" applyNumberFormat="1" applyBorder="1"/>
    <xf numFmtId="10" fontId="0" fillId="0" borderId="30" xfId="0" applyNumberFormat="1" applyBorder="1"/>
    <xf numFmtId="10" fontId="0" fillId="0" borderId="31" xfId="0" applyNumberFormat="1" applyBorder="1"/>
    <xf numFmtId="10" fontId="0" fillId="0" borderId="32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9" xfId="0" applyBorder="1" applyAlignment="1">
      <alignment horizontal="center"/>
    </xf>
  </cellXfs>
  <cellStyles count="5">
    <cellStyle name="Gevolgde hyperlink" xfId="2" builtinId="9" hidden="1"/>
    <cellStyle name="Gevolgde hyperlink" xfId="4" builtinId="9" hidden="1"/>
    <cellStyle name="Hyperlink" xfId="1" builtinId="8" hidden="1"/>
    <cellStyle name="Hyperlink" xfId="3" builtinId="8" hidden="1"/>
    <cellStyle name="Stand.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_rels/chart3.xml.rels><?xml version="1.0" encoding="UTF-8" standalone="yes"?>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/Relationships>
</file>

<file path=xl/charts/_rels/chart4.xml.rels><?xml version="1.0" encoding="UTF-8" standalone="yes"?>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Speling tijd OpenBLAS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verwerking!$D$48</c:f>
              <c:strCache>
                <c:ptCount val="1"/>
                <c:pt idx="0">
                  <c:v>1 thread(s)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verwerking!$C$49:$C$54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verwerking!$D$49:$D$54</c:f>
              <c:numCache>
                <c:formatCode>0.00%</c:formatCode>
                <c:ptCount val="6"/>
                <c:pt idx="0">
                  <c:v>0.0117104679256448</c:v>
                </c:pt>
                <c:pt idx="1">
                  <c:v>6.13053127183934E-5</c:v>
                </c:pt>
                <c:pt idx="2">
                  <c:v>0.000122765664898828</c:v>
                </c:pt>
                <c:pt idx="3">
                  <c:v>0.00488547669841294</c:v>
                </c:pt>
                <c:pt idx="4">
                  <c:v>7.75124547982223E-5</c:v>
                </c:pt>
                <c:pt idx="5">
                  <c:v>0.000230207069307953</c:v>
                </c:pt>
              </c:numCache>
            </c:numRef>
          </c:val>
        </c:ser>
        <c:ser>
          <c:idx val="1"/>
          <c:order val="1"/>
          <c:tx>
            <c:strRef>
              <c:f>verwerking!$E$48</c:f>
              <c:strCache>
                <c:ptCount val="1"/>
                <c:pt idx="0">
                  <c:v>15 thread(s)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verwerking!$C$49:$C$54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verwerking!$E$49:$E$54</c:f>
              <c:numCache>
                <c:formatCode>0.00%</c:formatCode>
                <c:ptCount val="6"/>
                <c:pt idx="0">
                  <c:v>0.0483192938940518</c:v>
                </c:pt>
                <c:pt idx="1">
                  <c:v>0.0209474701901385</c:v>
                </c:pt>
                <c:pt idx="2">
                  <c:v>0.00736533708692733</c:v>
                </c:pt>
                <c:pt idx="3">
                  <c:v>0.00669913756248121</c:v>
                </c:pt>
                <c:pt idx="4">
                  <c:v>0.0242299032626289</c:v>
                </c:pt>
                <c:pt idx="5">
                  <c:v>0.0107890904058953</c:v>
                </c:pt>
              </c:numCache>
            </c:numRef>
          </c:val>
        </c:ser>
        <c:ser>
          <c:idx val="2"/>
          <c:order val="2"/>
          <c:tx>
            <c:strRef>
              <c:f>verwerking!$F$48</c:f>
              <c:strCache>
                <c:ptCount val="1"/>
                <c:pt idx="0">
                  <c:v>16 thread(s)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verwerking!$C$49:$C$54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verwerking!$F$49:$F$54</c:f>
              <c:numCache>
                <c:formatCode>0.00%</c:formatCode>
                <c:ptCount val="6"/>
                <c:pt idx="0">
                  <c:v>0.565780639045776</c:v>
                </c:pt>
                <c:pt idx="1">
                  <c:v>0.144599629144481</c:v>
                </c:pt>
                <c:pt idx="2">
                  <c:v>0.0638451586888222</c:v>
                </c:pt>
                <c:pt idx="3">
                  <c:v>0.725544079364002</c:v>
                </c:pt>
                <c:pt idx="4">
                  <c:v>0.749244550349852</c:v>
                </c:pt>
                <c:pt idx="5">
                  <c:v>0.706593219997525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2111787312"/>
        <c:axId val="-2111804640"/>
      </c:barChart>
      <c:catAx>
        <c:axId val="-211178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-2111804640"/>
        <c:crosses val="autoZero"/>
        <c:auto val="1"/>
        <c:lblAlgn val="ctr"/>
        <c:lblOffset val="100"/>
        <c:noMultiLvlLbl val="0"/>
      </c:catAx>
      <c:valAx>
        <c:axId val="-21118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-211178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Speling tijd Intel MKL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verwerking!$D$48</c:f>
              <c:strCache>
                <c:ptCount val="1"/>
                <c:pt idx="0">
                  <c:v>1 thread(s)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verwerking!$C$55:$C$60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verwerking!$D$55:$D$60</c:f>
              <c:numCache>
                <c:formatCode>0.00%</c:formatCode>
                <c:ptCount val="6"/>
                <c:pt idx="0">
                  <c:v>6.23651353947021E-5</c:v>
                </c:pt>
                <c:pt idx="1">
                  <c:v>6.1745165353546E-5</c:v>
                </c:pt>
                <c:pt idx="2">
                  <c:v>6.19870571024702E-5</c:v>
                </c:pt>
                <c:pt idx="3">
                  <c:v>1.77057307548829E-5</c:v>
                </c:pt>
                <c:pt idx="4">
                  <c:v>1.56303882099617E-5</c:v>
                </c:pt>
                <c:pt idx="5">
                  <c:v>1.96829432140725E-5</c:v>
                </c:pt>
              </c:numCache>
            </c:numRef>
          </c:val>
        </c:ser>
        <c:ser>
          <c:idx val="1"/>
          <c:order val="1"/>
          <c:tx>
            <c:strRef>
              <c:f>verwerking!$E$48</c:f>
              <c:strCache>
                <c:ptCount val="1"/>
                <c:pt idx="0">
                  <c:v>15 thread(s)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verwerking!$C$55:$C$60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verwerking!$E$55:$E$60</c:f>
              <c:numCache>
                <c:formatCode>0.00%</c:formatCode>
                <c:ptCount val="6"/>
                <c:pt idx="0">
                  <c:v>0.00241783394316474</c:v>
                </c:pt>
                <c:pt idx="1">
                  <c:v>0.0416246417879386</c:v>
                </c:pt>
                <c:pt idx="2">
                  <c:v>0.0420514897129598</c:v>
                </c:pt>
                <c:pt idx="3">
                  <c:v>0.0244184052041775</c:v>
                </c:pt>
                <c:pt idx="4">
                  <c:v>0.0223571825822467</c:v>
                </c:pt>
                <c:pt idx="5">
                  <c:v>0.0216914985696549</c:v>
                </c:pt>
              </c:numCache>
            </c:numRef>
          </c:val>
        </c:ser>
        <c:ser>
          <c:idx val="2"/>
          <c:order val="2"/>
          <c:tx>
            <c:strRef>
              <c:f>verwerking!$F$48</c:f>
              <c:strCache>
                <c:ptCount val="1"/>
                <c:pt idx="0">
                  <c:v>16 thread(s)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verwerking!$C$55:$C$60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verwerking!$F$55:$F$60</c:f>
              <c:numCache>
                <c:formatCode>0.00%</c:formatCode>
                <c:ptCount val="6"/>
                <c:pt idx="0">
                  <c:v>0.0351110951060535</c:v>
                </c:pt>
                <c:pt idx="1">
                  <c:v>0.0230525065167663</c:v>
                </c:pt>
                <c:pt idx="2">
                  <c:v>0.761411485107592</c:v>
                </c:pt>
                <c:pt idx="3">
                  <c:v>0.823952118713321</c:v>
                </c:pt>
                <c:pt idx="4">
                  <c:v>0.783675031908524</c:v>
                </c:pt>
                <c:pt idx="5">
                  <c:v>0.846434793560169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2111732784"/>
        <c:axId val="-2111729408"/>
      </c:barChart>
      <c:catAx>
        <c:axId val="-211173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-2111729408"/>
        <c:crosses val="autoZero"/>
        <c:auto val="1"/>
        <c:lblAlgn val="ctr"/>
        <c:lblOffset val="100"/>
        <c:noMultiLvlLbl val="0"/>
      </c:catAx>
      <c:valAx>
        <c:axId val="-21117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-2111732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Gflops OpenBLAS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verwerking!$G$48</c:f>
              <c:strCache>
                <c:ptCount val="1"/>
                <c:pt idx="0">
                  <c:v>1 thread(s)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verwerking!$C$49:$C$54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verwerking!$G$49:$G$54</c:f>
              <c:numCache>
                <c:formatCode>0.00</c:formatCode>
                <c:ptCount val="6"/>
                <c:pt idx="0">
                  <c:v>19.26112</c:v>
                </c:pt>
                <c:pt idx="1">
                  <c:v>19.27274000000001</c:v>
                </c:pt>
                <c:pt idx="2">
                  <c:v>19.41332</c:v>
                </c:pt>
                <c:pt idx="3">
                  <c:v>19.51466</c:v>
                </c:pt>
                <c:pt idx="4">
                  <c:v>19.4072</c:v>
                </c:pt>
                <c:pt idx="5">
                  <c:v>19.56766</c:v>
                </c:pt>
              </c:numCache>
            </c:numRef>
          </c:val>
        </c:ser>
        <c:ser>
          <c:idx val="1"/>
          <c:order val="1"/>
          <c:tx>
            <c:strRef>
              <c:f>verwerking!$H$48</c:f>
              <c:strCache>
                <c:ptCount val="1"/>
                <c:pt idx="0">
                  <c:v>15 thread(s)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verwerking!$C$49:$C$54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verwerking!$H$49:$H$54</c:f>
              <c:numCache>
                <c:formatCode>0.00</c:formatCode>
                <c:ptCount val="6"/>
                <c:pt idx="0">
                  <c:v>251.703128</c:v>
                </c:pt>
                <c:pt idx="1">
                  <c:v>253.280688</c:v>
                </c:pt>
                <c:pt idx="2">
                  <c:v>258.8231860000001</c:v>
                </c:pt>
                <c:pt idx="3">
                  <c:v>277.973326</c:v>
                </c:pt>
                <c:pt idx="4">
                  <c:v>276.542028</c:v>
                </c:pt>
                <c:pt idx="5">
                  <c:v>279.2653679999999</c:v>
                </c:pt>
              </c:numCache>
            </c:numRef>
          </c:val>
        </c:ser>
        <c:ser>
          <c:idx val="2"/>
          <c:order val="2"/>
          <c:tx>
            <c:strRef>
              <c:f>verwerking!$I$48</c:f>
              <c:strCache>
                <c:ptCount val="1"/>
                <c:pt idx="0">
                  <c:v>16 thread(s)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verwerking!$C$49:$C$54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verwerking!$I$49:$I$54</c:f>
              <c:numCache>
                <c:formatCode>0.00</c:formatCode>
                <c:ptCount val="6"/>
                <c:pt idx="0">
                  <c:v>160.7458</c:v>
                </c:pt>
                <c:pt idx="1">
                  <c:v>267.6309120000001</c:v>
                </c:pt>
                <c:pt idx="2">
                  <c:v>265.718072</c:v>
                </c:pt>
                <c:pt idx="3">
                  <c:v>288.903712</c:v>
                </c:pt>
                <c:pt idx="4">
                  <c:v>287.228142</c:v>
                </c:pt>
                <c:pt idx="5">
                  <c:v>291.31797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2111688720"/>
        <c:axId val="-2111685344"/>
      </c:barChart>
      <c:catAx>
        <c:axId val="-211168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-2111685344"/>
        <c:crosses val="autoZero"/>
        <c:auto val="1"/>
        <c:lblAlgn val="ctr"/>
        <c:lblOffset val="100"/>
        <c:noMultiLvlLbl val="0"/>
      </c:catAx>
      <c:valAx>
        <c:axId val="-211168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-211168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GFlops Intel MKL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verwerking!$G$48</c:f>
              <c:strCache>
                <c:ptCount val="1"/>
                <c:pt idx="0">
                  <c:v>1 thread(s)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verwerking!$C$55:$C$60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verwerking!$G$55:$G$60</c:f>
              <c:numCache>
                <c:formatCode>0.00</c:formatCode>
                <c:ptCount val="6"/>
                <c:pt idx="0">
                  <c:v>19.48908</c:v>
                </c:pt>
                <c:pt idx="1">
                  <c:v>19.4114</c:v>
                </c:pt>
                <c:pt idx="2">
                  <c:v>19.60426</c:v>
                </c:pt>
                <c:pt idx="3">
                  <c:v>19.67302</c:v>
                </c:pt>
                <c:pt idx="4">
                  <c:v>19.5673</c:v>
                </c:pt>
                <c:pt idx="5">
                  <c:v>19.74204</c:v>
                </c:pt>
              </c:numCache>
            </c:numRef>
          </c:val>
        </c:ser>
        <c:ser>
          <c:idx val="1"/>
          <c:order val="1"/>
          <c:tx>
            <c:strRef>
              <c:f>verwerking!$H$48</c:f>
              <c:strCache>
                <c:ptCount val="1"/>
                <c:pt idx="0">
                  <c:v>15 thread(s)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verwerking!$C$55:$C$60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verwerking!$H$55:$H$60</c:f>
              <c:numCache>
                <c:formatCode>0.00</c:formatCode>
                <c:ptCount val="6"/>
                <c:pt idx="0">
                  <c:v>251.864684</c:v>
                </c:pt>
                <c:pt idx="1">
                  <c:v>251.623968</c:v>
                </c:pt>
                <c:pt idx="2">
                  <c:v>246.308358</c:v>
                </c:pt>
                <c:pt idx="3">
                  <c:v>264.7174419999999</c:v>
                </c:pt>
                <c:pt idx="4">
                  <c:v>264.9917799999999</c:v>
                </c:pt>
                <c:pt idx="5">
                  <c:v>264.8564540000001</c:v>
                </c:pt>
              </c:numCache>
            </c:numRef>
          </c:val>
        </c:ser>
        <c:ser>
          <c:idx val="2"/>
          <c:order val="2"/>
          <c:tx>
            <c:strRef>
              <c:f>verwerking!$I$48</c:f>
              <c:strCache>
                <c:ptCount val="1"/>
                <c:pt idx="0">
                  <c:v>16 thread(s)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verwerking!$C$55:$C$60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verwerking!$I$55:$I$60</c:f>
              <c:numCache>
                <c:formatCode>0.00</c:formatCode>
                <c:ptCount val="6"/>
                <c:pt idx="0">
                  <c:v>281.345222</c:v>
                </c:pt>
                <c:pt idx="1">
                  <c:v>278.739242</c:v>
                </c:pt>
                <c:pt idx="2">
                  <c:v>223.823532</c:v>
                </c:pt>
                <c:pt idx="3">
                  <c:v>293.0572940000001</c:v>
                </c:pt>
                <c:pt idx="4">
                  <c:v>287.550122</c:v>
                </c:pt>
                <c:pt idx="5">
                  <c:v>295.8101139999999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2110823232"/>
        <c:axId val="-2110819856"/>
      </c:barChart>
      <c:catAx>
        <c:axId val="-211082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-2110819856"/>
        <c:crosses val="autoZero"/>
        <c:auto val="1"/>
        <c:lblAlgn val="ctr"/>
        <c:lblOffset val="100"/>
        <c:noMultiLvlLbl val="0"/>
      </c:catAx>
      <c:valAx>
        <c:axId val="-211081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-2110823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1704731</xdr:colOff>
      <xdr:row>64</xdr:row>
      <xdr:rowOff>978</xdr:rowOff>
    </xdr:from>
    <xdr:to>
      <xdr:col>7</xdr:col>
      <xdr:colOff>83039</xdr:colOff>
      <xdr:row>80</xdr:row>
      <xdr:rowOff>86947</xdr:rowOff>
    </xdr:to>
    <xdr:graphicFrame macro="">
      <xdr:nvGraphicFramePr>
        <xdr:cNvPr id="4" name="Grafiek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83</xdr:row>
      <xdr:rowOff>0</xdr:rowOff>
    </xdr:from>
    <xdr:to>
      <xdr:col>7</xdr:col>
      <xdr:colOff>117231</xdr:colOff>
      <xdr:row>99</xdr:row>
      <xdr:rowOff>85969</xdr:rowOff>
    </xdr:to>
    <xdr:graphicFrame macro="">
      <xdr:nvGraphicFramePr>
        <xdr:cNvPr id="5" name="Grafiek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64</xdr:row>
      <xdr:rowOff>0</xdr:rowOff>
    </xdr:from>
    <xdr:to>
      <xdr:col>12</xdr:col>
      <xdr:colOff>1250462</xdr:colOff>
      <xdr:row>80</xdr:row>
      <xdr:rowOff>85969</xdr:rowOff>
    </xdr:to>
    <xdr:graphicFrame macro="">
      <xdr:nvGraphicFramePr>
        <xdr:cNvPr id="6" name="Grafiek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83</xdr:row>
      <xdr:rowOff>0</xdr:rowOff>
    </xdr:from>
    <xdr:to>
      <xdr:col>12</xdr:col>
      <xdr:colOff>1250462</xdr:colOff>
      <xdr:row>99</xdr:row>
      <xdr:rowOff>85969</xdr:rowOff>
    </xdr:to>
    <xdr:graphicFrame macro="">
      <xdr:nvGraphicFramePr>
        <xdr:cNvPr id="7" name="Grafiek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06"/>
  <sheetViews>
    <sheetView tabSelected="1" topLeftCell="A1658" zoomScale="130" zoomScaleNormal="130" zoomScalePageLayoutView="130" workbookViewId="0">
      <selection activeCell="C6" sqref="C6"/>
    </sheetView>
  </sheetViews>
  <sheetFormatPr baseColWidth="10" defaultColWidth="8.83203125" defaultRowHeight="13" x14ac:dyDescent="0.15"/>
  <cols>
    <col min="1" max="1" width="11.33203125" customWidth="1"/>
    <col min="7" max="7" width="11.33203125" customWidth="1"/>
    <col min="8" max="8" width="11.83203125" customWidth="1"/>
  </cols>
  <sheetData>
    <row r="1" spans="1:8" x14ac:dyDescent="0.15">
      <c r="A1" s="62" t="s">
        <v>0</v>
      </c>
      <c r="B1" s="62"/>
      <c r="C1" s="62" t="s">
        <v>38</v>
      </c>
      <c r="D1" s="62"/>
      <c r="E1" s="62"/>
      <c r="F1" s="62"/>
      <c r="G1" s="62"/>
      <c r="H1" s="62"/>
    </row>
    <row r="2" spans="1:8" x14ac:dyDescent="0.15">
      <c r="A2" s="62" t="s">
        <v>1</v>
      </c>
      <c r="B2" s="62"/>
      <c r="C2" s="29">
        <v>589521</v>
      </c>
      <c r="D2" s="62"/>
      <c r="E2" s="62"/>
      <c r="F2" s="62"/>
      <c r="G2" s="62"/>
      <c r="H2" s="62"/>
    </row>
    <row r="3" spans="1:8" x14ac:dyDescent="0.15">
      <c r="A3" s="62"/>
      <c r="B3" s="62"/>
      <c r="C3" s="62"/>
      <c r="D3" s="62"/>
      <c r="E3" s="62"/>
      <c r="F3" s="62"/>
      <c r="G3" s="62"/>
      <c r="H3" s="62"/>
    </row>
    <row r="4" spans="1:8" x14ac:dyDescent="0.15">
      <c r="A4" s="62" t="s">
        <v>2</v>
      </c>
      <c r="B4" s="62"/>
      <c r="C4" s="62"/>
      <c r="D4" s="62"/>
      <c r="E4" s="62"/>
      <c r="F4" s="62"/>
      <c r="G4" s="62"/>
      <c r="H4" s="62"/>
    </row>
    <row r="5" spans="1:8" x14ac:dyDescent="0.15">
      <c r="A5" s="62"/>
      <c r="B5" s="62"/>
      <c r="C5" s="62"/>
      <c r="D5" s="62"/>
      <c r="E5" s="62"/>
      <c r="F5" s="62"/>
      <c r="G5" s="62"/>
      <c r="H5" s="62"/>
    </row>
    <row r="6" spans="1:8" x14ac:dyDescent="0.15">
      <c r="A6" s="62" t="s">
        <v>3</v>
      </c>
      <c r="B6" s="62" t="s">
        <v>4</v>
      </c>
      <c r="C6" s="62" t="s">
        <v>5</v>
      </c>
      <c r="D6" s="62" t="s">
        <v>6</v>
      </c>
      <c r="E6" s="62" t="s">
        <v>7</v>
      </c>
      <c r="F6" s="62" t="s">
        <v>8</v>
      </c>
      <c r="G6" s="62" t="s">
        <v>9</v>
      </c>
      <c r="H6" s="62" t="s">
        <v>10</v>
      </c>
    </row>
    <row r="7" spans="1:8" x14ac:dyDescent="0.15">
      <c r="A7" s="62" t="s">
        <v>11</v>
      </c>
      <c r="B7" s="62">
        <v>2500</v>
      </c>
      <c r="C7" s="62">
        <v>1</v>
      </c>
      <c r="D7" s="62">
        <v>1.6378999999999999</v>
      </c>
      <c r="E7" s="62">
        <v>19.078800000000001</v>
      </c>
      <c r="F7" s="62">
        <v>1</v>
      </c>
      <c r="G7" s="62">
        <v>100</v>
      </c>
      <c r="H7" s="62">
        <v>1.62</v>
      </c>
    </row>
    <row r="8" spans="1:8" x14ac:dyDescent="0.15">
      <c r="A8" s="62" t="s">
        <v>11</v>
      </c>
      <c r="B8" s="62">
        <v>2500</v>
      </c>
      <c r="C8" s="62">
        <v>1</v>
      </c>
      <c r="D8" s="62">
        <v>1.6267</v>
      </c>
      <c r="E8" s="62">
        <v>19.2105</v>
      </c>
      <c r="F8" s="62">
        <v>1.0069999999999999</v>
      </c>
      <c r="G8" s="62">
        <v>100.6901</v>
      </c>
      <c r="H8" s="62">
        <v>1.62</v>
      </c>
    </row>
    <row r="9" spans="1:8" x14ac:dyDescent="0.15">
      <c r="A9" s="62" t="s">
        <v>11</v>
      </c>
      <c r="B9" s="62">
        <v>2500</v>
      </c>
      <c r="C9" s="62">
        <v>1</v>
      </c>
      <c r="D9" s="62">
        <v>1.6269</v>
      </c>
      <c r="E9" s="62">
        <v>19.208100000000002</v>
      </c>
      <c r="F9" s="62">
        <v>1.0069999999999999</v>
      </c>
      <c r="G9" s="62">
        <v>100.6777</v>
      </c>
      <c r="H9" s="62">
        <v>1.61</v>
      </c>
    </row>
    <row r="10" spans="1:8" x14ac:dyDescent="0.15">
      <c r="A10" s="62" t="s">
        <v>11</v>
      </c>
      <c r="B10" s="62">
        <v>2500</v>
      </c>
      <c r="C10" s="62">
        <v>1</v>
      </c>
      <c r="D10" s="62">
        <v>1.6322000000000001</v>
      </c>
      <c r="E10" s="62">
        <v>19.1465</v>
      </c>
      <c r="F10" s="62">
        <v>1.004</v>
      </c>
      <c r="G10" s="62">
        <v>100.3546</v>
      </c>
      <c r="H10" s="62">
        <v>1.62</v>
      </c>
    </row>
    <row r="11" spans="1:8" x14ac:dyDescent="0.15">
      <c r="A11" s="62" t="s">
        <v>11</v>
      </c>
      <c r="B11" s="62">
        <v>2500</v>
      </c>
      <c r="C11" s="62">
        <v>1</v>
      </c>
      <c r="D11" s="62">
        <v>1.6132</v>
      </c>
      <c r="E11" s="62">
        <v>19.370999999999999</v>
      </c>
      <c r="F11" s="62">
        <v>1.0149999999999999</v>
      </c>
      <c r="G11" s="62">
        <v>101.5313</v>
      </c>
      <c r="H11" s="62">
        <v>1.62</v>
      </c>
    </row>
    <row r="12" spans="1:8" x14ac:dyDescent="0.15">
      <c r="A12" s="62" t="s">
        <v>11</v>
      </c>
      <c r="B12" s="62">
        <v>2500</v>
      </c>
      <c r="C12" s="62">
        <v>1</v>
      </c>
      <c r="D12" s="62">
        <v>1.6133999999999999</v>
      </c>
      <c r="E12" s="62">
        <v>19.369499999999999</v>
      </c>
      <c r="F12" s="62">
        <v>1.0149999999999999</v>
      </c>
      <c r="G12" s="62">
        <v>101.52379999999999</v>
      </c>
      <c r="H12" s="62">
        <v>1.61</v>
      </c>
    </row>
    <row r="13" spans="1:8" x14ac:dyDescent="0.15">
      <c r="A13" s="62" t="s">
        <v>11</v>
      </c>
      <c r="B13" s="62">
        <v>2500</v>
      </c>
      <c r="C13" s="62">
        <v>15</v>
      </c>
      <c r="D13" s="62">
        <v>0.1273</v>
      </c>
      <c r="E13" s="62">
        <v>245.46420000000001</v>
      </c>
      <c r="F13" s="62">
        <v>12.866</v>
      </c>
      <c r="G13" s="62">
        <v>85.772000000000006</v>
      </c>
      <c r="H13" s="62">
        <v>1.9</v>
      </c>
    </row>
    <row r="14" spans="1:8" x14ac:dyDescent="0.15">
      <c r="A14" s="62" t="s">
        <v>11</v>
      </c>
      <c r="B14" s="62">
        <v>2500</v>
      </c>
      <c r="C14" s="62">
        <v>15</v>
      </c>
      <c r="D14" s="62">
        <v>0.1234</v>
      </c>
      <c r="E14" s="62">
        <v>253.16030000000001</v>
      </c>
      <c r="F14" s="62">
        <v>13.269</v>
      </c>
      <c r="G14" s="62">
        <v>88.461200000000005</v>
      </c>
      <c r="H14" s="62">
        <v>1.86</v>
      </c>
    </row>
    <row r="15" spans="1:8" x14ac:dyDescent="0.15">
      <c r="A15" s="62" t="s">
        <v>11</v>
      </c>
      <c r="B15" s="62">
        <v>2500</v>
      </c>
      <c r="C15" s="62">
        <v>15</v>
      </c>
      <c r="D15" s="62">
        <v>0.1234</v>
      </c>
      <c r="E15" s="62">
        <v>253.1755</v>
      </c>
      <c r="F15" s="62">
        <v>13.27</v>
      </c>
      <c r="G15" s="62">
        <v>88.466499999999996</v>
      </c>
      <c r="H15" s="62">
        <v>1.85</v>
      </c>
    </row>
    <row r="16" spans="1:8" x14ac:dyDescent="0.15">
      <c r="A16" s="62" t="s">
        <v>11</v>
      </c>
      <c r="B16" s="62">
        <v>2500</v>
      </c>
      <c r="C16" s="62">
        <v>15</v>
      </c>
      <c r="D16" s="62">
        <v>0.1234</v>
      </c>
      <c r="E16" s="62">
        <v>253.2062</v>
      </c>
      <c r="F16" s="62">
        <v>13.272</v>
      </c>
      <c r="G16" s="62">
        <v>88.477199999999996</v>
      </c>
      <c r="H16" s="62">
        <v>1.85</v>
      </c>
    </row>
    <row r="17" spans="1:8" x14ac:dyDescent="0.15">
      <c r="A17" s="62" t="s">
        <v>11</v>
      </c>
      <c r="B17" s="62">
        <v>2500</v>
      </c>
      <c r="C17" s="62">
        <v>15</v>
      </c>
      <c r="D17" s="62">
        <v>0.1235</v>
      </c>
      <c r="E17" s="62">
        <v>253.0848</v>
      </c>
      <c r="F17" s="62">
        <v>13.265000000000001</v>
      </c>
      <c r="G17" s="62">
        <v>88.434799999999996</v>
      </c>
      <c r="H17" s="62">
        <v>1.85</v>
      </c>
    </row>
    <row r="18" spans="1:8" x14ac:dyDescent="0.15">
      <c r="A18" s="62" t="s">
        <v>11</v>
      </c>
      <c r="B18" s="62">
        <v>2500</v>
      </c>
      <c r="C18" s="62">
        <v>15</v>
      </c>
      <c r="D18" s="62">
        <v>0.1235</v>
      </c>
      <c r="E18" s="62">
        <v>253.11949999999999</v>
      </c>
      <c r="F18" s="62">
        <v>13.266999999999999</v>
      </c>
      <c r="G18" s="62">
        <v>88.446899999999999</v>
      </c>
      <c r="H18" s="62">
        <v>1.86</v>
      </c>
    </row>
    <row r="19" spans="1:8" x14ac:dyDescent="0.15">
      <c r="A19" s="62" t="s">
        <v>11</v>
      </c>
      <c r="B19" s="62">
        <v>2500</v>
      </c>
      <c r="C19" s="62">
        <v>15</v>
      </c>
      <c r="D19" s="62">
        <v>0.1234</v>
      </c>
      <c r="E19" s="62">
        <v>253.25790000000001</v>
      </c>
      <c r="F19" s="62">
        <v>13.273999999999999</v>
      </c>
      <c r="G19" s="62">
        <v>88.4953</v>
      </c>
      <c r="H19" s="62">
        <v>1.85</v>
      </c>
    </row>
    <row r="20" spans="1:8" x14ac:dyDescent="0.15">
      <c r="A20" s="62" t="s">
        <v>11</v>
      </c>
      <c r="B20" s="62">
        <v>2500</v>
      </c>
      <c r="C20" s="62">
        <v>15</v>
      </c>
      <c r="D20" s="62">
        <v>0.1234</v>
      </c>
      <c r="E20" s="62">
        <v>253.18780000000001</v>
      </c>
      <c r="F20" s="62">
        <v>13.271000000000001</v>
      </c>
      <c r="G20" s="62">
        <v>88.470799999999997</v>
      </c>
      <c r="H20" s="62">
        <v>1.85</v>
      </c>
    </row>
    <row r="21" spans="1:8" x14ac:dyDescent="0.15">
      <c r="A21" s="62" t="s">
        <v>11</v>
      </c>
      <c r="B21" s="62">
        <v>2500</v>
      </c>
      <c r="C21" s="62">
        <v>15</v>
      </c>
      <c r="D21" s="62">
        <v>0.1241</v>
      </c>
      <c r="E21" s="62">
        <v>251.80199999999999</v>
      </c>
      <c r="F21" s="62">
        <v>13.198</v>
      </c>
      <c r="G21" s="62">
        <v>87.986500000000007</v>
      </c>
      <c r="H21" s="62">
        <v>1.86</v>
      </c>
    </row>
    <row r="22" spans="1:8" x14ac:dyDescent="0.15">
      <c r="A22" s="62" t="s">
        <v>11</v>
      </c>
      <c r="B22" s="62">
        <v>2500</v>
      </c>
      <c r="C22" s="62">
        <v>15</v>
      </c>
      <c r="D22" s="62">
        <v>0.1234</v>
      </c>
      <c r="E22" s="62">
        <v>253.208</v>
      </c>
      <c r="F22" s="62">
        <v>13.272</v>
      </c>
      <c r="G22" s="62">
        <v>88.477800000000002</v>
      </c>
      <c r="H22" s="62">
        <v>1.85</v>
      </c>
    </row>
    <row r="23" spans="1:8" x14ac:dyDescent="0.15">
      <c r="A23" s="62" t="s">
        <v>11</v>
      </c>
      <c r="B23" s="62">
        <v>2500</v>
      </c>
      <c r="C23" s="62">
        <v>15</v>
      </c>
      <c r="D23" s="62">
        <v>0.1234</v>
      </c>
      <c r="E23" s="62">
        <v>253.26740000000001</v>
      </c>
      <c r="F23" s="62">
        <v>13.275</v>
      </c>
      <c r="G23" s="62">
        <v>88.498599999999996</v>
      </c>
      <c r="H23" s="62">
        <v>1.85</v>
      </c>
    </row>
    <row r="24" spans="1:8" x14ac:dyDescent="0.15">
      <c r="A24" s="62" t="s">
        <v>11</v>
      </c>
      <c r="B24" s="62">
        <v>2500</v>
      </c>
      <c r="C24" s="62">
        <v>15</v>
      </c>
      <c r="D24" s="62">
        <v>0.1234</v>
      </c>
      <c r="E24" s="62">
        <v>253.1908</v>
      </c>
      <c r="F24" s="62">
        <v>13.271000000000001</v>
      </c>
      <c r="G24" s="62">
        <v>88.471800000000002</v>
      </c>
      <c r="H24" s="62">
        <v>1.86</v>
      </c>
    </row>
    <row r="25" spans="1:8" x14ac:dyDescent="0.15">
      <c r="A25" s="62" t="s">
        <v>11</v>
      </c>
      <c r="B25" s="62">
        <v>2500</v>
      </c>
      <c r="C25" s="62">
        <v>15</v>
      </c>
      <c r="D25" s="62">
        <v>0.1235</v>
      </c>
      <c r="E25" s="62">
        <v>253.08519999999999</v>
      </c>
      <c r="F25" s="62">
        <v>13.265000000000001</v>
      </c>
      <c r="G25" s="62">
        <v>88.434899999999999</v>
      </c>
      <c r="H25" s="62">
        <v>1.85</v>
      </c>
    </row>
    <row r="26" spans="1:8" x14ac:dyDescent="0.15">
      <c r="A26" s="62" t="s">
        <v>11</v>
      </c>
      <c r="B26" s="62">
        <v>2500</v>
      </c>
      <c r="C26" s="62">
        <v>15</v>
      </c>
      <c r="D26" s="62">
        <v>0.1234</v>
      </c>
      <c r="E26" s="62">
        <v>253.22909999999999</v>
      </c>
      <c r="F26" s="62">
        <v>13.273</v>
      </c>
      <c r="G26" s="62">
        <v>88.485200000000006</v>
      </c>
      <c r="H26" s="62">
        <v>1.85</v>
      </c>
    </row>
    <row r="27" spans="1:8" x14ac:dyDescent="0.15">
      <c r="A27" s="62" t="s">
        <v>11</v>
      </c>
      <c r="B27" s="62">
        <v>2500</v>
      </c>
      <c r="C27" s="62">
        <v>15</v>
      </c>
      <c r="D27" s="62">
        <v>0.1235</v>
      </c>
      <c r="E27" s="62">
        <v>253.09129999999999</v>
      </c>
      <c r="F27" s="62">
        <v>13.266</v>
      </c>
      <c r="G27" s="62">
        <v>88.437100000000001</v>
      </c>
      <c r="H27" s="62">
        <v>1.85</v>
      </c>
    </row>
    <row r="28" spans="1:8" x14ac:dyDescent="0.15">
      <c r="A28" s="62" t="s">
        <v>11</v>
      </c>
      <c r="B28" s="62">
        <v>2500</v>
      </c>
      <c r="C28" s="62">
        <v>15</v>
      </c>
      <c r="D28" s="62">
        <v>0.1234</v>
      </c>
      <c r="E28" s="62">
        <v>253.1422</v>
      </c>
      <c r="F28" s="62">
        <v>13.268000000000001</v>
      </c>
      <c r="G28" s="62">
        <v>88.454800000000006</v>
      </c>
      <c r="H28" s="62">
        <v>1.86</v>
      </c>
    </row>
    <row r="29" spans="1:8" x14ac:dyDescent="0.15">
      <c r="A29" s="62" t="s">
        <v>11</v>
      </c>
      <c r="B29" s="62">
        <v>2500</v>
      </c>
      <c r="C29" s="62">
        <v>15</v>
      </c>
      <c r="D29" s="62">
        <v>0.1288</v>
      </c>
      <c r="E29" s="62">
        <v>242.56039999999999</v>
      </c>
      <c r="F29" s="62">
        <v>12.714</v>
      </c>
      <c r="G29" s="62">
        <v>84.757300000000001</v>
      </c>
      <c r="H29" s="62">
        <v>1.92</v>
      </c>
    </row>
    <row r="30" spans="1:8" x14ac:dyDescent="0.15">
      <c r="A30" s="62" t="s">
        <v>11</v>
      </c>
      <c r="B30" s="62">
        <v>2500</v>
      </c>
      <c r="C30" s="62">
        <v>15</v>
      </c>
      <c r="D30" s="62">
        <v>0.1242</v>
      </c>
      <c r="E30" s="62">
        <v>251.6825</v>
      </c>
      <c r="F30" s="62">
        <v>13.192</v>
      </c>
      <c r="G30" s="62">
        <v>87.944800000000001</v>
      </c>
      <c r="H30" s="62">
        <v>1.85</v>
      </c>
    </row>
    <row r="31" spans="1:8" x14ac:dyDescent="0.15">
      <c r="A31" s="62" t="s">
        <v>11</v>
      </c>
      <c r="B31" s="62">
        <v>2500</v>
      </c>
      <c r="C31" s="62">
        <v>15</v>
      </c>
      <c r="D31" s="62">
        <v>0.126</v>
      </c>
      <c r="E31" s="62">
        <v>248.09280000000001</v>
      </c>
      <c r="F31" s="62">
        <v>13.004</v>
      </c>
      <c r="G31" s="62">
        <v>86.690399999999997</v>
      </c>
      <c r="H31" s="62">
        <v>1.89</v>
      </c>
    </row>
    <row r="32" spans="1:8" x14ac:dyDescent="0.15">
      <c r="A32" s="62" t="s">
        <v>11</v>
      </c>
      <c r="B32" s="62">
        <v>2500</v>
      </c>
      <c r="C32" s="62">
        <v>15</v>
      </c>
      <c r="D32" s="62">
        <v>0.1268</v>
      </c>
      <c r="E32" s="62">
        <v>246.4744</v>
      </c>
      <c r="F32" s="62">
        <v>12.919</v>
      </c>
      <c r="G32" s="62">
        <v>86.124899999999997</v>
      </c>
      <c r="H32" s="62">
        <v>1.9</v>
      </c>
    </row>
    <row r="33" spans="1:8" x14ac:dyDescent="0.15">
      <c r="A33" s="62" t="s">
        <v>11</v>
      </c>
      <c r="B33" s="62">
        <v>2500</v>
      </c>
      <c r="C33" s="62">
        <v>15</v>
      </c>
      <c r="D33" s="62">
        <v>0.1293</v>
      </c>
      <c r="E33" s="62">
        <v>241.7672</v>
      </c>
      <c r="F33" s="62">
        <v>12.672000000000001</v>
      </c>
      <c r="G33" s="62">
        <v>84.480099999999993</v>
      </c>
      <c r="H33" s="62">
        <v>1.93</v>
      </c>
    </row>
    <row r="34" spans="1:8" x14ac:dyDescent="0.15">
      <c r="A34" s="62" t="s">
        <v>11</v>
      </c>
      <c r="B34" s="62">
        <v>2500</v>
      </c>
      <c r="C34" s="62">
        <v>15</v>
      </c>
      <c r="D34" s="62">
        <v>0.1275</v>
      </c>
      <c r="E34" s="62">
        <v>245.1583</v>
      </c>
      <c r="F34" s="62">
        <v>12.85</v>
      </c>
      <c r="G34" s="62">
        <v>85.665099999999995</v>
      </c>
      <c r="H34" s="62">
        <v>1.89</v>
      </c>
    </row>
    <row r="35" spans="1:8" x14ac:dyDescent="0.15">
      <c r="A35" s="62" t="s">
        <v>11</v>
      </c>
      <c r="B35" s="62">
        <v>2500</v>
      </c>
      <c r="C35" s="62">
        <v>15</v>
      </c>
      <c r="D35" s="62">
        <v>0.12770000000000001</v>
      </c>
      <c r="E35" s="62">
        <v>244.62899999999999</v>
      </c>
      <c r="F35" s="62">
        <v>12.821999999999999</v>
      </c>
      <c r="G35" s="62">
        <v>85.480099999999993</v>
      </c>
      <c r="H35" s="62">
        <v>1.91</v>
      </c>
    </row>
    <row r="36" spans="1:8" x14ac:dyDescent="0.15">
      <c r="A36" s="62" t="s">
        <v>11</v>
      </c>
      <c r="B36" s="62">
        <v>2500</v>
      </c>
      <c r="C36" s="62">
        <v>15</v>
      </c>
      <c r="D36" s="62">
        <v>0.12859999999999999</v>
      </c>
      <c r="E36" s="62">
        <v>242.97550000000001</v>
      </c>
      <c r="F36" s="62">
        <v>12.734999999999999</v>
      </c>
      <c r="G36" s="62">
        <v>84.902299999999997</v>
      </c>
      <c r="H36" s="62">
        <v>1.92</v>
      </c>
    </row>
    <row r="37" spans="1:8" x14ac:dyDescent="0.15">
      <c r="A37" s="62" t="s">
        <v>11</v>
      </c>
      <c r="B37" s="62">
        <v>2500</v>
      </c>
      <c r="C37" s="62">
        <v>15</v>
      </c>
      <c r="D37" s="62">
        <v>0.12770000000000001</v>
      </c>
      <c r="E37" s="62">
        <v>244.76419999999999</v>
      </c>
      <c r="F37" s="62">
        <v>12.829000000000001</v>
      </c>
      <c r="G37" s="62">
        <v>85.5274</v>
      </c>
      <c r="H37" s="62">
        <v>1.92</v>
      </c>
    </row>
    <row r="38" spans="1:8" x14ac:dyDescent="0.15">
      <c r="A38" s="62" t="s">
        <v>11</v>
      </c>
      <c r="B38" s="62">
        <v>2500</v>
      </c>
      <c r="C38" s="62">
        <v>15</v>
      </c>
      <c r="D38" s="62">
        <v>0.1235</v>
      </c>
      <c r="E38" s="62">
        <v>253.1318</v>
      </c>
      <c r="F38" s="62">
        <v>13.268000000000001</v>
      </c>
      <c r="G38" s="62">
        <v>88.4512</v>
      </c>
      <c r="H38" s="62">
        <v>1.85</v>
      </c>
    </row>
    <row r="39" spans="1:8" x14ac:dyDescent="0.15">
      <c r="A39" s="62" t="s">
        <v>11</v>
      </c>
      <c r="B39" s="62">
        <v>2500</v>
      </c>
      <c r="C39" s="62">
        <v>15</v>
      </c>
      <c r="D39" s="62">
        <v>0.1234</v>
      </c>
      <c r="E39" s="62">
        <v>253.24780000000001</v>
      </c>
      <c r="F39" s="62">
        <v>13.273999999999999</v>
      </c>
      <c r="G39" s="62">
        <v>88.491799999999998</v>
      </c>
      <c r="H39" s="62">
        <v>1.85</v>
      </c>
    </row>
    <row r="40" spans="1:8" x14ac:dyDescent="0.15">
      <c r="A40" s="62" t="s">
        <v>11</v>
      </c>
      <c r="B40" s="62">
        <v>2500</v>
      </c>
      <c r="C40" s="62">
        <v>15</v>
      </c>
      <c r="D40" s="62">
        <v>0.1234</v>
      </c>
      <c r="E40" s="62">
        <v>253.20820000000001</v>
      </c>
      <c r="F40" s="62">
        <v>13.272</v>
      </c>
      <c r="G40" s="62">
        <v>88.477900000000005</v>
      </c>
      <c r="H40" s="62">
        <v>1.85</v>
      </c>
    </row>
    <row r="41" spans="1:8" x14ac:dyDescent="0.15">
      <c r="A41" s="62" t="s">
        <v>11</v>
      </c>
      <c r="B41" s="62">
        <v>2500</v>
      </c>
      <c r="C41" s="62">
        <v>15</v>
      </c>
      <c r="D41" s="62">
        <v>0.1235</v>
      </c>
      <c r="E41" s="62">
        <v>253.012</v>
      </c>
      <c r="F41" s="62">
        <v>13.260999999999999</v>
      </c>
      <c r="G41" s="62">
        <v>88.409300000000002</v>
      </c>
      <c r="H41" s="62">
        <v>1.86</v>
      </c>
    </row>
    <row r="42" spans="1:8" x14ac:dyDescent="0.15">
      <c r="A42" s="62" t="s">
        <v>11</v>
      </c>
      <c r="B42" s="62">
        <v>2500</v>
      </c>
      <c r="C42" s="62">
        <v>15</v>
      </c>
      <c r="D42" s="62">
        <v>0.1234</v>
      </c>
      <c r="E42" s="62">
        <v>253.14580000000001</v>
      </c>
      <c r="F42" s="62">
        <v>13.268000000000001</v>
      </c>
      <c r="G42" s="62">
        <v>88.456100000000006</v>
      </c>
      <c r="H42" s="62">
        <v>1.85</v>
      </c>
    </row>
    <row r="43" spans="1:8" x14ac:dyDescent="0.15">
      <c r="A43" s="62" t="s">
        <v>11</v>
      </c>
      <c r="B43" s="62">
        <v>2500</v>
      </c>
      <c r="C43" s="62">
        <v>15</v>
      </c>
      <c r="D43" s="62">
        <v>0.1234</v>
      </c>
      <c r="E43" s="62">
        <v>253.24080000000001</v>
      </c>
      <c r="F43" s="62">
        <v>13.273</v>
      </c>
      <c r="G43" s="62">
        <v>88.4893</v>
      </c>
      <c r="H43" s="62">
        <v>1.85</v>
      </c>
    </row>
    <row r="44" spans="1:8" x14ac:dyDescent="0.15">
      <c r="A44" s="62" t="s">
        <v>11</v>
      </c>
      <c r="B44" s="62">
        <v>2500</v>
      </c>
      <c r="C44" s="62">
        <v>15</v>
      </c>
      <c r="D44" s="62">
        <v>0.1234</v>
      </c>
      <c r="E44" s="62">
        <v>253.24719999999999</v>
      </c>
      <c r="F44" s="62">
        <v>13.273999999999999</v>
      </c>
      <c r="G44" s="62">
        <v>88.491500000000002</v>
      </c>
      <c r="H44" s="62">
        <v>1.85</v>
      </c>
    </row>
    <row r="45" spans="1:8" x14ac:dyDescent="0.15">
      <c r="A45" s="62" t="s">
        <v>11</v>
      </c>
      <c r="B45" s="62">
        <v>2500</v>
      </c>
      <c r="C45" s="62">
        <v>15</v>
      </c>
      <c r="D45" s="62">
        <v>0.1234</v>
      </c>
      <c r="E45" s="62">
        <v>253.1643</v>
      </c>
      <c r="F45" s="62">
        <v>13.269</v>
      </c>
      <c r="G45" s="62">
        <v>88.462599999999995</v>
      </c>
      <c r="H45" s="62">
        <v>1.86</v>
      </c>
    </row>
    <row r="46" spans="1:8" x14ac:dyDescent="0.15">
      <c r="A46" s="62" t="s">
        <v>11</v>
      </c>
      <c r="B46" s="62">
        <v>2500</v>
      </c>
      <c r="C46" s="62">
        <v>15</v>
      </c>
      <c r="D46" s="62">
        <v>0.1239</v>
      </c>
      <c r="E46" s="62">
        <v>252.20840000000001</v>
      </c>
      <c r="F46" s="62">
        <v>13.218999999999999</v>
      </c>
      <c r="G46" s="62">
        <v>88.128500000000003</v>
      </c>
      <c r="H46" s="62">
        <v>1.85</v>
      </c>
    </row>
    <row r="47" spans="1:8" x14ac:dyDescent="0.15">
      <c r="A47" s="62" t="s">
        <v>11</v>
      </c>
      <c r="B47" s="62">
        <v>2500</v>
      </c>
      <c r="C47" s="62">
        <v>15</v>
      </c>
      <c r="D47" s="62">
        <v>0.1234</v>
      </c>
      <c r="E47" s="62">
        <v>253.2955</v>
      </c>
      <c r="F47" s="62">
        <v>13.276</v>
      </c>
      <c r="G47" s="62">
        <v>88.508399999999995</v>
      </c>
      <c r="H47" s="62">
        <v>1.86</v>
      </c>
    </row>
    <row r="48" spans="1:8" x14ac:dyDescent="0.15">
      <c r="A48" s="62" t="s">
        <v>11</v>
      </c>
      <c r="B48" s="62">
        <v>2500</v>
      </c>
      <c r="C48" s="62">
        <v>15</v>
      </c>
      <c r="D48" s="62">
        <v>0.12330000000000001</v>
      </c>
      <c r="E48" s="62">
        <v>253.34870000000001</v>
      </c>
      <c r="F48" s="62">
        <v>13.279</v>
      </c>
      <c r="G48" s="62">
        <v>88.527000000000001</v>
      </c>
      <c r="H48" s="62">
        <v>1.85</v>
      </c>
    </row>
    <row r="49" spans="1:8" x14ac:dyDescent="0.15">
      <c r="A49" s="62" t="s">
        <v>11</v>
      </c>
      <c r="B49" s="62">
        <v>2500</v>
      </c>
      <c r="C49" s="62">
        <v>15</v>
      </c>
      <c r="D49" s="62">
        <v>0.1234</v>
      </c>
      <c r="E49" s="62">
        <v>253.25839999999999</v>
      </c>
      <c r="F49" s="62">
        <v>13.273999999999999</v>
      </c>
      <c r="G49" s="62">
        <v>88.495400000000004</v>
      </c>
      <c r="H49" s="62">
        <v>1.85</v>
      </c>
    </row>
    <row r="50" spans="1:8" x14ac:dyDescent="0.15">
      <c r="A50" s="62" t="s">
        <v>11</v>
      </c>
      <c r="B50" s="62">
        <v>2500</v>
      </c>
      <c r="C50" s="62">
        <v>15</v>
      </c>
      <c r="D50" s="62">
        <v>0.1236</v>
      </c>
      <c r="E50" s="62">
        <v>252.839</v>
      </c>
      <c r="F50" s="62">
        <v>13.252000000000001</v>
      </c>
      <c r="G50" s="62">
        <v>88.3489</v>
      </c>
      <c r="H50" s="62">
        <v>1.85</v>
      </c>
    </row>
    <row r="51" spans="1:8" x14ac:dyDescent="0.15">
      <c r="A51" s="62" t="s">
        <v>11</v>
      </c>
      <c r="B51" s="62">
        <v>2500</v>
      </c>
      <c r="C51" s="62">
        <v>15</v>
      </c>
      <c r="D51" s="62">
        <v>0.1236</v>
      </c>
      <c r="E51" s="62">
        <v>252.92160000000001</v>
      </c>
      <c r="F51" s="62">
        <v>13.257</v>
      </c>
      <c r="G51" s="62">
        <v>88.377799999999993</v>
      </c>
      <c r="H51" s="62">
        <v>1.86</v>
      </c>
    </row>
    <row r="52" spans="1:8" x14ac:dyDescent="0.15">
      <c r="A52" s="62" t="s">
        <v>11</v>
      </c>
      <c r="B52" s="62">
        <v>2500</v>
      </c>
      <c r="C52" s="62">
        <v>15</v>
      </c>
      <c r="D52" s="62">
        <v>0.1235</v>
      </c>
      <c r="E52" s="62">
        <v>252.97149999999999</v>
      </c>
      <c r="F52" s="62">
        <v>13.259</v>
      </c>
      <c r="G52" s="62">
        <v>88.395200000000003</v>
      </c>
      <c r="H52" s="62">
        <v>1.85</v>
      </c>
    </row>
    <row r="53" spans="1:8" x14ac:dyDescent="0.15">
      <c r="A53" s="62" t="s">
        <v>11</v>
      </c>
      <c r="B53" s="62">
        <v>2500</v>
      </c>
      <c r="C53" s="62">
        <v>15</v>
      </c>
      <c r="D53" s="62">
        <v>0.12330000000000001</v>
      </c>
      <c r="E53" s="62">
        <v>253.3579</v>
      </c>
      <c r="F53" s="62">
        <v>13.28</v>
      </c>
      <c r="G53" s="62">
        <v>88.530199999999994</v>
      </c>
      <c r="H53" s="62">
        <v>1.85</v>
      </c>
    </row>
    <row r="54" spans="1:8" x14ac:dyDescent="0.15">
      <c r="A54" s="62" t="s">
        <v>11</v>
      </c>
      <c r="B54" s="62">
        <v>2500</v>
      </c>
      <c r="C54" s="62">
        <v>15</v>
      </c>
      <c r="D54" s="62">
        <v>0.1239</v>
      </c>
      <c r="E54" s="62">
        <v>252.14340000000001</v>
      </c>
      <c r="F54" s="62">
        <v>13.215999999999999</v>
      </c>
      <c r="G54" s="62">
        <v>88.105800000000002</v>
      </c>
      <c r="H54" s="62">
        <v>1.86</v>
      </c>
    </row>
    <row r="55" spans="1:8" x14ac:dyDescent="0.15">
      <c r="A55" s="62" t="s">
        <v>11</v>
      </c>
      <c r="B55" s="62">
        <v>2500</v>
      </c>
      <c r="C55" s="62">
        <v>15</v>
      </c>
      <c r="D55" s="62">
        <v>0.1234</v>
      </c>
      <c r="E55" s="62">
        <v>253.33949999999999</v>
      </c>
      <c r="F55" s="62">
        <v>13.279</v>
      </c>
      <c r="G55" s="62">
        <v>88.523799999999994</v>
      </c>
      <c r="H55" s="62">
        <v>1.85</v>
      </c>
    </row>
    <row r="56" spans="1:8" x14ac:dyDescent="0.15">
      <c r="A56" s="62" t="s">
        <v>11</v>
      </c>
      <c r="B56" s="62">
        <v>2500</v>
      </c>
      <c r="C56" s="62">
        <v>15</v>
      </c>
      <c r="D56" s="62">
        <v>0.1234</v>
      </c>
      <c r="E56" s="62">
        <v>253.31700000000001</v>
      </c>
      <c r="F56" s="62">
        <v>13.276999999999999</v>
      </c>
      <c r="G56" s="62">
        <v>88.515900000000002</v>
      </c>
      <c r="H56" s="62">
        <v>1.85</v>
      </c>
    </row>
    <row r="57" spans="1:8" x14ac:dyDescent="0.15">
      <c r="A57" s="62" t="s">
        <v>11</v>
      </c>
      <c r="B57" s="62">
        <v>2500</v>
      </c>
      <c r="C57" s="62">
        <v>15</v>
      </c>
      <c r="D57" s="62">
        <v>0.1234</v>
      </c>
      <c r="E57" s="62">
        <v>253.27260000000001</v>
      </c>
      <c r="F57" s="62">
        <v>13.275</v>
      </c>
      <c r="G57" s="62">
        <v>88.500399999999999</v>
      </c>
      <c r="H57" s="62">
        <v>1.85</v>
      </c>
    </row>
    <row r="58" spans="1:8" x14ac:dyDescent="0.15">
      <c r="A58" s="62" t="s">
        <v>11</v>
      </c>
      <c r="B58" s="62">
        <v>2500</v>
      </c>
      <c r="C58" s="62">
        <v>15</v>
      </c>
      <c r="D58" s="62">
        <v>0.1234</v>
      </c>
      <c r="E58" s="62">
        <v>253.3331</v>
      </c>
      <c r="F58" s="62">
        <v>13.278</v>
      </c>
      <c r="G58" s="62">
        <v>88.521600000000007</v>
      </c>
      <c r="H58" s="62">
        <v>1.85</v>
      </c>
    </row>
    <row r="59" spans="1:8" x14ac:dyDescent="0.15">
      <c r="A59" s="62" t="s">
        <v>11</v>
      </c>
      <c r="B59" s="62">
        <v>2500</v>
      </c>
      <c r="C59" s="62">
        <v>15</v>
      </c>
      <c r="D59" s="62">
        <v>0.12330000000000001</v>
      </c>
      <c r="E59" s="62">
        <v>253.37639999999999</v>
      </c>
      <c r="F59" s="62">
        <v>13.281000000000001</v>
      </c>
      <c r="G59" s="62">
        <v>88.536699999999996</v>
      </c>
      <c r="H59" s="62">
        <v>1.85</v>
      </c>
    </row>
    <row r="60" spans="1:8" x14ac:dyDescent="0.15">
      <c r="A60" s="62" t="s">
        <v>11</v>
      </c>
      <c r="B60" s="62">
        <v>2500</v>
      </c>
      <c r="C60" s="62">
        <v>15</v>
      </c>
      <c r="D60" s="62">
        <v>0.12330000000000001</v>
      </c>
      <c r="E60" s="62">
        <v>253.39169999999999</v>
      </c>
      <c r="F60" s="62">
        <v>13.281000000000001</v>
      </c>
      <c r="G60" s="62">
        <v>88.542000000000002</v>
      </c>
      <c r="H60" s="62">
        <v>1.85</v>
      </c>
    </row>
    <row r="61" spans="1:8" x14ac:dyDescent="0.15">
      <c r="A61" s="62" t="s">
        <v>11</v>
      </c>
      <c r="B61" s="62">
        <v>2500</v>
      </c>
      <c r="C61" s="62">
        <v>15</v>
      </c>
      <c r="D61" s="62">
        <v>0.12330000000000001</v>
      </c>
      <c r="E61" s="62">
        <v>253.4247</v>
      </c>
      <c r="F61" s="62">
        <v>13.282999999999999</v>
      </c>
      <c r="G61" s="62">
        <v>88.553600000000003</v>
      </c>
      <c r="H61" s="62">
        <v>1.85</v>
      </c>
    </row>
    <row r="62" spans="1:8" x14ac:dyDescent="0.15">
      <c r="A62" s="62" t="s">
        <v>11</v>
      </c>
      <c r="B62" s="62">
        <v>2500</v>
      </c>
      <c r="C62" s="62">
        <v>15</v>
      </c>
      <c r="D62" s="62">
        <v>0.1239</v>
      </c>
      <c r="E62" s="62">
        <v>252.24529999999999</v>
      </c>
      <c r="F62" s="62">
        <v>13.221</v>
      </c>
      <c r="G62" s="62">
        <v>88.141499999999994</v>
      </c>
      <c r="H62" s="62">
        <v>1.86</v>
      </c>
    </row>
    <row r="63" spans="1:8" x14ac:dyDescent="0.15">
      <c r="A63" s="62" t="s">
        <v>11</v>
      </c>
      <c r="B63" s="62">
        <v>2500</v>
      </c>
      <c r="C63" s="62">
        <v>15</v>
      </c>
      <c r="D63" s="62">
        <v>0.12330000000000001</v>
      </c>
      <c r="E63" s="62">
        <v>253.4015</v>
      </c>
      <c r="F63" s="62">
        <v>13.282</v>
      </c>
      <c r="G63" s="62">
        <v>88.545500000000004</v>
      </c>
      <c r="H63" s="62">
        <v>1.85</v>
      </c>
    </row>
    <row r="64" spans="1:8" x14ac:dyDescent="0.15">
      <c r="A64" s="62" t="s">
        <v>11</v>
      </c>
      <c r="B64" s="62">
        <v>2500</v>
      </c>
      <c r="C64" s="62">
        <v>16</v>
      </c>
      <c r="D64" s="62">
        <v>0.22170000000000001</v>
      </c>
      <c r="E64" s="62">
        <v>140.93199999999999</v>
      </c>
      <c r="F64" s="62">
        <v>7.3869999999999996</v>
      </c>
      <c r="G64" s="62">
        <v>46.167700000000004</v>
      </c>
      <c r="H64" s="62">
        <v>3.33</v>
      </c>
    </row>
    <row r="65" spans="1:8" x14ac:dyDescent="0.15">
      <c r="A65" s="62" t="s">
        <v>11</v>
      </c>
      <c r="B65" s="62">
        <v>2500</v>
      </c>
      <c r="C65" s="62">
        <v>16</v>
      </c>
      <c r="D65" s="62">
        <v>0.216</v>
      </c>
      <c r="E65" s="62">
        <v>144.68770000000001</v>
      </c>
      <c r="F65" s="62">
        <v>7.5839999999999996</v>
      </c>
      <c r="G65" s="62">
        <v>47.398000000000003</v>
      </c>
      <c r="H65" s="62">
        <v>3.24</v>
      </c>
    </row>
    <row r="66" spans="1:8" x14ac:dyDescent="0.15">
      <c r="A66" s="62" t="s">
        <v>11</v>
      </c>
      <c r="B66" s="62">
        <v>2500</v>
      </c>
      <c r="C66" s="62">
        <v>16</v>
      </c>
      <c r="D66" s="62">
        <v>0.216</v>
      </c>
      <c r="E66" s="62">
        <v>144.70689999999999</v>
      </c>
      <c r="F66" s="62">
        <v>7.585</v>
      </c>
      <c r="G66" s="62">
        <v>47.404299999999999</v>
      </c>
      <c r="H66" s="62">
        <v>3.24</v>
      </c>
    </row>
    <row r="67" spans="1:8" x14ac:dyDescent="0.15">
      <c r="A67" s="62" t="s">
        <v>11</v>
      </c>
      <c r="B67" s="62">
        <v>2500</v>
      </c>
      <c r="C67" s="62">
        <v>16</v>
      </c>
      <c r="D67" s="62">
        <v>0.21579999999999999</v>
      </c>
      <c r="E67" s="62">
        <v>144.84270000000001</v>
      </c>
      <c r="F67" s="62">
        <v>7.5919999999999996</v>
      </c>
      <c r="G67" s="62">
        <v>47.448799999999999</v>
      </c>
      <c r="H67" s="62">
        <v>3.23</v>
      </c>
    </row>
    <row r="68" spans="1:8" x14ac:dyDescent="0.15">
      <c r="A68" s="62" t="s">
        <v>11</v>
      </c>
      <c r="B68" s="62">
        <v>2500</v>
      </c>
      <c r="C68" s="62">
        <v>16</v>
      </c>
      <c r="D68" s="62">
        <v>0.2082</v>
      </c>
      <c r="E68" s="62">
        <v>150.07599999999999</v>
      </c>
      <c r="F68" s="62">
        <v>7.8659999999999997</v>
      </c>
      <c r="G68" s="62">
        <v>49.1631</v>
      </c>
      <c r="H68" s="62">
        <v>3.13</v>
      </c>
    </row>
    <row r="69" spans="1:8" x14ac:dyDescent="0.15">
      <c r="A69" s="62" t="s">
        <v>11</v>
      </c>
      <c r="B69" s="62">
        <v>2500</v>
      </c>
      <c r="C69" s="62">
        <v>16</v>
      </c>
      <c r="D69" s="62">
        <v>0.2152</v>
      </c>
      <c r="E69" s="62">
        <v>145.23390000000001</v>
      </c>
      <c r="F69" s="62">
        <v>7.6120000000000001</v>
      </c>
      <c r="G69" s="62">
        <v>47.576900000000002</v>
      </c>
      <c r="H69" s="62">
        <v>3.23</v>
      </c>
    </row>
    <row r="70" spans="1:8" x14ac:dyDescent="0.15">
      <c r="A70" s="62" t="s">
        <v>11</v>
      </c>
      <c r="B70" s="62">
        <v>2500</v>
      </c>
      <c r="C70" s="62">
        <v>16</v>
      </c>
      <c r="D70" s="62">
        <v>0.216</v>
      </c>
      <c r="E70" s="62">
        <v>144.70650000000001</v>
      </c>
      <c r="F70" s="62">
        <v>7.585</v>
      </c>
      <c r="G70" s="62">
        <v>47.404200000000003</v>
      </c>
      <c r="H70" s="62">
        <v>3.24</v>
      </c>
    </row>
    <row r="71" spans="1:8" x14ac:dyDescent="0.15">
      <c r="A71" s="62" t="s">
        <v>11</v>
      </c>
      <c r="B71" s="62">
        <v>2500</v>
      </c>
      <c r="C71" s="62">
        <v>16</v>
      </c>
      <c r="D71" s="62">
        <v>0.21579999999999999</v>
      </c>
      <c r="E71" s="62">
        <v>144.8014</v>
      </c>
      <c r="F71" s="62">
        <v>7.59</v>
      </c>
      <c r="G71" s="62">
        <v>47.435200000000002</v>
      </c>
      <c r="H71" s="62">
        <v>3.24</v>
      </c>
    </row>
    <row r="72" spans="1:8" x14ac:dyDescent="0.15">
      <c r="A72" s="62" t="s">
        <v>11</v>
      </c>
      <c r="B72" s="62">
        <v>2500</v>
      </c>
      <c r="C72" s="62">
        <v>16</v>
      </c>
      <c r="D72" s="62">
        <v>0.21190000000000001</v>
      </c>
      <c r="E72" s="62">
        <v>147.50899999999999</v>
      </c>
      <c r="F72" s="62">
        <v>7.7320000000000002</v>
      </c>
      <c r="G72" s="62">
        <v>48.322200000000002</v>
      </c>
      <c r="H72" s="62">
        <v>3.17</v>
      </c>
    </row>
    <row r="73" spans="1:8" x14ac:dyDescent="0.15">
      <c r="A73" s="62" t="s">
        <v>11</v>
      </c>
      <c r="B73" s="62">
        <v>2500</v>
      </c>
      <c r="C73" s="62">
        <v>16</v>
      </c>
      <c r="D73" s="62">
        <v>0.21460000000000001</v>
      </c>
      <c r="E73" s="62">
        <v>145.64349999999999</v>
      </c>
      <c r="F73" s="62">
        <v>7.6340000000000003</v>
      </c>
      <c r="G73" s="62">
        <v>47.711100000000002</v>
      </c>
      <c r="H73" s="62">
        <v>3.22</v>
      </c>
    </row>
    <row r="74" spans="1:8" x14ac:dyDescent="0.15">
      <c r="A74" s="62" t="s">
        <v>11</v>
      </c>
      <c r="B74" s="62">
        <v>2500</v>
      </c>
      <c r="C74" s="62">
        <v>16</v>
      </c>
      <c r="D74" s="62">
        <v>0.21529999999999999</v>
      </c>
      <c r="E74" s="62">
        <v>145.14840000000001</v>
      </c>
      <c r="F74" s="62">
        <v>7.6079999999999997</v>
      </c>
      <c r="G74" s="62">
        <v>47.548900000000003</v>
      </c>
      <c r="H74" s="62">
        <v>3.23</v>
      </c>
    </row>
    <row r="75" spans="1:8" x14ac:dyDescent="0.15">
      <c r="A75" s="62" t="s">
        <v>11</v>
      </c>
      <c r="B75" s="62">
        <v>2500</v>
      </c>
      <c r="C75" s="62">
        <v>16</v>
      </c>
      <c r="D75" s="62">
        <v>0.2233</v>
      </c>
      <c r="E75" s="62">
        <v>139.94479999999999</v>
      </c>
      <c r="F75" s="62">
        <v>7.335</v>
      </c>
      <c r="G75" s="62">
        <v>45.844299999999997</v>
      </c>
      <c r="H75" s="62">
        <v>3.36</v>
      </c>
    </row>
    <row r="76" spans="1:8" x14ac:dyDescent="0.15">
      <c r="A76" s="62" t="s">
        <v>11</v>
      </c>
      <c r="B76" s="62">
        <v>2500</v>
      </c>
      <c r="C76" s="62">
        <v>16</v>
      </c>
      <c r="D76" s="62">
        <v>0.2117</v>
      </c>
      <c r="E76" s="62">
        <v>147.61930000000001</v>
      </c>
      <c r="F76" s="62">
        <v>7.7370000000000001</v>
      </c>
      <c r="G76" s="62">
        <v>48.358400000000003</v>
      </c>
      <c r="H76" s="62">
        <v>3.17</v>
      </c>
    </row>
    <row r="77" spans="1:8" x14ac:dyDescent="0.15">
      <c r="A77" s="62" t="s">
        <v>11</v>
      </c>
      <c r="B77" s="62">
        <v>2500</v>
      </c>
      <c r="C77" s="62">
        <v>16</v>
      </c>
      <c r="D77" s="62">
        <v>0.21679999999999999</v>
      </c>
      <c r="E77" s="62">
        <v>144.13509999999999</v>
      </c>
      <c r="F77" s="62">
        <v>7.5549999999999997</v>
      </c>
      <c r="G77" s="62">
        <v>47.216999999999999</v>
      </c>
      <c r="H77" s="62">
        <v>3.26</v>
      </c>
    </row>
    <row r="78" spans="1:8" x14ac:dyDescent="0.15">
      <c r="A78" s="62" t="s">
        <v>11</v>
      </c>
      <c r="B78" s="62">
        <v>2500</v>
      </c>
      <c r="C78" s="62">
        <v>16</v>
      </c>
      <c r="D78" s="62">
        <v>0.21479999999999999</v>
      </c>
      <c r="E78" s="62">
        <v>145.4864</v>
      </c>
      <c r="F78" s="62">
        <v>7.6260000000000003</v>
      </c>
      <c r="G78" s="62">
        <v>47.659599999999998</v>
      </c>
      <c r="H78" s="62">
        <v>3.22</v>
      </c>
    </row>
    <row r="79" spans="1:8" x14ac:dyDescent="0.15">
      <c r="A79" s="62" t="s">
        <v>11</v>
      </c>
      <c r="B79" s="62">
        <v>2500</v>
      </c>
      <c r="C79" s="62">
        <v>16</v>
      </c>
      <c r="D79" s="62">
        <v>0.21510000000000001</v>
      </c>
      <c r="E79" s="62">
        <v>145.3142</v>
      </c>
      <c r="F79" s="62">
        <v>7.617</v>
      </c>
      <c r="G79" s="62">
        <v>47.603200000000001</v>
      </c>
      <c r="H79" s="62">
        <v>3.22</v>
      </c>
    </row>
    <row r="80" spans="1:8" x14ac:dyDescent="0.15">
      <c r="A80" s="62" t="s">
        <v>11</v>
      </c>
      <c r="B80" s="62">
        <v>2500</v>
      </c>
      <c r="C80" s="62">
        <v>16</v>
      </c>
      <c r="D80" s="62">
        <v>0.21690000000000001</v>
      </c>
      <c r="E80" s="62">
        <v>144.10820000000001</v>
      </c>
      <c r="F80" s="62">
        <v>7.5529999999999999</v>
      </c>
      <c r="G80" s="62">
        <v>47.208199999999998</v>
      </c>
      <c r="H80" s="62">
        <v>3.26</v>
      </c>
    </row>
    <row r="81" spans="1:8" x14ac:dyDescent="0.15">
      <c r="A81" s="62" t="s">
        <v>11</v>
      </c>
      <c r="B81" s="62">
        <v>2500</v>
      </c>
      <c r="C81" s="62">
        <v>16</v>
      </c>
      <c r="D81" s="62">
        <v>0.2155</v>
      </c>
      <c r="E81" s="62">
        <v>145.03729999999999</v>
      </c>
      <c r="F81" s="62">
        <v>7.6020000000000003</v>
      </c>
      <c r="G81" s="62">
        <v>47.512500000000003</v>
      </c>
      <c r="H81" s="62">
        <v>3.23</v>
      </c>
    </row>
    <row r="82" spans="1:8" x14ac:dyDescent="0.15">
      <c r="A82" s="62" t="s">
        <v>11</v>
      </c>
      <c r="B82" s="62">
        <v>2500</v>
      </c>
      <c r="C82" s="62">
        <v>16</v>
      </c>
      <c r="D82" s="62">
        <v>0.21740000000000001</v>
      </c>
      <c r="E82" s="62">
        <v>143.7294</v>
      </c>
      <c r="F82" s="62">
        <v>7.5330000000000004</v>
      </c>
      <c r="G82" s="62">
        <v>47.084099999999999</v>
      </c>
      <c r="H82" s="62">
        <v>3.26</v>
      </c>
    </row>
    <row r="83" spans="1:8" x14ac:dyDescent="0.15">
      <c r="A83" s="62" t="s">
        <v>11</v>
      </c>
      <c r="B83" s="62">
        <v>2500</v>
      </c>
      <c r="C83" s="62">
        <v>16</v>
      </c>
      <c r="D83" s="62">
        <v>0.2145</v>
      </c>
      <c r="E83" s="62">
        <v>145.69139999999999</v>
      </c>
      <c r="F83" s="62">
        <v>7.6360000000000001</v>
      </c>
      <c r="G83" s="62">
        <v>47.726799999999997</v>
      </c>
      <c r="H83" s="62">
        <v>3.22</v>
      </c>
    </row>
    <row r="84" spans="1:8" x14ac:dyDescent="0.15">
      <c r="A84" s="62" t="s">
        <v>11</v>
      </c>
      <c r="B84" s="62">
        <v>2500</v>
      </c>
      <c r="C84" s="62">
        <v>16</v>
      </c>
      <c r="D84" s="62">
        <v>0.21740000000000001</v>
      </c>
      <c r="E84" s="62">
        <v>143.77369999999999</v>
      </c>
      <c r="F84" s="62">
        <v>7.5359999999999996</v>
      </c>
      <c r="G84" s="62">
        <v>47.098599999999998</v>
      </c>
      <c r="H84" s="62">
        <v>3.26</v>
      </c>
    </row>
    <row r="85" spans="1:8" x14ac:dyDescent="0.15">
      <c r="A85" s="62" t="s">
        <v>11</v>
      </c>
      <c r="B85" s="62">
        <v>2500</v>
      </c>
      <c r="C85" s="62">
        <v>16</v>
      </c>
      <c r="D85" s="62">
        <v>0.2155</v>
      </c>
      <c r="E85" s="62">
        <v>144.9854</v>
      </c>
      <c r="F85" s="62">
        <v>7.5990000000000002</v>
      </c>
      <c r="G85" s="62">
        <v>47.4955</v>
      </c>
      <c r="H85" s="62">
        <v>3.24</v>
      </c>
    </row>
    <row r="86" spans="1:8" x14ac:dyDescent="0.15">
      <c r="A86" s="62" t="s">
        <v>11</v>
      </c>
      <c r="B86" s="62">
        <v>2500</v>
      </c>
      <c r="C86" s="62">
        <v>16</v>
      </c>
      <c r="D86" s="62">
        <v>0.2185</v>
      </c>
      <c r="E86" s="62">
        <v>143.04769999999999</v>
      </c>
      <c r="F86" s="62">
        <v>7.4980000000000002</v>
      </c>
      <c r="G86" s="62">
        <v>46.860799999999998</v>
      </c>
      <c r="H86" s="62">
        <v>3.28</v>
      </c>
    </row>
    <row r="87" spans="1:8" x14ac:dyDescent="0.15">
      <c r="A87" s="62" t="s">
        <v>11</v>
      </c>
      <c r="B87" s="62">
        <v>2500</v>
      </c>
      <c r="C87" s="62">
        <v>16</v>
      </c>
      <c r="D87" s="62">
        <v>0.2291</v>
      </c>
      <c r="E87" s="62">
        <v>136.42449999999999</v>
      </c>
      <c r="F87" s="62">
        <v>7.1509999999999998</v>
      </c>
      <c r="G87" s="62">
        <v>44.691099999999999</v>
      </c>
      <c r="H87" s="62">
        <v>3.51</v>
      </c>
    </row>
    <row r="88" spans="1:8" x14ac:dyDescent="0.15">
      <c r="A88" s="62" t="s">
        <v>11</v>
      </c>
      <c r="B88" s="62">
        <v>2500</v>
      </c>
      <c r="C88" s="62">
        <v>16</v>
      </c>
      <c r="D88" s="62">
        <v>0.21840000000000001</v>
      </c>
      <c r="E88" s="62">
        <v>143.09559999999999</v>
      </c>
      <c r="F88" s="62">
        <v>7.5</v>
      </c>
      <c r="G88" s="62">
        <v>46.876399999999997</v>
      </c>
      <c r="H88" s="62">
        <v>3.26</v>
      </c>
    </row>
    <row r="89" spans="1:8" x14ac:dyDescent="0.15">
      <c r="A89" s="62" t="s">
        <v>11</v>
      </c>
      <c r="B89" s="62">
        <v>2500</v>
      </c>
      <c r="C89" s="62">
        <v>16</v>
      </c>
      <c r="D89" s="62">
        <v>0.21479999999999999</v>
      </c>
      <c r="E89" s="62">
        <v>145.45609999999999</v>
      </c>
      <c r="F89" s="62">
        <v>7.6239999999999997</v>
      </c>
      <c r="G89" s="62">
        <v>47.649700000000003</v>
      </c>
      <c r="H89" s="62">
        <v>3.22</v>
      </c>
    </row>
    <row r="90" spans="1:8" x14ac:dyDescent="0.15">
      <c r="A90" s="62" t="s">
        <v>11</v>
      </c>
      <c r="B90" s="62">
        <v>2500</v>
      </c>
      <c r="C90" s="62">
        <v>16</v>
      </c>
      <c r="D90" s="62">
        <v>0.215</v>
      </c>
      <c r="E90" s="62">
        <v>145.34899999999999</v>
      </c>
      <c r="F90" s="62">
        <v>7.6180000000000003</v>
      </c>
      <c r="G90" s="62">
        <v>47.614600000000003</v>
      </c>
      <c r="H90" s="62">
        <v>3.22</v>
      </c>
    </row>
    <row r="91" spans="1:8" x14ac:dyDescent="0.15">
      <c r="A91" s="62" t="s">
        <v>11</v>
      </c>
      <c r="B91" s="62">
        <v>2500</v>
      </c>
      <c r="C91" s="62">
        <v>16</v>
      </c>
      <c r="D91" s="62">
        <v>0.21460000000000001</v>
      </c>
      <c r="E91" s="62">
        <v>145.62540000000001</v>
      </c>
      <c r="F91" s="62">
        <v>7.633</v>
      </c>
      <c r="G91" s="62">
        <v>47.705199999999998</v>
      </c>
      <c r="H91" s="62">
        <v>3.22</v>
      </c>
    </row>
    <row r="92" spans="1:8" x14ac:dyDescent="0.15">
      <c r="A92" s="62" t="s">
        <v>11</v>
      </c>
      <c r="B92" s="62">
        <v>2500</v>
      </c>
      <c r="C92" s="62">
        <v>16</v>
      </c>
      <c r="D92" s="62">
        <v>0.21609999999999999</v>
      </c>
      <c r="E92" s="62">
        <v>144.5864</v>
      </c>
      <c r="F92" s="62">
        <v>7.5780000000000003</v>
      </c>
      <c r="G92" s="62">
        <v>47.364800000000002</v>
      </c>
      <c r="H92" s="62">
        <v>3.25</v>
      </c>
    </row>
    <row r="93" spans="1:8" x14ac:dyDescent="0.15">
      <c r="A93" s="62" t="s">
        <v>11</v>
      </c>
      <c r="B93" s="62">
        <v>2500</v>
      </c>
      <c r="C93" s="62">
        <v>16</v>
      </c>
      <c r="D93" s="62">
        <v>0.2157</v>
      </c>
      <c r="E93" s="62">
        <v>144.8776</v>
      </c>
      <c r="F93" s="62">
        <v>7.5940000000000003</v>
      </c>
      <c r="G93" s="62">
        <v>47.4602</v>
      </c>
      <c r="H93" s="62">
        <v>3.23</v>
      </c>
    </row>
    <row r="94" spans="1:8" x14ac:dyDescent="0.15">
      <c r="A94" s="62" t="s">
        <v>11</v>
      </c>
      <c r="B94" s="62">
        <v>2500</v>
      </c>
      <c r="C94" s="62">
        <v>16</v>
      </c>
      <c r="D94" s="62">
        <v>0.2137</v>
      </c>
      <c r="E94" s="62">
        <v>146.2302</v>
      </c>
      <c r="F94" s="62">
        <v>7.665</v>
      </c>
      <c r="G94" s="62">
        <v>47.903300000000002</v>
      </c>
      <c r="H94" s="62">
        <v>3.21</v>
      </c>
    </row>
    <row r="95" spans="1:8" x14ac:dyDescent="0.15">
      <c r="A95" s="62" t="s">
        <v>11</v>
      </c>
      <c r="B95" s="62">
        <v>2500</v>
      </c>
      <c r="C95" s="62">
        <v>16</v>
      </c>
      <c r="D95" s="62">
        <v>0.21379999999999999</v>
      </c>
      <c r="E95" s="62">
        <v>146.18270000000001</v>
      </c>
      <c r="F95" s="62">
        <v>7.6619999999999999</v>
      </c>
      <c r="G95" s="62">
        <v>47.887700000000002</v>
      </c>
      <c r="H95" s="62">
        <v>3.19</v>
      </c>
    </row>
    <row r="96" spans="1:8" x14ac:dyDescent="0.15">
      <c r="A96" s="62" t="s">
        <v>11</v>
      </c>
      <c r="B96" s="62">
        <v>2500</v>
      </c>
      <c r="C96" s="62">
        <v>16</v>
      </c>
      <c r="D96" s="62">
        <v>0.21429999999999999</v>
      </c>
      <c r="E96" s="62">
        <v>145.8186</v>
      </c>
      <c r="F96" s="62">
        <v>7.6429999999999998</v>
      </c>
      <c r="G96" s="62">
        <v>47.768500000000003</v>
      </c>
      <c r="H96" s="62">
        <v>3.19</v>
      </c>
    </row>
    <row r="97" spans="1:8" x14ac:dyDescent="0.15">
      <c r="A97" s="62" t="s">
        <v>11</v>
      </c>
      <c r="B97" s="62">
        <v>2500</v>
      </c>
      <c r="C97" s="62">
        <v>16</v>
      </c>
      <c r="D97" s="62">
        <v>0.20810000000000001</v>
      </c>
      <c r="E97" s="62">
        <v>150.19069999999999</v>
      </c>
      <c r="F97" s="62">
        <v>7.8719999999999999</v>
      </c>
      <c r="G97" s="62">
        <v>49.200699999999998</v>
      </c>
      <c r="H97" s="62">
        <v>3.08</v>
      </c>
    </row>
    <row r="98" spans="1:8" x14ac:dyDescent="0.15">
      <c r="A98" s="62" t="s">
        <v>11</v>
      </c>
      <c r="B98" s="62">
        <v>2500</v>
      </c>
      <c r="C98" s="62">
        <v>16</v>
      </c>
      <c r="D98" s="62">
        <v>0.21679999999999999</v>
      </c>
      <c r="E98" s="62">
        <v>144.13919999999999</v>
      </c>
      <c r="F98" s="62">
        <v>7.5549999999999997</v>
      </c>
      <c r="G98" s="62">
        <v>47.218299999999999</v>
      </c>
      <c r="H98" s="62">
        <v>3.24</v>
      </c>
    </row>
    <row r="99" spans="1:8" x14ac:dyDescent="0.15">
      <c r="A99" s="62" t="s">
        <v>11</v>
      </c>
      <c r="B99" s="62">
        <v>2500</v>
      </c>
      <c r="C99" s="62">
        <v>16</v>
      </c>
      <c r="D99" s="62">
        <v>0.217</v>
      </c>
      <c r="E99" s="62">
        <v>143.99950000000001</v>
      </c>
      <c r="F99" s="62">
        <v>7.548</v>
      </c>
      <c r="G99" s="62">
        <v>47.172600000000003</v>
      </c>
      <c r="H99" s="62">
        <v>3.26</v>
      </c>
    </row>
    <row r="100" spans="1:8" x14ac:dyDescent="0.15">
      <c r="A100" s="62" t="s">
        <v>11</v>
      </c>
      <c r="B100" s="62">
        <v>2500</v>
      </c>
      <c r="C100" s="62">
        <v>16</v>
      </c>
      <c r="D100" s="62">
        <v>0.21970000000000001</v>
      </c>
      <c r="E100" s="62">
        <v>142.21</v>
      </c>
      <c r="F100" s="62">
        <v>7.4539999999999997</v>
      </c>
      <c r="G100" s="62">
        <v>46.586300000000001</v>
      </c>
      <c r="H100" s="62">
        <v>3.3</v>
      </c>
    </row>
    <row r="101" spans="1:8" x14ac:dyDescent="0.15">
      <c r="A101" s="62" t="s">
        <v>11</v>
      </c>
      <c r="B101" s="62">
        <v>2500</v>
      </c>
      <c r="C101" s="62">
        <v>16</v>
      </c>
      <c r="D101" s="62">
        <v>0.21859999999999999</v>
      </c>
      <c r="E101" s="62">
        <v>142.9829</v>
      </c>
      <c r="F101" s="62">
        <v>7.4939999999999998</v>
      </c>
      <c r="G101" s="62">
        <v>46.839500000000001</v>
      </c>
      <c r="H101" s="62">
        <v>3.28</v>
      </c>
    </row>
    <row r="102" spans="1:8" x14ac:dyDescent="0.15">
      <c r="A102" s="62" t="s">
        <v>11</v>
      </c>
      <c r="B102" s="62">
        <v>2500</v>
      </c>
      <c r="C102" s="62">
        <v>16</v>
      </c>
      <c r="D102" s="62">
        <v>0.21629999999999999</v>
      </c>
      <c r="E102" s="62">
        <v>144.48050000000001</v>
      </c>
      <c r="F102" s="62">
        <v>7.5730000000000004</v>
      </c>
      <c r="G102" s="62">
        <v>47.330100000000002</v>
      </c>
      <c r="H102" s="62">
        <v>3.24</v>
      </c>
    </row>
    <row r="103" spans="1:8" x14ac:dyDescent="0.15">
      <c r="A103" s="62" t="s">
        <v>11</v>
      </c>
      <c r="B103" s="62">
        <v>2500</v>
      </c>
      <c r="C103" s="62">
        <v>16</v>
      </c>
      <c r="D103" s="62">
        <v>0.21560000000000001</v>
      </c>
      <c r="E103" s="62">
        <v>144.9469</v>
      </c>
      <c r="F103" s="62">
        <v>7.5970000000000004</v>
      </c>
      <c r="G103" s="62">
        <v>47.482900000000001</v>
      </c>
      <c r="H103" s="62">
        <v>3.24</v>
      </c>
    </row>
    <row r="104" spans="1:8" x14ac:dyDescent="0.15">
      <c r="A104" s="62" t="s">
        <v>11</v>
      </c>
      <c r="B104" s="62">
        <v>2500</v>
      </c>
      <c r="C104" s="62">
        <v>16</v>
      </c>
      <c r="D104" s="62">
        <v>0.21160000000000001</v>
      </c>
      <c r="E104" s="62">
        <v>147.66239999999999</v>
      </c>
      <c r="F104" s="62">
        <v>7.74</v>
      </c>
      <c r="G104" s="62">
        <v>48.372500000000002</v>
      </c>
      <c r="H104" s="62">
        <v>3.17</v>
      </c>
    </row>
    <row r="105" spans="1:8" x14ac:dyDescent="0.15">
      <c r="A105" s="62" t="s">
        <v>11</v>
      </c>
      <c r="B105" s="62">
        <v>2500</v>
      </c>
      <c r="C105" s="62">
        <v>16</v>
      </c>
      <c r="D105" s="62">
        <v>0.2147</v>
      </c>
      <c r="E105" s="62">
        <v>145.56829999999999</v>
      </c>
      <c r="F105" s="62">
        <v>7.63</v>
      </c>
      <c r="G105" s="62">
        <v>47.686500000000002</v>
      </c>
      <c r="H105" s="62">
        <v>3.22</v>
      </c>
    </row>
    <row r="106" spans="1:8" x14ac:dyDescent="0.15">
      <c r="A106" s="62" t="s">
        <v>11</v>
      </c>
      <c r="B106" s="62">
        <v>2500</v>
      </c>
      <c r="C106" s="62">
        <v>16</v>
      </c>
      <c r="D106" s="62">
        <v>0.2165</v>
      </c>
      <c r="E106" s="62">
        <v>144.35830000000001</v>
      </c>
      <c r="F106" s="62">
        <v>7.5659999999999998</v>
      </c>
      <c r="G106" s="62">
        <v>47.290100000000002</v>
      </c>
      <c r="H106" s="62">
        <v>3.25</v>
      </c>
    </row>
    <row r="107" spans="1:8" x14ac:dyDescent="0.15">
      <c r="A107" s="62" t="s">
        <v>11</v>
      </c>
      <c r="B107" s="62">
        <v>2500</v>
      </c>
      <c r="C107" s="62">
        <v>16</v>
      </c>
      <c r="D107" s="62">
        <v>0.21310000000000001</v>
      </c>
      <c r="E107" s="62">
        <v>146.63579999999999</v>
      </c>
      <c r="F107" s="62">
        <v>7.6859999999999999</v>
      </c>
      <c r="G107" s="62">
        <v>48.036200000000001</v>
      </c>
      <c r="H107" s="62">
        <v>3.2</v>
      </c>
    </row>
    <row r="108" spans="1:8" x14ac:dyDescent="0.15">
      <c r="A108" s="62" t="s">
        <v>11</v>
      </c>
      <c r="B108" s="62">
        <v>2500</v>
      </c>
      <c r="C108" s="62">
        <v>16</v>
      </c>
      <c r="D108" s="62">
        <v>0.1237</v>
      </c>
      <c r="E108" s="62">
        <v>252.7218</v>
      </c>
      <c r="F108" s="62">
        <v>13.246</v>
      </c>
      <c r="G108" s="62">
        <v>82.788700000000006</v>
      </c>
      <c r="H108" s="62">
        <v>1.95</v>
      </c>
    </row>
    <row r="109" spans="1:8" x14ac:dyDescent="0.15">
      <c r="A109" s="62" t="s">
        <v>11</v>
      </c>
      <c r="B109" s="62">
        <v>2500</v>
      </c>
      <c r="C109" s="62">
        <v>16</v>
      </c>
      <c r="D109" s="62">
        <v>0.1221</v>
      </c>
      <c r="E109" s="62">
        <v>255.93459999999999</v>
      </c>
      <c r="F109" s="62">
        <v>13.414999999999999</v>
      </c>
      <c r="G109" s="62">
        <v>83.841200000000001</v>
      </c>
      <c r="H109" s="62">
        <v>1.95</v>
      </c>
    </row>
    <row r="110" spans="1:8" x14ac:dyDescent="0.15">
      <c r="A110" s="62" t="s">
        <v>11</v>
      </c>
      <c r="B110" s="62">
        <v>2500</v>
      </c>
      <c r="C110" s="62">
        <v>16</v>
      </c>
      <c r="D110" s="62">
        <v>0.1172</v>
      </c>
      <c r="E110" s="62">
        <v>266.57819999999998</v>
      </c>
      <c r="F110" s="62">
        <v>13.972</v>
      </c>
      <c r="G110" s="62">
        <v>87.3279</v>
      </c>
      <c r="H110" s="62">
        <v>1.87</v>
      </c>
    </row>
    <row r="111" spans="1:8" x14ac:dyDescent="0.15">
      <c r="A111" s="62" t="s">
        <v>11</v>
      </c>
      <c r="B111" s="62">
        <v>2500</v>
      </c>
      <c r="C111" s="62">
        <v>16</v>
      </c>
      <c r="D111" s="62">
        <v>0.1176</v>
      </c>
      <c r="E111" s="62">
        <v>265.7115</v>
      </c>
      <c r="F111" s="62">
        <v>13.927</v>
      </c>
      <c r="G111" s="62">
        <v>87.043999999999997</v>
      </c>
      <c r="H111" s="62">
        <v>1.88</v>
      </c>
    </row>
    <row r="112" spans="1:8" x14ac:dyDescent="0.15">
      <c r="A112" s="62" t="s">
        <v>11</v>
      </c>
      <c r="B112" s="62">
        <v>2500</v>
      </c>
      <c r="C112" s="62">
        <v>16</v>
      </c>
      <c r="D112" s="62">
        <v>0.11459999999999999</v>
      </c>
      <c r="E112" s="62">
        <v>272.61360000000002</v>
      </c>
      <c r="F112" s="62">
        <v>14.289</v>
      </c>
      <c r="G112" s="62">
        <v>89.305000000000007</v>
      </c>
      <c r="H112" s="62">
        <v>1.83</v>
      </c>
    </row>
    <row r="113" spans="1:8" x14ac:dyDescent="0.15">
      <c r="A113" s="62" t="s">
        <v>11</v>
      </c>
      <c r="B113" s="62">
        <v>2500</v>
      </c>
      <c r="C113" s="62">
        <v>16</v>
      </c>
      <c r="D113" s="62">
        <v>0.14219999999999999</v>
      </c>
      <c r="E113" s="62">
        <v>219.78579999999999</v>
      </c>
      <c r="F113" s="62">
        <v>11.52</v>
      </c>
      <c r="G113" s="62">
        <v>71.999200000000002</v>
      </c>
      <c r="H113" s="62">
        <v>2.23</v>
      </c>
    </row>
    <row r="114" spans="1:8" x14ac:dyDescent="0.15">
      <c r="A114" s="62" t="s">
        <v>11</v>
      </c>
      <c r="B114" s="62">
        <v>2500</v>
      </c>
      <c r="C114" s="62">
        <v>16</v>
      </c>
      <c r="D114" s="62">
        <v>0.1145</v>
      </c>
      <c r="E114" s="62">
        <v>272.89499999999998</v>
      </c>
      <c r="F114" s="62">
        <v>14.304</v>
      </c>
      <c r="G114" s="62">
        <v>89.397199999999998</v>
      </c>
      <c r="H114" s="62">
        <v>1.83</v>
      </c>
    </row>
    <row r="115" spans="1:8" x14ac:dyDescent="0.15">
      <c r="A115" s="62" t="s">
        <v>11</v>
      </c>
      <c r="B115" s="62">
        <v>2505</v>
      </c>
      <c r="C115" s="62">
        <v>1</v>
      </c>
      <c r="D115" s="62">
        <v>1.6428</v>
      </c>
      <c r="E115" s="62">
        <v>19.136800000000001</v>
      </c>
      <c r="F115" s="62">
        <v>1</v>
      </c>
      <c r="G115" s="62">
        <v>100</v>
      </c>
      <c r="H115" s="62">
        <v>1.64</v>
      </c>
    </row>
    <row r="116" spans="1:8" x14ac:dyDescent="0.15">
      <c r="A116" s="62" t="s">
        <v>11</v>
      </c>
      <c r="B116" s="62">
        <v>2505</v>
      </c>
      <c r="C116" s="62">
        <v>1</v>
      </c>
      <c r="D116" s="62">
        <v>1.6312</v>
      </c>
      <c r="E116" s="62">
        <v>19.272400000000001</v>
      </c>
      <c r="F116" s="62">
        <v>1.0069999999999999</v>
      </c>
      <c r="G116" s="62">
        <v>100.7088</v>
      </c>
      <c r="H116" s="62">
        <v>1.63</v>
      </c>
    </row>
    <row r="117" spans="1:8" x14ac:dyDescent="0.15">
      <c r="A117" s="62" t="s">
        <v>11</v>
      </c>
      <c r="B117" s="62">
        <v>2505</v>
      </c>
      <c r="C117" s="62">
        <v>1</v>
      </c>
      <c r="D117" s="62">
        <v>1.6312</v>
      </c>
      <c r="E117" s="62">
        <v>19.272300000000001</v>
      </c>
      <c r="F117" s="62">
        <v>1.0069999999999999</v>
      </c>
      <c r="G117" s="62">
        <v>100.70820000000001</v>
      </c>
      <c r="H117" s="62">
        <v>1.63</v>
      </c>
    </row>
    <row r="118" spans="1:8" x14ac:dyDescent="0.15">
      <c r="A118" s="62" t="s">
        <v>11</v>
      </c>
      <c r="B118" s="62">
        <v>2505</v>
      </c>
      <c r="C118" s="62">
        <v>1</v>
      </c>
      <c r="D118" s="62">
        <v>1.6312</v>
      </c>
      <c r="E118" s="62">
        <v>19.2728</v>
      </c>
      <c r="F118" s="62">
        <v>1.0069999999999999</v>
      </c>
      <c r="G118" s="62">
        <v>100.7105</v>
      </c>
      <c r="H118" s="62">
        <v>1.63</v>
      </c>
    </row>
    <row r="119" spans="1:8" x14ac:dyDescent="0.15">
      <c r="A119" s="62" t="s">
        <v>11</v>
      </c>
      <c r="B119" s="62">
        <v>2505</v>
      </c>
      <c r="C119" s="62">
        <v>1</v>
      </c>
      <c r="D119" s="62">
        <v>1.6311</v>
      </c>
      <c r="E119" s="62">
        <v>19.273800000000001</v>
      </c>
      <c r="F119" s="62">
        <v>1.0069999999999999</v>
      </c>
      <c r="G119" s="62">
        <v>100.7162</v>
      </c>
      <c r="H119" s="62">
        <v>1.63</v>
      </c>
    </row>
    <row r="120" spans="1:8" x14ac:dyDescent="0.15">
      <c r="A120" s="62" t="s">
        <v>11</v>
      </c>
      <c r="B120" s="62">
        <v>2505</v>
      </c>
      <c r="C120" s="62">
        <v>1</v>
      </c>
      <c r="D120" s="62">
        <v>1.6312</v>
      </c>
      <c r="E120" s="62">
        <v>19.272400000000001</v>
      </c>
      <c r="F120" s="62">
        <v>1.0069999999999999</v>
      </c>
      <c r="G120" s="62">
        <v>100.7088</v>
      </c>
      <c r="H120" s="62">
        <v>1.64</v>
      </c>
    </row>
    <row r="121" spans="1:8" x14ac:dyDescent="0.15">
      <c r="A121" s="62" t="s">
        <v>11</v>
      </c>
      <c r="B121" s="62">
        <v>2505</v>
      </c>
      <c r="C121" s="62">
        <v>15</v>
      </c>
      <c r="D121" s="62">
        <v>0.12479999999999999</v>
      </c>
      <c r="E121" s="62">
        <v>251.90450000000001</v>
      </c>
      <c r="F121" s="62">
        <v>13.163</v>
      </c>
      <c r="G121" s="62">
        <v>87.755700000000004</v>
      </c>
      <c r="H121" s="62">
        <v>1.87</v>
      </c>
    </row>
    <row r="122" spans="1:8" x14ac:dyDescent="0.15">
      <c r="A122" s="62" t="s">
        <v>11</v>
      </c>
      <c r="B122" s="62">
        <v>2505</v>
      </c>
      <c r="C122" s="62">
        <v>15</v>
      </c>
      <c r="D122" s="62">
        <v>0.124</v>
      </c>
      <c r="E122" s="62">
        <v>253.59270000000001</v>
      </c>
      <c r="F122" s="62">
        <v>13.252000000000001</v>
      </c>
      <c r="G122" s="62">
        <v>88.343900000000005</v>
      </c>
      <c r="H122" s="62">
        <v>1.86</v>
      </c>
    </row>
    <row r="123" spans="1:8" x14ac:dyDescent="0.15">
      <c r="A123" s="62" t="s">
        <v>11</v>
      </c>
      <c r="B123" s="62">
        <v>2505</v>
      </c>
      <c r="C123" s="62">
        <v>15</v>
      </c>
      <c r="D123" s="62">
        <v>0.1241</v>
      </c>
      <c r="E123" s="62">
        <v>253.3493</v>
      </c>
      <c r="F123" s="62">
        <v>13.239000000000001</v>
      </c>
      <c r="G123" s="62">
        <v>88.259100000000004</v>
      </c>
      <c r="H123" s="62">
        <v>1.86</v>
      </c>
    </row>
    <row r="124" spans="1:8" x14ac:dyDescent="0.15">
      <c r="A124" s="62" t="s">
        <v>11</v>
      </c>
      <c r="B124" s="62">
        <v>2505</v>
      </c>
      <c r="C124" s="62">
        <v>15</v>
      </c>
      <c r="D124" s="62">
        <v>0.1245</v>
      </c>
      <c r="E124" s="62">
        <v>252.61359999999999</v>
      </c>
      <c r="F124" s="62">
        <v>13.2</v>
      </c>
      <c r="G124" s="62">
        <v>88.002799999999993</v>
      </c>
      <c r="H124" s="62">
        <v>1.87</v>
      </c>
    </row>
    <row r="125" spans="1:8" x14ac:dyDescent="0.15">
      <c r="A125" s="62" t="s">
        <v>11</v>
      </c>
      <c r="B125" s="62">
        <v>2505</v>
      </c>
      <c r="C125" s="62">
        <v>15</v>
      </c>
      <c r="D125" s="62">
        <v>0.1241</v>
      </c>
      <c r="E125" s="62">
        <v>253.26779999999999</v>
      </c>
      <c r="F125" s="62">
        <v>13.234999999999999</v>
      </c>
      <c r="G125" s="62">
        <v>88.230699999999999</v>
      </c>
      <c r="H125" s="62">
        <v>1.86</v>
      </c>
    </row>
    <row r="126" spans="1:8" x14ac:dyDescent="0.15">
      <c r="A126" s="62" t="s">
        <v>11</v>
      </c>
      <c r="B126" s="62">
        <v>2505</v>
      </c>
      <c r="C126" s="62">
        <v>15</v>
      </c>
      <c r="D126" s="62">
        <v>0.1258</v>
      </c>
      <c r="E126" s="62">
        <v>249.929</v>
      </c>
      <c r="F126" s="62">
        <v>13.06</v>
      </c>
      <c r="G126" s="62">
        <v>87.067499999999995</v>
      </c>
      <c r="H126" s="62">
        <v>1.89</v>
      </c>
    </row>
    <row r="127" spans="1:8" x14ac:dyDescent="0.15">
      <c r="A127" s="62" t="s">
        <v>11</v>
      </c>
      <c r="B127" s="62">
        <v>2505</v>
      </c>
      <c r="C127" s="62">
        <v>15</v>
      </c>
      <c r="D127" s="62">
        <v>0.1246</v>
      </c>
      <c r="E127" s="62">
        <v>252.2484</v>
      </c>
      <c r="F127" s="62">
        <v>13.180999999999999</v>
      </c>
      <c r="G127" s="62">
        <v>87.875500000000002</v>
      </c>
      <c r="H127" s="62">
        <v>1.86</v>
      </c>
    </row>
    <row r="128" spans="1:8" x14ac:dyDescent="0.15">
      <c r="A128" s="62" t="s">
        <v>11</v>
      </c>
      <c r="B128" s="62">
        <v>2505</v>
      </c>
      <c r="C128" s="62">
        <v>15</v>
      </c>
      <c r="D128" s="62">
        <v>0.1239</v>
      </c>
      <c r="E128" s="62">
        <v>253.71299999999999</v>
      </c>
      <c r="F128" s="62">
        <v>13.257999999999999</v>
      </c>
      <c r="G128" s="62">
        <v>88.385800000000003</v>
      </c>
      <c r="H128" s="62">
        <v>1.86</v>
      </c>
    </row>
    <row r="129" spans="1:8" x14ac:dyDescent="0.15">
      <c r="A129" s="62" t="s">
        <v>11</v>
      </c>
      <c r="B129" s="62">
        <v>2505</v>
      </c>
      <c r="C129" s="62">
        <v>15</v>
      </c>
      <c r="D129" s="62">
        <v>0.1241</v>
      </c>
      <c r="E129" s="62">
        <v>253.26490000000001</v>
      </c>
      <c r="F129" s="62">
        <v>13.234</v>
      </c>
      <c r="G129" s="62">
        <v>88.229699999999994</v>
      </c>
      <c r="H129" s="62">
        <v>1.86</v>
      </c>
    </row>
    <row r="130" spans="1:8" x14ac:dyDescent="0.15">
      <c r="A130" s="62" t="s">
        <v>11</v>
      </c>
      <c r="B130" s="62">
        <v>2505</v>
      </c>
      <c r="C130" s="62">
        <v>15</v>
      </c>
      <c r="D130" s="62">
        <v>0.1244</v>
      </c>
      <c r="E130" s="62">
        <v>252.67070000000001</v>
      </c>
      <c r="F130" s="62">
        <v>13.202999999999999</v>
      </c>
      <c r="G130" s="62">
        <v>88.0227</v>
      </c>
      <c r="H130" s="62">
        <v>1.87</v>
      </c>
    </row>
    <row r="131" spans="1:8" x14ac:dyDescent="0.15">
      <c r="A131" s="62" t="s">
        <v>11</v>
      </c>
      <c r="B131" s="62">
        <v>2505</v>
      </c>
      <c r="C131" s="62">
        <v>15</v>
      </c>
      <c r="D131" s="62">
        <v>0.1242</v>
      </c>
      <c r="E131" s="62">
        <v>253.08840000000001</v>
      </c>
      <c r="F131" s="62">
        <v>13.225</v>
      </c>
      <c r="G131" s="62">
        <v>88.168199999999999</v>
      </c>
      <c r="H131" s="62">
        <v>1.86</v>
      </c>
    </row>
    <row r="132" spans="1:8" x14ac:dyDescent="0.15">
      <c r="A132" s="62" t="s">
        <v>11</v>
      </c>
      <c r="B132" s="62">
        <v>2505</v>
      </c>
      <c r="C132" s="62">
        <v>15</v>
      </c>
      <c r="D132" s="62">
        <v>0.1239</v>
      </c>
      <c r="E132" s="62">
        <v>253.68940000000001</v>
      </c>
      <c r="F132" s="62">
        <v>13.257</v>
      </c>
      <c r="G132" s="62">
        <v>88.377600000000001</v>
      </c>
      <c r="H132" s="62">
        <v>1.86</v>
      </c>
    </row>
    <row r="133" spans="1:8" x14ac:dyDescent="0.15">
      <c r="A133" s="62" t="s">
        <v>11</v>
      </c>
      <c r="B133" s="62">
        <v>2505</v>
      </c>
      <c r="C133" s="62">
        <v>15</v>
      </c>
      <c r="D133" s="62">
        <v>0.12429999999999999</v>
      </c>
      <c r="E133" s="62">
        <v>252.8699</v>
      </c>
      <c r="F133" s="62">
        <v>13.214</v>
      </c>
      <c r="G133" s="62">
        <v>88.091999999999999</v>
      </c>
      <c r="H133" s="62">
        <v>1.87</v>
      </c>
    </row>
    <row r="134" spans="1:8" x14ac:dyDescent="0.15">
      <c r="A134" s="62" t="s">
        <v>11</v>
      </c>
      <c r="B134" s="62">
        <v>2505</v>
      </c>
      <c r="C134" s="62">
        <v>15</v>
      </c>
      <c r="D134" s="62">
        <v>0.12509999999999999</v>
      </c>
      <c r="E134" s="62">
        <v>251.2276</v>
      </c>
      <c r="F134" s="62">
        <v>13.128</v>
      </c>
      <c r="G134" s="62">
        <v>87.519900000000007</v>
      </c>
      <c r="H134" s="62">
        <v>1.87</v>
      </c>
    </row>
    <row r="135" spans="1:8" x14ac:dyDescent="0.15">
      <c r="A135" s="62" t="s">
        <v>11</v>
      </c>
      <c r="B135" s="62">
        <v>2505</v>
      </c>
      <c r="C135" s="62">
        <v>15</v>
      </c>
      <c r="D135" s="62">
        <v>0.1245</v>
      </c>
      <c r="E135" s="62">
        <v>252.50210000000001</v>
      </c>
      <c r="F135" s="62">
        <v>13.195</v>
      </c>
      <c r="G135" s="62">
        <v>87.963899999999995</v>
      </c>
      <c r="H135" s="62">
        <v>1.87</v>
      </c>
    </row>
    <row r="136" spans="1:8" x14ac:dyDescent="0.15">
      <c r="A136" s="62" t="s">
        <v>11</v>
      </c>
      <c r="B136" s="62">
        <v>2505</v>
      </c>
      <c r="C136" s="62">
        <v>15</v>
      </c>
      <c r="D136" s="62">
        <v>0.1242</v>
      </c>
      <c r="E136" s="62">
        <v>253.1891</v>
      </c>
      <c r="F136" s="62">
        <v>13.23</v>
      </c>
      <c r="G136" s="62">
        <v>88.203199999999995</v>
      </c>
      <c r="H136" s="62">
        <v>1.86</v>
      </c>
    </row>
    <row r="137" spans="1:8" x14ac:dyDescent="0.15">
      <c r="A137" s="62" t="s">
        <v>11</v>
      </c>
      <c r="B137" s="62">
        <v>2505</v>
      </c>
      <c r="C137" s="62">
        <v>15</v>
      </c>
      <c r="D137" s="62">
        <v>0.1244</v>
      </c>
      <c r="E137" s="62">
        <v>252.75470000000001</v>
      </c>
      <c r="F137" s="62">
        <v>13.208</v>
      </c>
      <c r="G137" s="62">
        <v>88.051900000000003</v>
      </c>
      <c r="H137" s="62">
        <v>1.87</v>
      </c>
    </row>
    <row r="138" spans="1:8" x14ac:dyDescent="0.15">
      <c r="A138" s="62" t="s">
        <v>11</v>
      </c>
      <c r="B138" s="62">
        <v>2505</v>
      </c>
      <c r="C138" s="62">
        <v>15</v>
      </c>
      <c r="D138" s="62">
        <v>0.1242</v>
      </c>
      <c r="E138" s="62">
        <v>253.1035</v>
      </c>
      <c r="F138" s="62">
        <v>13.226000000000001</v>
      </c>
      <c r="G138" s="62">
        <v>88.173400000000001</v>
      </c>
      <c r="H138" s="62">
        <v>1.86</v>
      </c>
    </row>
    <row r="139" spans="1:8" x14ac:dyDescent="0.15">
      <c r="A139" s="62" t="s">
        <v>11</v>
      </c>
      <c r="B139" s="62">
        <v>2505</v>
      </c>
      <c r="C139" s="62">
        <v>15</v>
      </c>
      <c r="D139" s="62">
        <v>0.1241</v>
      </c>
      <c r="E139" s="62">
        <v>253.2792</v>
      </c>
      <c r="F139" s="62">
        <v>13.234999999999999</v>
      </c>
      <c r="G139" s="62">
        <v>88.2346</v>
      </c>
      <c r="H139" s="62">
        <v>1.86</v>
      </c>
    </row>
    <row r="140" spans="1:8" x14ac:dyDescent="0.15">
      <c r="A140" s="62" t="s">
        <v>11</v>
      </c>
      <c r="B140" s="62">
        <v>2505</v>
      </c>
      <c r="C140" s="62">
        <v>15</v>
      </c>
      <c r="D140" s="62">
        <v>0.1241</v>
      </c>
      <c r="E140" s="62">
        <v>253.4008</v>
      </c>
      <c r="F140" s="62">
        <v>13.242000000000001</v>
      </c>
      <c r="G140" s="62">
        <v>88.277000000000001</v>
      </c>
      <c r="H140" s="62">
        <v>1.86</v>
      </c>
    </row>
    <row r="141" spans="1:8" x14ac:dyDescent="0.15">
      <c r="A141" s="62" t="s">
        <v>11</v>
      </c>
      <c r="B141" s="62">
        <v>2505</v>
      </c>
      <c r="C141" s="62">
        <v>15</v>
      </c>
      <c r="D141" s="62">
        <v>0.1239</v>
      </c>
      <c r="E141" s="62">
        <v>253.6628</v>
      </c>
      <c r="F141" s="62">
        <v>13.255000000000001</v>
      </c>
      <c r="G141" s="62">
        <v>88.368300000000005</v>
      </c>
      <c r="H141" s="62">
        <v>1.86</v>
      </c>
    </row>
    <row r="142" spans="1:8" x14ac:dyDescent="0.15">
      <c r="A142" s="62" t="s">
        <v>11</v>
      </c>
      <c r="B142" s="62">
        <v>2505</v>
      </c>
      <c r="C142" s="62">
        <v>15</v>
      </c>
      <c r="D142" s="62">
        <v>0.1258</v>
      </c>
      <c r="E142" s="62">
        <v>249.8296</v>
      </c>
      <c r="F142" s="62">
        <v>13.055</v>
      </c>
      <c r="G142" s="62">
        <v>87.032899999999998</v>
      </c>
      <c r="H142" s="62">
        <v>1.89</v>
      </c>
    </row>
    <row r="143" spans="1:8" x14ac:dyDescent="0.15">
      <c r="A143" s="62" t="s">
        <v>11</v>
      </c>
      <c r="B143" s="62">
        <v>2505</v>
      </c>
      <c r="C143" s="62">
        <v>15</v>
      </c>
      <c r="D143" s="62">
        <v>0.12470000000000001</v>
      </c>
      <c r="E143" s="62">
        <v>252.0412</v>
      </c>
      <c r="F143" s="62">
        <v>13.170999999999999</v>
      </c>
      <c r="G143" s="62">
        <v>87.803399999999996</v>
      </c>
      <c r="H143" s="62">
        <v>1.87</v>
      </c>
    </row>
    <row r="144" spans="1:8" x14ac:dyDescent="0.15">
      <c r="A144" s="62" t="s">
        <v>11</v>
      </c>
      <c r="B144" s="62">
        <v>2505</v>
      </c>
      <c r="C144" s="62">
        <v>15</v>
      </c>
      <c r="D144" s="62">
        <v>0.124</v>
      </c>
      <c r="E144" s="62">
        <v>253.46180000000001</v>
      </c>
      <c r="F144" s="62">
        <v>13.244999999999999</v>
      </c>
      <c r="G144" s="62">
        <v>88.298299999999998</v>
      </c>
      <c r="H144" s="62">
        <v>1.86</v>
      </c>
    </row>
    <row r="145" spans="1:8" x14ac:dyDescent="0.15">
      <c r="A145" s="62" t="s">
        <v>11</v>
      </c>
      <c r="B145" s="62">
        <v>2505</v>
      </c>
      <c r="C145" s="62">
        <v>15</v>
      </c>
      <c r="D145" s="62">
        <v>0.1244</v>
      </c>
      <c r="E145" s="62">
        <v>252.70570000000001</v>
      </c>
      <c r="F145" s="62">
        <v>13.205</v>
      </c>
      <c r="G145" s="62">
        <v>88.034899999999993</v>
      </c>
      <c r="H145" s="62">
        <v>1.86</v>
      </c>
    </row>
    <row r="146" spans="1:8" x14ac:dyDescent="0.15">
      <c r="A146" s="62" t="s">
        <v>11</v>
      </c>
      <c r="B146" s="62">
        <v>2505</v>
      </c>
      <c r="C146" s="62">
        <v>15</v>
      </c>
      <c r="D146" s="62">
        <v>0.1244</v>
      </c>
      <c r="E146" s="62">
        <v>252.70429999999999</v>
      </c>
      <c r="F146" s="62">
        <v>13.205</v>
      </c>
      <c r="G146" s="62">
        <v>88.034400000000005</v>
      </c>
      <c r="H146" s="62">
        <v>1.87</v>
      </c>
    </row>
    <row r="147" spans="1:8" x14ac:dyDescent="0.15">
      <c r="A147" s="62" t="s">
        <v>11</v>
      </c>
      <c r="B147" s="62">
        <v>2505</v>
      </c>
      <c r="C147" s="62">
        <v>15</v>
      </c>
      <c r="D147" s="62">
        <v>0.1242</v>
      </c>
      <c r="E147" s="62">
        <v>253.06059999999999</v>
      </c>
      <c r="F147" s="62">
        <v>13.224</v>
      </c>
      <c r="G147" s="62">
        <v>88.158500000000004</v>
      </c>
      <c r="H147" s="62">
        <v>1.86</v>
      </c>
    </row>
    <row r="148" spans="1:8" x14ac:dyDescent="0.15">
      <c r="A148" s="62" t="s">
        <v>11</v>
      </c>
      <c r="B148" s="62">
        <v>2505</v>
      </c>
      <c r="C148" s="62">
        <v>15</v>
      </c>
      <c r="D148" s="62">
        <v>0.1242</v>
      </c>
      <c r="E148" s="62">
        <v>253.15610000000001</v>
      </c>
      <c r="F148" s="62">
        <v>13.228999999999999</v>
      </c>
      <c r="G148" s="62">
        <v>88.191800000000001</v>
      </c>
      <c r="H148" s="62">
        <v>1.86</v>
      </c>
    </row>
    <row r="149" spans="1:8" x14ac:dyDescent="0.15">
      <c r="A149" s="62" t="s">
        <v>11</v>
      </c>
      <c r="B149" s="62">
        <v>2505</v>
      </c>
      <c r="C149" s="62">
        <v>15</v>
      </c>
      <c r="D149" s="62">
        <v>0.124</v>
      </c>
      <c r="E149" s="62">
        <v>253.46789999999999</v>
      </c>
      <c r="F149" s="62">
        <v>13.244999999999999</v>
      </c>
      <c r="G149" s="62">
        <v>88.300399999999996</v>
      </c>
      <c r="H149" s="62">
        <v>1.86</v>
      </c>
    </row>
    <row r="150" spans="1:8" x14ac:dyDescent="0.15">
      <c r="A150" s="62" t="s">
        <v>11</v>
      </c>
      <c r="B150" s="62">
        <v>2505</v>
      </c>
      <c r="C150" s="62">
        <v>15</v>
      </c>
      <c r="D150" s="62">
        <v>0.12570000000000001</v>
      </c>
      <c r="E150" s="62">
        <v>250.20070000000001</v>
      </c>
      <c r="F150" s="62">
        <v>13.074</v>
      </c>
      <c r="G150" s="62">
        <v>87.162199999999999</v>
      </c>
      <c r="H150" s="62">
        <v>1.89</v>
      </c>
    </row>
    <row r="151" spans="1:8" x14ac:dyDescent="0.15">
      <c r="A151" s="62" t="s">
        <v>11</v>
      </c>
      <c r="B151" s="62">
        <v>2505</v>
      </c>
      <c r="C151" s="62">
        <v>15</v>
      </c>
      <c r="D151" s="62">
        <v>0.12429999999999999</v>
      </c>
      <c r="E151" s="62">
        <v>252.82310000000001</v>
      </c>
      <c r="F151" s="62">
        <v>13.211</v>
      </c>
      <c r="G151" s="62">
        <v>88.075800000000001</v>
      </c>
      <c r="H151" s="62">
        <v>1.86</v>
      </c>
    </row>
    <row r="152" spans="1:8" x14ac:dyDescent="0.15">
      <c r="A152" s="62" t="s">
        <v>11</v>
      </c>
      <c r="B152" s="62">
        <v>2505</v>
      </c>
      <c r="C152" s="62">
        <v>15</v>
      </c>
      <c r="D152" s="62">
        <v>0.1242</v>
      </c>
      <c r="E152" s="62">
        <v>253.21190000000001</v>
      </c>
      <c r="F152" s="62">
        <v>13.231999999999999</v>
      </c>
      <c r="G152" s="62">
        <v>88.211200000000005</v>
      </c>
      <c r="H152" s="62">
        <v>1.86</v>
      </c>
    </row>
    <row r="153" spans="1:8" x14ac:dyDescent="0.15">
      <c r="A153" s="62" t="s">
        <v>11</v>
      </c>
      <c r="B153" s="62">
        <v>2505</v>
      </c>
      <c r="C153" s="62">
        <v>15</v>
      </c>
      <c r="D153" s="62">
        <v>0.1242</v>
      </c>
      <c r="E153" s="62">
        <v>253.16149999999999</v>
      </c>
      <c r="F153" s="62">
        <v>13.228999999999999</v>
      </c>
      <c r="G153" s="62">
        <v>88.193600000000004</v>
      </c>
      <c r="H153" s="62">
        <v>1.87</v>
      </c>
    </row>
    <row r="154" spans="1:8" x14ac:dyDescent="0.15">
      <c r="A154" s="62" t="s">
        <v>11</v>
      </c>
      <c r="B154" s="62">
        <v>2505</v>
      </c>
      <c r="C154" s="62">
        <v>15</v>
      </c>
      <c r="D154" s="62">
        <v>0.1242</v>
      </c>
      <c r="E154" s="62">
        <v>253.18600000000001</v>
      </c>
      <c r="F154" s="62">
        <v>13.23</v>
      </c>
      <c r="G154" s="62">
        <v>88.202200000000005</v>
      </c>
      <c r="H154" s="62">
        <v>1.86</v>
      </c>
    </row>
    <row r="155" spans="1:8" x14ac:dyDescent="0.15">
      <c r="A155" s="62" t="s">
        <v>11</v>
      </c>
      <c r="B155" s="62">
        <v>2505</v>
      </c>
      <c r="C155" s="62">
        <v>15</v>
      </c>
      <c r="D155" s="62">
        <v>0.12559999999999999</v>
      </c>
      <c r="E155" s="62">
        <v>250.25559999999999</v>
      </c>
      <c r="F155" s="62">
        <v>13.077</v>
      </c>
      <c r="G155" s="62">
        <v>87.181299999999993</v>
      </c>
      <c r="H155" s="62">
        <v>1.88</v>
      </c>
    </row>
    <row r="156" spans="1:8" x14ac:dyDescent="0.15">
      <c r="A156" s="62" t="s">
        <v>11</v>
      </c>
      <c r="B156" s="62">
        <v>2505</v>
      </c>
      <c r="C156" s="62">
        <v>15</v>
      </c>
      <c r="D156" s="62">
        <v>0.1241</v>
      </c>
      <c r="E156" s="62">
        <v>253.2971</v>
      </c>
      <c r="F156" s="62">
        <v>13.236000000000001</v>
      </c>
      <c r="G156" s="62">
        <v>88.240899999999996</v>
      </c>
      <c r="H156" s="62">
        <v>1.86</v>
      </c>
    </row>
    <row r="157" spans="1:8" x14ac:dyDescent="0.15">
      <c r="A157" s="62" t="s">
        <v>11</v>
      </c>
      <c r="B157" s="62">
        <v>2505</v>
      </c>
      <c r="C157" s="62">
        <v>15</v>
      </c>
      <c r="D157" s="62">
        <v>0.12429999999999999</v>
      </c>
      <c r="E157" s="62">
        <v>252.84010000000001</v>
      </c>
      <c r="F157" s="62">
        <v>13.212</v>
      </c>
      <c r="G157" s="62">
        <v>88.081699999999998</v>
      </c>
      <c r="H157" s="62">
        <v>1.87</v>
      </c>
    </row>
    <row r="158" spans="1:8" x14ac:dyDescent="0.15">
      <c r="A158" s="62" t="s">
        <v>11</v>
      </c>
      <c r="B158" s="62">
        <v>2505</v>
      </c>
      <c r="C158" s="62">
        <v>15</v>
      </c>
      <c r="D158" s="62">
        <v>0.12520000000000001</v>
      </c>
      <c r="E158" s="62">
        <v>251.0557</v>
      </c>
      <c r="F158" s="62">
        <v>13.119</v>
      </c>
      <c r="G158" s="62">
        <v>87.46</v>
      </c>
      <c r="H158" s="62">
        <v>1.87</v>
      </c>
    </row>
    <row r="159" spans="1:8" x14ac:dyDescent="0.15">
      <c r="A159" s="62" t="s">
        <v>11</v>
      </c>
      <c r="B159" s="62">
        <v>2505</v>
      </c>
      <c r="C159" s="62">
        <v>15</v>
      </c>
      <c r="D159" s="62">
        <v>0.12330000000000001</v>
      </c>
      <c r="E159" s="62">
        <v>254.94200000000001</v>
      </c>
      <c r="F159" s="62">
        <v>13.321999999999999</v>
      </c>
      <c r="G159" s="62">
        <v>88.813900000000004</v>
      </c>
      <c r="H159" s="62">
        <v>1.85</v>
      </c>
    </row>
    <row r="160" spans="1:8" x14ac:dyDescent="0.15">
      <c r="A160" s="62" t="s">
        <v>11</v>
      </c>
      <c r="B160" s="62">
        <v>2505</v>
      </c>
      <c r="C160" s="62">
        <v>15</v>
      </c>
      <c r="D160" s="62">
        <v>0.1232</v>
      </c>
      <c r="E160" s="62">
        <v>255.25810000000001</v>
      </c>
      <c r="F160" s="62">
        <v>13.339</v>
      </c>
      <c r="G160" s="62">
        <v>88.924000000000007</v>
      </c>
      <c r="H160" s="62">
        <v>1.85</v>
      </c>
    </row>
    <row r="161" spans="1:8" x14ac:dyDescent="0.15">
      <c r="A161" s="62" t="s">
        <v>11</v>
      </c>
      <c r="B161" s="62">
        <v>2505</v>
      </c>
      <c r="C161" s="62">
        <v>15</v>
      </c>
      <c r="D161" s="62">
        <v>0.12330000000000001</v>
      </c>
      <c r="E161" s="62">
        <v>254.98759999999999</v>
      </c>
      <c r="F161" s="62">
        <v>13.324</v>
      </c>
      <c r="G161" s="62">
        <v>88.829800000000006</v>
      </c>
      <c r="H161" s="62">
        <v>1.85</v>
      </c>
    </row>
    <row r="162" spans="1:8" x14ac:dyDescent="0.15">
      <c r="A162" s="62" t="s">
        <v>11</v>
      </c>
      <c r="B162" s="62">
        <v>2505</v>
      </c>
      <c r="C162" s="62">
        <v>15</v>
      </c>
      <c r="D162" s="62">
        <v>0.12330000000000001</v>
      </c>
      <c r="E162" s="62">
        <v>254.93879999999999</v>
      </c>
      <c r="F162" s="62">
        <v>13.321999999999999</v>
      </c>
      <c r="G162" s="62">
        <v>88.812799999999996</v>
      </c>
      <c r="H162" s="62">
        <v>1.85</v>
      </c>
    </row>
    <row r="163" spans="1:8" x14ac:dyDescent="0.15">
      <c r="A163" s="62" t="s">
        <v>11</v>
      </c>
      <c r="B163" s="62">
        <v>2505</v>
      </c>
      <c r="C163" s="62">
        <v>15</v>
      </c>
      <c r="D163" s="62">
        <v>0.1232</v>
      </c>
      <c r="E163" s="62">
        <v>255.1224</v>
      </c>
      <c r="F163" s="62">
        <v>13.332000000000001</v>
      </c>
      <c r="G163" s="62">
        <v>88.8767</v>
      </c>
      <c r="H163" s="62">
        <v>1.85</v>
      </c>
    </row>
    <row r="164" spans="1:8" x14ac:dyDescent="0.15">
      <c r="A164" s="62" t="s">
        <v>11</v>
      </c>
      <c r="B164" s="62">
        <v>2505</v>
      </c>
      <c r="C164" s="62">
        <v>15</v>
      </c>
      <c r="D164" s="62">
        <v>0.12330000000000001</v>
      </c>
      <c r="E164" s="62">
        <v>255.06209999999999</v>
      </c>
      <c r="F164" s="62">
        <v>13.327999999999999</v>
      </c>
      <c r="G164" s="62">
        <v>88.855800000000002</v>
      </c>
      <c r="H164" s="62">
        <v>1.85</v>
      </c>
    </row>
    <row r="165" spans="1:8" x14ac:dyDescent="0.15">
      <c r="A165" s="62" t="s">
        <v>11</v>
      </c>
      <c r="B165" s="62">
        <v>2505</v>
      </c>
      <c r="C165" s="62">
        <v>15</v>
      </c>
      <c r="D165" s="62">
        <v>0.1232</v>
      </c>
      <c r="E165" s="62">
        <v>255.09970000000001</v>
      </c>
      <c r="F165" s="62">
        <v>13.33</v>
      </c>
      <c r="G165" s="62">
        <v>88.868799999999993</v>
      </c>
      <c r="H165" s="62">
        <v>1.85</v>
      </c>
    </row>
    <row r="166" spans="1:8" x14ac:dyDescent="0.15">
      <c r="A166" s="62" t="s">
        <v>11</v>
      </c>
      <c r="B166" s="62">
        <v>2505</v>
      </c>
      <c r="C166" s="62">
        <v>15</v>
      </c>
      <c r="D166" s="62">
        <v>0.1232</v>
      </c>
      <c r="E166" s="62">
        <v>255.17830000000001</v>
      </c>
      <c r="F166" s="62">
        <v>13.334</v>
      </c>
      <c r="G166" s="62">
        <v>88.896199999999993</v>
      </c>
      <c r="H166" s="62">
        <v>1.85</v>
      </c>
    </row>
    <row r="167" spans="1:8" x14ac:dyDescent="0.15">
      <c r="A167" s="62" t="s">
        <v>11</v>
      </c>
      <c r="B167" s="62">
        <v>2505</v>
      </c>
      <c r="C167" s="62">
        <v>15</v>
      </c>
      <c r="D167" s="62">
        <v>0.1232</v>
      </c>
      <c r="E167" s="62">
        <v>255.1661</v>
      </c>
      <c r="F167" s="62">
        <v>13.334</v>
      </c>
      <c r="G167" s="62">
        <v>88.891999999999996</v>
      </c>
      <c r="H167" s="62">
        <v>1.85</v>
      </c>
    </row>
    <row r="168" spans="1:8" x14ac:dyDescent="0.15">
      <c r="A168" s="62" t="s">
        <v>11</v>
      </c>
      <c r="B168" s="62">
        <v>2505</v>
      </c>
      <c r="C168" s="62">
        <v>15</v>
      </c>
      <c r="D168" s="62">
        <v>0.12330000000000001</v>
      </c>
      <c r="E168" s="62">
        <v>254.9615</v>
      </c>
      <c r="F168" s="62">
        <v>13.323</v>
      </c>
      <c r="G168" s="62">
        <v>88.820700000000002</v>
      </c>
      <c r="H168" s="62">
        <v>1.85</v>
      </c>
    </row>
    <row r="169" spans="1:8" x14ac:dyDescent="0.15">
      <c r="A169" s="62" t="s">
        <v>11</v>
      </c>
      <c r="B169" s="62">
        <v>2505</v>
      </c>
      <c r="C169" s="62">
        <v>15</v>
      </c>
      <c r="D169" s="62">
        <v>0.1232</v>
      </c>
      <c r="E169" s="62">
        <v>255.12950000000001</v>
      </c>
      <c r="F169" s="62">
        <v>13.332000000000001</v>
      </c>
      <c r="G169" s="62">
        <v>88.879199999999997</v>
      </c>
      <c r="H169" s="62">
        <v>1.85</v>
      </c>
    </row>
    <row r="170" spans="1:8" x14ac:dyDescent="0.15">
      <c r="A170" s="62" t="s">
        <v>11</v>
      </c>
      <c r="B170" s="62">
        <v>2505</v>
      </c>
      <c r="C170" s="62">
        <v>15</v>
      </c>
      <c r="D170" s="62">
        <v>0.1232</v>
      </c>
      <c r="E170" s="62">
        <v>255.12700000000001</v>
      </c>
      <c r="F170" s="62">
        <v>13.332000000000001</v>
      </c>
      <c r="G170" s="62">
        <v>88.878399999999999</v>
      </c>
      <c r="H170" s="62">
        <v>1.85</v>
      </c>
    </row>
    <row r="171" spans="1:8" x14ac:dyDescent="0.15">
      <c r="A171" s="62" t="s">
        <v>11</v>
      </c>
      <c r="B171" s="62">
        <v>2505</v>
      </c>
      <c r="C171" s="62">
        <v>15</v>
      </c>
      <c r="D171" s="62">
        <v>0.1232</v>
      </c>
      <c r="E171" s="62">
        <v>255.18549999999999</v>
      </c>
      <c r="F171" s="62">
        <v>13.335000000000001</v>
      </c>
      <c r="G171" s="62">
        <v>88.898700000000005</v>
      </c>
      <c r="H171" s="62">
        <v>1.85</v>
      </c>
    </row>
    <row r="172" spans="1:8" x14ac:dyDescent="0.15">
      <c r="A172" s="62" t="s">
        <v>11</v>
      </c>
      <c r="B172" s="62">
        <v>2505</v>
      </c>
      <c r="C172" s="62">
        <v>16</v>
      </c>
      <c r="D172" s="62">
        <v>0.11609999999999999</v>
      </c>
      <c r="E172" s="62">
        <v>270.77159999999998</v>
      </c>
      <c r="F172" s="62">
        <v>14.148999999999999</v>
      </c>
      <c r="G172" s="62">
        <v>88.432900000000004</v>
      </c>
      <c r="H172" s="62">
        <v>1.85</v>
      </c>
    </row>
    <row r="173" spans="1:8" x14ac:dyDescent="0.15">
      <c r="A173" s="62" t="s">
        <v>11</v>
      </c>
      <c r="B173" s="62">
        <v>2505</v>
      </c>
      <c r="C173" s="62">
        <v>16</v>
      </c>
      <c r="D173" s="62">
        <v>0.11609999999999999</v>
      </c>
      <c r="E173" s="62">
        <v>270.66719999999998</v>
      </c>
      <c r="F173" s="62">
        <v>14.144</v>
      </c>
      <c r="G173" s="62">
        <v>88.398799999999994</v>
      </c>
      <c r="H173" s="62">
        <v>1.86</v>
      </c>
    </row>
    <row r="174" spans="1:8" x14ac:dyDescent="0.15">
      <c r="A174" s="62" t="s">
        <v>11</v>
      </c>
      <c r="B174" s="62">
        <v>2505</v>
      </c>
      <c r="C174" s="62">
        <v>16</v>
      </c>
      <c r="D174" s="62">
        <v>0.1162</v>
      </c>
      <c r="E174" s="62">
        <v>270.52199999999999</v>
      </c>
      <c r="F174" s="62">
        <v>14.135999999999999</v>
      </c>
      <c r="G174" s="62">
        <v>88.351399999999998</v>
      </c>
      <c r="H174" s="62">
        <v>1.86</v>
      </c>
    </row>
    <row r="175" spans="1:8" x14ac:dyDescent="0.15">
      <c r="A175" s="62" t="s">
        <v>11</v>
      </c>
      <c r="B175" s="62">
        <v>2505</v>
      </c>
      <c r="C175" s="62">
        <v>16</v>
      </c>
      <c r="D175" s="62">
        <v>0.1164</v>
      </c>
      <c r="E175" s="62">
        <v>270.1773</v>
      </c>
      <c r="F175" s="62">
        <v>14.118</v>
      </c>
      <c r="G175" s="62">
        <v>88.238799999999998</v>
      </c>
      <c r="H175" s="62">
        <v>1.86</v>
      </c>
    </row>
    <row r="176" spans="1:8" x14ac:dyDescent="0.15">
      <c r="A176" s="62" t="s">
        <v>11</v>
      </c>
      <c r="B176" s="62">
        <v>2505</v>
      </c>
      <c r="C176" s="62">
        <v>16</v>
      </c>
      <c r="D176" s="62">
        <v>0.1162</v>
      </c>
      <c r="E176" s="62">
        <v>270.48649999999998</v>
      </c>
      <c r="F176" s="62">
        <v>14.134</v>
      </c>
      <c r="G176" s="62">
        <v>88.339799999999997</v>
      </c>
      <c r="H176" s="62">
        <v>1.86</v>
      </c>
    </row>
    <row r="177" spans="1:8" x14ac:dyDescent="0.15">
      <c r="A177" s="62" t="s">
        <v>11</v>
      </c>
      <c r="B177" s="62">
        <v>2505</v>
      </c>
      <c r="C177" s="62">
        <v>16</v>
      </c>
      <c r="D177" s="62">
        <v>0.11609999999999999</v>
      </c>
      <c r="E177" s="62">
        <v>270.69709999999998</v>
      </c>
      <c r="F177" s="62">
        <v>14.145</v>
      </c>
      <c r="G177" s="62">
        <v>88.408600000000007</v>
      </c>
      <c r="H177" s="62">
        <v>1.86</v>
      </c>
    </row>
    <row r="178" spans="1:8" x14ac:dyDescent="0.15">
      <c r="A178" s="62" t="s">
        <v>11</v>
      </c>
      <c r="B178" s="62">
        <v>2505</v>
      </c>
      <c r="C178" s="62">
        <v>16</v>
      </c>
      <c r="D178" s="62">
        <v>0.1162</v>
      </c>
      <c r="E178" s="62">
        <v>270.60669999999999</v>
      </c>
      <c r="F178" s="62">
        <v>14.141</v>
      </c>
      <c r="G178" s="62">
        <v>88.379099999999994</v>
      </c>
      <c r="H178" s="62">
        <v>1.85</v>
      </c>
    </row>
    <row r="179" spans="1:8" x14ac:dyDescent="0.15">
      <c r="A179" s="62" t="s">
        <v>11</v>
      </c>
      <c r="B179" s="62">
        <v>2505</v>
      </c>
      <c r="C179" s="62">
        <v>16</v>
      </c>
      <c r="D179" s="62">
        <v>0.1162</v>
      </c>
      <c r="E179" s="62">
        <v>270.63470000000001</v>
      </c>
      <c r="F179" s="62">
        <v>14.141999999999999</v>
      </c>
      <c r="G179" s="62">
        <v>88.388199999999998</v>
      </c>
      <c r="H179" s="62">
        <v>1.86</v>
      </c>
    </row>
    <row r="180" spans="1:8" x14ac:dyDescent="0.15">
      <c r="A180" s="62" t="s">
        <v>11</v>
      </c>
      <c r="B180" s="62">
        <v>2505</v>
      </c>
      <c r="C180" s="62">
        <v>16</v>
      </c>
      <c r="D180" s="62">
        <v>0.1162</v>
      </c>
      <c r="E180" s="62">
        <v>270.59769999999997</v>
      </c>
      <c r="F180" s="62">
        <v>14.14</v>
      </c>
      <c r="G180" s="62">
        <v>88.376099999999994</v>
      </c>
      <c r="H180" s="62">
        <v>1.86</v>
      </c>
    </row>
    <row r="181" spans="1:8" x14ac:dyDescent="0.15">
      <c r="A181" s="62" t="s">
        <v>11</v>
      </c>
      <c r="B181" s="62">
        <v>2505</v>
      </c>
      <c r="C181" s="62">
        <v>16</v>
      </c>
      <c r="D181" s="62">
        <v>0.11609999999999999</v>
      </c>
      <c r="E181" s="62">
        <v>270.73059999999998</v>
      </c>
      <c r="F181" s="62">
        <v>14.147</v>
      </c>
      <c r="G181" s="62">
        <v>88.419499999999999</v>
      </c>
      <c r="H181" s="62">
        <v>1.86</v>
      </c>
    </row>
    <row r="182" spans="1:8" x14ac:dyDescent="0.15">
      <c r="A182" s="62" t="s">
        <v>11</v>
      </c>
      <c r="B182" s="62">
        <v>2505</v>
      </c>
      <c r="C182" s="62">
        <v>16</v>
      </c>
      <c r="D182" s="62">
        <v>0.1162</v>
      </c>
      <c r="E182" s="62">
        <v>270.45249999999999</v>
      </c>
      <c r="F182" s="62">
        <v>14.132999999999999</v>
      </c>
      <c r="G182" s="62">
        <v>88.328699999999998</v>
      </c>
      <c r="H182" s="62">
        <v>1.86</v>
      </c>
    </row>
    <row r="183" spans="1:8" x14ac:dyDescent="0.15">
      <c r="A183" s="62" t="s">
        <v>11</v>
      </c>
      <c r="B183" s="62">
        <v>2505</v>
      </c>
      <c r="C183" s="62">
        <v>16</v>
      </c>
      <c r="D183" s="62">
        <v>0.1164</v>
      </c>
      <c r="E183" s="62">
        <v>270.14760000000001</v>
      </c>
      <c r="F183" s="62">
        <v>14.117000000000001</v>
      </c>
      <c r="G183" s="62">
        <v>88.229100000000003</v>
      </c>
      <c r="H183" s="62">
        <v>1.86</v>
      </c>
    </row>
    <row r="184" spans="1:8" x14ac:dyDescent="0.15">
      <c r="A184" s="62" t="s">
        <v>11</v>
      </c>
      <c r="B184" s="62">
        <v>2505</v>
      </c>
      <c r="C184" s="62">
        <v>16</v>
      </c>
      <c r="D184" s="62">
        <v>0.1162</v>
      </c>
      <c r="E184" s="62">
        <v>270.57279999999997</v>
      </c>
      <c r="F184" s="62">
        <v>14.138999999999999</v>
      </c>
      <c r="G184" s="62">
        <v>88.367999999999995</v>
      </c>
      <c r="H184" s="62">
        <v>1.86</v>
      </c>
    </row>
    <row r="185" spans="1:8" x14ac:dyDescent="0.15">
      <c r="A185" s="62" t="s">
        <v>11</v>
      </c>
      <c r="B185" s="62">
        <v>2505</v>
      </c>
      <c r="C185" s="62">
        <v>16</v>
      </c>
      <c r="D185" s="62">
        <v>0.11609999999999999</v>
      </c>
      <c r="E185" s="62">
        <v>270.82549999999998</v>
      </c>
      <c r="F185" s="62">
        <v>14.151999999999999</v>
      </c>
      <c r="G185" s="62">
        <v>88.450500000000005</v>
      </c>
      <c r="H185" s="62">
        <v>1.85</v>
      </c>
    </row>
    <row r="186" spans="1:8" x14ac:dyDescent="0.15">
      <c r="A186" s="62" t="s">
        <v>11</v>
      </c>
      <c r="B186" s="62">
        <v>2505</v>
      </c>
      <c r="C186" s="62">
        <v>16</v>
      </c>
      <c r="D186" s="62">
        <v>0.1162</v>
      </c>
      <c r="E186" s="62">
        <v>270.66359999999997</v>
      </c>
      <c r="F186" s="62">
        <v>14.144</v>
      </c>
      <c r="G186" s="62">
        <v>88.3977</v>
      </c>
      <c r="H186" s="62">
        <v>1.86</v>
      </c>
    </row>
    <row r="187" spans="1:8" x14ac:dyDescent="0.15">
      <c r="A187" s="62" t="s">
        <v>11</v>
      </c>
      <c r="B187" s="62">
        <v>2505</v>
      </c>
      <c r="C187" s="62">
        <v>16</v>
      </c>
      <c r="D187" s="62">
        <v>0.1162</v>
      </c>
      <c r="E187" s="62">
        <v>270.61130000000003</v>
      </c>
      <c r="F187" s="62">
        <v>14.141</v>
      </c>
      <c r="G187" s="62">
        <v>88.380600000000001</v>
      </c>
      <c r="H187" s="62">
        <v>1.86</v>
      </c>
    </row>
    <row r="188" spans="1:8" x14ac:dyDescent="0.15">
      <c r="A188" s="62" t="s">
        <v>11</v>
      </c>
      <c r="B188" s="62">
        <v>2505</v>
      </c>
      <c r="C188" s="62">
        <v>16</v>
      </c>
      <c r="D188" s="62">
        <v>0.1162</v>
      </c>
      <c r="E188" s="62">
        <v>270.50189999999998</v>
      </c>
      <c r="F188" s="62">
        <v>14.135</v>
      </c>
      <c r="G188" s="62">
        <v>88.344800000000006</v>
      </c>
      <c r="H188" s="62">
        <v>1.86</v>
      </c>
    </row>
    <row r="189" spans="1:8" x14ac:dyDescent="0.15">
      <c r="A189" s="62" t="s">
        <v>11</v>
      </c>
      <c r="B189" s="62">
        <v>2505</v>
      </c>
      <c r="C189" s="62">
        <v>16</v>
      </c>
      <c r="D189" s="62">
        <v>0.11609999999999999</v>
      </c>
      <c r="E189" s="62">
        <v>270.66930000000002</v>
      </c>
      <c r="F189" s="62">
        <v>14.144</v>
      </c>
      <c r="G189" s="62">
        <v>88.399500000000003</v>
      </c>
      <c r="H189" s="62">
        <v>1.86</v>
      </c>
    </row>
    <row r="190" spans="1:8" x14ac:dyDescent="0.15">
      <c r="A190" s="62" t="s">
        <v>11</v>
      </c>
      <c r="B190" s="62">
        <v>2505</v>
      </c>
      <c r="C190" s="62">
        <v>16</v>
      </c>
      <c r="D190" s="62">
        <v>0.1162</v>
      </c>
      <c r="E190" s="62">
        <v>270.63299999999998</v>
      </c>
      <c r="F190" s="62">
        <v>14.141999999999999</v>
      </c>
      <c r="G190" s="62">
        <v>88.387699999999995</v>
      </c>
      <c r="H190" s="62">
        <v>1.86</v>
      </c>
    </row>
    <row r="191" spans="1:8" x14ac:dyDescent="0.15">
      <c r="A191" s="62" t="s">
        <v>11</v>
      </c>
      <c r="B191" s="62">
        <v>2505</v>
      </c>
      <c r="C191" s="62">
        <v>16</v>
      </c>
      <c r="D191" s="62">
        <v>0.11609999999999999</v>
      </c>
      <c r="E191" s="62">
        <v>270.68389999999999</v>
      </c>
      <c r="F191" s="62">
        <v>14.145</v>
      </c>
      <c r="G191" s="62">
        <v>88.404300000000006</v>
      </c>
      <c r="H191" s="62">
        <v>1.85</v>
      </c>
    </row>
    <row r="192" spans="1:8" x14ac:dyDescent="0.15">
      <c r="A192" s="62" t="s">
        <v>11</v>
      </c>
      <c r="B192" s="62">
        <v>2505</v>
      </c>
      <c r="C192" s="62">
        <v>16</v>
      </c>
      <c r="D192" s="62">
        <v>0.1162</v>
      </c>
      <c r="E192" s="62">
        <v>270.64710000000002</v>
      </c>
      <c r="F192" s="62">
        <v>14.143000000000001</v>
      </c>
      <c r="G192" s="62">
        <v>88.392300000000006</v>
      </c>
      <c r="H192" s="62">
        <v>1.86</v>
      </c>
    </row>
    <row r="193" spans="1:8" x14ac:dyDescent="0.15">
      <c r="A193" s="62" t="s">
        <v>11</v>
      </c>
      <c r="B193" s="62">
        <v>2505</v>
      </c>
      <c r="C193" s="62">
        <v>16</v>
      </c>
      <c r="D193" s="62">
        <v>0.11609999999999999</v>
      </c>
      <c r="E193" s="62">
        <v>270.68849999999998</v>
      </c>
      <c r="F193" s="62">
        <v>14.145</v>
      </c>
      <c r="G193" s="62">
        <v>88.405799999999999</v>
      </c>
      <c r="H193" s="62">
        <v>1.86</v>
      </c>
    </row>
    <row r="194" spans="1:8" x14ac:dyDescent="0.15">
      <c r="A194" s="62" t="s">
        <v>11</v>
      </c>
      <c r="B194" s="62">
        <v>2505</v>
      </c>
      <c r="C194" s="62">
        <v>16</v>
      </c>
      <c r="D194" s="62">
        <v>0.11609999999999999</v>
      </c>
      <c r="E194" s="62">
        <v>270.73169999999999</v>
      </c>
      <c r="F194" s="62">
        <v>14.147</v>
      </c>
      <c r="G194" s="62">
        <v>88.419899999999998</v>
      </c>
      <c r="H194" s="62">
        <v>1.86</v>
      </c>
    </row>
    <row r="195" spans="1:8" x14ac:dyDescent="0.15">
      <c r="A195" s="62" t="s">
        <v>11</v>
      </c>
      <c r="B195" s="62">
        <v>2505</v>
      </c>
      <c r="C195" s="62">
        <v>16</v>
      </c>
      <c r="D195" s="62">
        <v>0.1162</v>
      </c>
      <c r="E195" s="62">
        <v>270.52640000000002</v>
      </c>
      <c r="F195" s="62">
        <v>14.135999999999999</v>
      </c>
      <c r="G195" s="62">
        <v>88.352900000000005</v>
      </c>
      <c r="H195" s="62">
        <v>1.85</v>
      </c>
    </row>
    <row r="196" spans="1:8" x14ac:dyDescent="0.15">
      <c r="A196" s="62" t="s">
        <v>11</v>
      </c>
      <c r="B196" s="62">
        <v>2505</v>
      </c>
      <c r="C196" s="62">
        <v>16</v>
      </c>
      <c r="D196" s="62">
        <v>0.1162</v>
      </c>
      <c r="E196" s="62">
        <v>270.58920000000001</v>
      </c>
      <c r="F196" s="62">
        <v>14.14</v>
      </c>
      <c r="G196" s="62">
        <v>88.373400000000004</v>
      </c>
      <c r="H196" s="62">
        <v>1.86</v>
      </c>
    </row>
    <row r="197" spans="1:8" x14ac:dyDescent="0.15">
      <c r="A197" s="62" t="s">
        <v>11</v>
      </c>
      <c r="B197" s="62">
        <v>2505</v>
      </c>
      <c r="C197" s="62">
        <v>16</v>
      </c>
      <c r="D197" s="62">
        <v>0.1162</v>
      </c>
      <c r="E197" s="62">
        <v>270.53089999999997</v>
      </c>
      <c r="F197" s="62">
        <v>14.137</v>
      </c>
      <c r="G197" s="62">
        <v>88.354299999999995</v>
      </c>
      <c r="H197" s="62">
        <v>1.86</v>
      </c>
    </row>
    <row r="198" spans="1:8" x14ac:dyDescent="0.15">
      <c r="A198" s="62" t="s">
        <v>11</v>
      </c>
      <c r="B198" s="62">
        <v>2505</v>
      </c>
      <c r="C198" s="62">
        <v>16</v>
      </c>
      <c r="D198" s="62">
        <v>0.1162</v>
      </c>
      <c r="E198" s="62">
        <v>270.65179999999998</v>
      </c>
      <c r="F198" s="62">
        <v>14.143000000000001</v>
      </c>
      <c r="G198" s="62">
        <v>88.393799999999999</v>
      </c>
      <c r="H198" s="62">
        <v>1.86</v>
      </c>
    </row>
    <row r="199" spans="1:8" x14ac:dyDescent="0.15">
      <c r="A199" s="62" t="s">
        <v>11</v>
      </c>
      <c r="B199" s="62">
        <v>2505</v>
      </c>
      <c r="C199" s="62">
        <v>16</v>
      </c>
      <c r="D199" s="62">
        <v>0.11609999999999999</v>
      </c>
      <c r="E199" s="62">
        <v>270.68110000000001</v>
      </c>
      <c r="F199" s="62">
        <v>14.145</v>
      </c>
      <c r="G199" s="62">
        <v>88.403400000000005</v>
      </c>
      <c r="H199" s="62">
        <v>1.86</v>
      </c>
    </row>
    <row r="200" spans="1:8" x14ac:dyDescent="0.15">
      <c r="A200" s="62" t="s">
        <v>11</v>
      </c>
      <c r="B200" s="62">
        <v>2505</v>
      </c>
      <c r="C200" s="62">
        <v>16</v>
      </c>
      <c r="D200" s="62">
        <v>0.11609999999999999</v>
      </c>
      <c r="E200" s="62">
        <v>270.6936</v>
      </c>
      <c r="F200" s="62">
        <v>14.145</v>
      </c>
      <c r="G200" s="62">
        <v>88.407399999999996</v>
      </c>
      <c r="H200" s="62">
        <v>1.85</v>
      </c>
    </row>
    <row r="201" spans="1:8" x14ac:dyDescent="0.15">
      <c r="A201" s="62" t="s">
        <v>11</v>
      </c>
      <c r="B201" s="62">
        <v>2505</v>
      </c>
      <c r="C201" s="62">
        <v>16</v>
      </c>
      <c r="D201" s="62">
        <v>0.1162</v>
      </c>
      <c r="E201" s="62">
        <v>270.5027</v>
      </c>
      <c r="F201" s="62">
        <v>14.135</v>
      </c>
      <c r="G201" s="62">
        <v>88.345100000000002</v>
      </c>
      <c r="H201" s="62">
        <v>1.86</v>
      </c>
    </row>
    <row r="202" spans="1:8" x14ac:dyDescent="0.15">
      <c r="A202" s="62" t="s">
        <v>11</v>
      </c>
      <c r="B202" s="62">
        <v>2505</v>
      </c>
      <c r="C202" s="62">
        <v>16</v>
      </c>
      <c r="D202" s="62">
        <v>0.1162</v>
      </c>
      <c r="E202" s="62">
        <v>270.48939999999999</v>
      </c>
      <c r="F202" s="62">
        <v>14.135</v>
      </c>
      <c r="G202" s="62">
        <v>88.340699999999998</v>
      </c>
      <c r="H202" s="62">
        <v>1.86</v>
      </c>
    </row>
    <row r="203" spans="1:8" x14ac:dyDescent="0.15">
      <c r="A203" s="62" t="s">
        <v>11</v>
      </c>
      <c r="B203" s="62">
        <v>2505</v>
      </c>
      <c r="C203" s="62">
        <v>16</v>
      </c>
      <c r="D203" s="62">
        <v>0.1162</v>
      </c>
      <c r="E203" s="62">
        <v>270.62860000000001</v>
      </c>
      <c r="F203" s="62">
        <v>14.141999999999999</v>
      </c>
      <c r="G203" s="62">
        <v>88.386200000000002</v>
      </c>
      <c r="H203" s="62">
        <v>1.86</v>
      </c>
    </row>
    <row r="204" spans="1:8" x14ac:dyDescent="0.15">
      <c r="A204" s="62" t="s">
        <v>11</v>
      </c>
      <c r="B204" s="62">
        <v>2505</v>
      </c>
      <c r="C204" s="62">
        <v>16</v>
      </c>
      <c r="D204" s="62">
        <v>0.1162</v>
      </c>
      <c r="E204" s="62">
        <v>270.4819</v>
      </c>
      <c r="F204" s="62">
        <v>14.134</v>
      </c>
      <c r="G204" s="62">
        <v>88.338300000000004</v>
      </c>
      <c r="H204" s="62">
        <v>1.86</v>
      </c>
    </row>
    <row r="205" spans="1:8" x14ac:dyDescent="0.15">
      <c r="A205" s="62" t="s">
        <v>11</v>
      </c>
      <c r="B205" s="62">
        <v>2505</v>
      </c>
      <c r="C205" s="62">
        <v>16</v>
      </c>
      <c r="D205" s="62">
        <v>0.1162</v>
      </c>
      <c r="E205" s="62">
        <v>270.66269999999997</v>
      </c>
      <c r="F205" s="62">
        <v>14.144</v>
      </c>
      <c r="G205" s="62">
        <v>88.397400000000005</v>
      </c>
      <c r="H205" s="62">
        <v>1.85</v>
      </c>
    </row>
    <row r="206" spans="1:8" x14ac:dyDescent="0.15">
      <c r="A206" s="62" t="s">
        <v>11</v>
      </c>
      <c r="B206" s="62">
        <v>2505</v>
      </c>
      <c r="C206" s="62">
        <v>16</v>
      </c>
      <c r="D206" s="62">
        <v>0.1162</v>
      </c>
      <c r="E206" s="62">
        <v>270.62369999999999</v>
      </c>
      <c r="F206" s="62">
        <v>14.141999999999999</v>
      </c>
      <c r="G206" s="62">
        <v>88.384600000000006</v>
      </c>
      <c r="H206" s="62">
        <v>1.86</v>
      </c>
    </row>
    <row r="207" spans="1:8" x14ac:dyDescent="0.15">
      <c r="A207" s="62" t="s">
        <v>11</v>
      </c>
      <c r="B207" s="62">
        <v>2505</v>
      </c>
      <c r="C207" s="62">
        <v>16</v>
      </c>
      <c r="D207" s="62">
        <v>0.1162</v>
      </c>
      <c r="E207" s="62">
        <v>270.61239999999998</v>
      </c>
      <c r="F207" s="62">
        <v>14.141</v>
      </c>
      <c r="G207" s="62">
        <v>88.380899999999997</v>
      </c>
      <c r="H207" s="62">
        <v>1.86</v>
      </c>
    </row>
    <row r="208" spans="1:8" x14ac:dyDescent="0.15">
      <c r="A208" s="62" t="s">
        <v>11</v>
      </c>
      <c r="B208" s="62">
        <v>2505</v>
      </c>
      <c r="C208" s="62">
        <v>16</v>
      </c>
      <c r="D208" s="62">
        <v>0.1162</v>
      </c>
      <c r="E208" s="62">
        <v>270.48869999999999</v>
      </c>
      <c r="F208" s="62">
        <v>14.134</v>
      </c>
      <c r="G208" s="62">
        <v>88.340500000000006</v>
      </c>
      <c r="H208" s="62">
        <v>1.86</v>
      </c>
    </row>
    <row r="209" spans="1:8" x14ac:dyDescent="0.15">
      <c r="A209" s="62" t="s">
        <v>11</v>
      </c>
      <c r="B209" s="62">
        <v>2505</v>
      </c>
      <c r="C209" s="62">
        <v>16</v>
      </c>
      <c r="D209" s="62">
        <v>0.121</v>
      </c>
      <c r="E209" s="62">
        <v>259.89159999999998</v>
      </c>
      <c r="F209" s="62">
        <v>13.581</v>
      </c>
      <c r="G209" s="62">
        <v>84.879599999999996</v>
      </c>
      <c r="H209" s="62">
        <v>1.92</v>
      </c>
    </row>
    <row r="210" spans="1:8" x14ac:dyDescent="0.15">
      <c r="A210" s="62" t="s">
        <v>11</v>
      </c>
      <c r="B210" s="62">
        <v>2505</v>
      </c>
      <c r="C210" s="62">
        <v>16</v>
      </c>
      <c r="D210" s="62">
        <v>0.12670000000000001</v>
      </c>
      <c r="E210" s="62">
        <v>248.08850000000001</v>
      </c>
      <c r="F210" s="62">
        <v>12.964</v>
      </c>
      <c r="G210" s="62">
        <v>81.024699999999996</v>
      </c>
      <c r="H210" s="62">
        <v>2.0099999999999998</v>
      </c>
    </row>
    <row r="211" spans="1:8" x14ac:dyDescent="0.15">
      <c r="A211" s="62" t="s">
        <v>11</v>
      </c>
      <c r="B211" s="62">
        <v>2505</v>
      </c>
      <c r="C211" s="62">
        <v>16</v>
      </c>
      <c r="D211" s="62">
        <v>0.1203</v>
      </c>
      <c r="E211" s="62">
        <v>261.4049</v>
      </c>
      <c r="F211" s="62">
        <v>13.66</v>
      </c>
      <c r="G211" s="62">
        <v>85.373800000000003</v>
      </c>
      <c r="H211" s="62">
        <v>1.92</v>
      </c>
    </row>
    <row r="212" spans="1:8" x14ac:dyDescent="0.15">
      <c r="A212" s="62" t="s">
        <v>11</v>
      </c>
      <c r="B212" s="62">
        <v>2505</v>
      </c>
      <c r="C212" s="62">
        <v>16</v>
      </c>
      <c r="D212" s="62">
        <v>0.1201</v>
      </c>
      <c r="E212" s="62">
        <v>261.7466</v>
      </c>
      <c r="F212" s="62">
        <v>13.678000000000001</v>
      </c>
      <c r="G212" s="62">
        <v>85.485399999999998</v>
      </c>
      <c r="H212" s="62">
        <v>1.91</v>
      </c>
    </row>
    <row r="213" spans="1:8" x14ac:dyDescent="0.15">
      <c r="A213" s="62" t="s">
        <v>11</v>
      </c>
      <c r="B213" s="62">
        <v>2505</v>
      </c>
      <c r="C213" s="62">
        <v>16</v>
      </c>
      <c r="D213" s="62">
        <v>0.1331</v>
      </c>
      <c r="E213" s="62">
        <v>236.1893</v>
      </c>
      <c r="F213" s="62">
        <v>12.342000000000001</v>
      </c>
      <c r="G213" s="62">
        <v>77.138499999999993</v>
      </c>
      <c r="H213" s="62">
        <v>2.1</v>
      </c>
    </row>
    <row r="214" spans="1:8" x14ac:dyDescent="0.15">
      <c r="A214" s="62" t="s">
        <v>11</v>
      </c>
      <c r="B214" s="62">
        <v>2505</v>
      </c>
      <c r="C214" s="62">
        <v>16</v>
      </c>
      <c r="D214" s="62">
        <v>0.1203</v>
      </c>
      <c r="E214" s="62">
        <v>261.3623</v>
      </c>
      <c r="F214" s="62">
        <v>13.657999999999999</v>
      </c>
      <c r="G214" s="62">
        <v>85.359899999999996</v>
      </c>
      <c r="H214" s="62">
        <v>1.91</v>
      </c>
    </row>
    <row r="215" spans="1:8" x14ac:dyDescent="0.15">
      <c r="A215" s="62" t="s">
        <v>11</v>
      </c>
      <c r="B215" s="62">
        <v>2505</v>
      </c>
      <c r="C215" s="62">
        <v>16</v>
      </c>
      <c r="D215" s="62">
        <v>0.1227</v>
      </c>
      <c r="E215" s="62">
        <v>256.16840000000002</v>
      </c>
      <c r="F215" s="62">
        <v>13.385999999999999</v>
      </c>
      <c r="G215" s="62">
        <v>83.663600000000002</v>
      </c>
      <c r="H215" s="62">
        <v>1.94</v>
      </c>
    </row>
    <row r="216" spans="1:8" x14ac:dyDescent="0.15">
      <c r="A216" s="62" t="s">
        <v>11</v>
      </c>
      <c r="B216" s="62">
        <v>2505</v>
      </c>
      <c r="C216" s="62">
        <v>16</v>
      </c>
      <c r="D216" s="62">
        <v>0.1201</v>
      </c>
      <c r="E216" s="62">
        <v>261.72210000000001</v>
      </c>
      <c r="F216" s="62">
        <v>13.676</v>
      </c>
      <c r="G216" s="62">
        <v>85.477400000000003</v>
      </c>
      <c r="H216" s="62">
        <v>1.92</v>
      </c>
    </row>
    <row r="217" spans="1:8" x14ac:dyDescent="0.15">
      <c r="A217" s="62" t="s">
        <v>11</v>
      </c>
      <c r="B217" s="62">
        <v>2505</v>
      </c>
      <c r="C217" s="62">
        <v>16</v>
      </c>
      <c r="D217" s="62">
        <v>0.13039999999999999</v>
      </c>
      <c r="E217" s="62">
        <v>241.04259999999999</v>
      </c>
      <c r="F217" s="62">
        <v>12.596</v>
      </c>
      <c r="G217" s="62">
        <v>78.723500000000001</v>
      </c>
      <c r="H217" s="62">
        <v>2.0499999999999998</v>
      </c>
    </row>
    <row r="218" spans="1:8" x14ac:dyDescent="0.15">
      <c r="A218" s="62" t="s">
        <v>11</v>
      </c>
      <c r="B218" s="62">
        <v>2505</v>
      </c>
      <c r="C218" s="62">
        <v>16</v>
      </c>
      <c r="D218" s="62">
        <v>0.1162</v>
      </c>
      <c r="E218" s="62">
        <v>270.51569999999998</v>
      </c>
      <c r="F218" s="62">
        <v>14.135999999999999</v>
      </c>
      <c r="G218" s="62">
        <v>88.349299999999999</v>
      </c>
      <c r="H218" s="62">
        <v>1.86</v>
      </c>
    </row>
    <row r="219" spans="1:8" x14ac:dyDescent="0.15">
      <c r="A219" s="62" t="s">
        <v>11</v>
      </c>
      <c r="B219" s="62">
        <v>2505</v>
      </c>
      <c r="C219" s="62">
        <v>16</v>
      </c>
      <c r="D219" s="62">
        <v>0.1162</v>
      </c>
      <c r="E219" s="62">
        <v>270.55410000000001</v>
      </c>
      <c r="F219" s="62">
        <v>14.138</v>
      </c>
      <c r="G219" s="62">
        <v>88.361900000000006</v>
      </c>
      <c r="H219" s="62">
        <v>1.86</v>
      </c>
    </row>
    <row r="220" spans="1:8" x14ac:dyDescent="0.15">
      <c r="A220" s="62" t="s">
        <v>11</v>
      </c>
      <c r="B220" s="62">
        <v>2505</v>
      </c>
      <c r="C220" s="62">
        <v>16</v>
      </c>
      <c r="D220" s="62">
        <v>0.1162</v>
      </c>
      <c r="E220" s="62">
        <v>270.6413</v>
      </c>
      <c r="F220" s="62">
        <v>14.141999999999999</v>
      </c>
      <c r="G220" s="62">
        <v>88.3904</v>
      </c>
      <c r="H220" s="62">
        <v>1.86</v>
      </c>
    </row>
    <row r="221" spans="1:8" x14ac:dyDescent="0.15">
      <c r="A221" s="62" t="s">
        <v>11</v>
      </c>
      <c r="B221" s="62">
        <v>2505</v>
      </c>
      <c r="C221" s="62">
        <v>16</v>
      </c>
      <c r="D221" s="62">
        <v>0.1162</v>
      </c>
      <c r="E221" s="62">
        <v>270.58909999999997</v>
      </c>
      <c r="F221" s="62">
        <v>14.14</v>
      </c>
      <c r="G221" s="62">
        <v>88.3733</v>
      </c>
      <c r="H221" s="62">
        <v>1.86</v>
      </c>
    </row>
    <row r="222" spans="1:8" x14ac:dyDescent="0.15">
      <c r="A222" s="62" t="s">
        <v>11</v>
      </c>
      <c r="B222" s="62">
        <v>2505</v>
      </c>
      <c r="C222" s="62">
        <v>16</v>
      </c>
      <c r="D222" s="62">
        <v>0.1162</v>
      </c>
      <c r="E222" s="62">
        <v>270.51749999999998</v>
      </c>
      <c r="F222" s="62">
        <v>14.135999999999999</v>
      </c>
      <c r="G222" s="62">
        <v>88.349900000000005</v>
      </c>
      <c r="H222" s="62">
        <v>1.86</v>
      </c>
    </row>
    <row r="223" spans="1:8" x14ac:dyDescent="0.15">
      <c r="A223" s="62" t="s">
        <v>11</v>
      </c>
      <c r="B223" s="62">
        <v>2510</v>
      </c>
      <c r="C223" s="62">
        <v>1</v>
      </c>
      <c r="D223" s="62">
        <v>1.6409</v>
      </c>
      <c r="E223" s="62">
        <v>19.273599999999998</v>
      </c>
      <c r="F223" s="62">
        <v>1</v>
      </c>
      <c r="G223" s="62">
        <v>100</v>
      </c>
      <c r="H223" s="62">
        <v>1.64</v>
      </c>
    </row>
    <row r="224" spans="1:8" x14ac:dyDescent="0.15">
      <c r="A224" s="62" t="s">
        <v>11</v>
      </c>
      <c r="B224" s="62">
        <v>2510</v>
      </c>
      <c r="C224" s="62">
        <v>1</v>
      </c>
      <c r="D224" s="62">
        <v>1.6292</v>
      </c>
      <c r="E224" s="62">
        <v>19.412400000000002</v>
      </c>
      <c r="F224" s="62">
        <v>1.0069999999999999</v>
      </c>
      <c r="G224" s="62">
        <v>100.7199</v>
      </c>
      <c r="H224" s="62">
        <v>1.63</v>
      </c>
    </row>
    <row r="225" spans="1:8" x14ac:dyDescent="0.15">
      <c r="A225" s="62" t="s">
        <v>11</v>
      </c>
      <c r="B225" s="62">
        <v>2510</v>
      </c>
      <c r="C225" s="62">
        <v>1</v>
      </c>
      <c r="D225" s="62">
        <v>1.6291</v>
      </c>
      <c r="E225" s="62">
        <v>19.413599999999999</v>
      </c>
      <c r="F225" s="62">
        <v>1.0069999999999999</v>
      </c>
      <c r="G225" s="62">
        <v>100.72620000000001</v>
      </c>
      <c r="H225" s="62">
        <v>1.63</v>
      </c>
    </row>
    <row r="226" spans="1:8" x14ac:dyDescent="0.15">
      <c r="A226" s="62" t="s">
        <v>11</v>
      </c>
      <c r="B226" s="62">
        <v>2510</v>
      </c>
      <c r="C226" s="62">
        <v>1</v>
      </c>
      <c r="D226" s="62">
        <v>1.629</v>
      </c>
      <c r="E226" s="62">
        <v>19.414100000000001</v>
      </c>
      <c r="F226" s="62">
        <v>1.0069999999999999</v>
      </c>
      <c r="G226" s="62">
        <v>100.72880000000001</v>
      </c>
      <c r="H226" s="62">
        <v>1.63</v>
      </c>
    </row>
    <row r="227" spans="1:8" x14ac:dyDescent="0.15">
      <c r="A227" s="62" t="s">
        <v>11</v>
      </c>
      <c r="B227" s="62">
        <v>2510</v>
      </c>
      <c r="C227" s="62">
        <v>1</v>
      </c>
      <c r="D227" s="62">
        <v>1.6291</v>
      </c>
      <c r="E227" s="62">
        <v>19.413699999999999</v>
      </c>
      <c r="F227" s="62">
        <v>1.0069999999999999</v>
      </c>
      <c r="G227" s="62">
        <v>100.7269</v>
      </c>
      <c r="H227" s="62">
        <v>1.63</v>
      </c>
    </row>
    <row r="228" spans="1:8" x14ac:dyDescent="0.15">
      <c r="A228" s="62" t="s">
        <v>11</v>
      </c>
      <c r="B228" s="62">
        <v>2510</v>
      </c>
      <c r="C228" s="62">
        <v>1</v>
      </c>
      <c r="D228" s="62">
        <v>1.6292</v>
      </c>
      <c r="E228" s="62">
        <v>19.412800000000001</v>
      </c>
      <c r="F228" s="62">
        <v>1.0069999999999999</v>
      </c>
      <c r="G228" s="62">
        <v>100.7221</v>
      </c>
      <c r="H228" s="62">
        <v>1.63</v>
      </c>
    </row>
    <row r="229" spans="1:8" x14ac:dyDescent="0.15">
      <c r="A229" s="62" t="s">
        <v>11</v>
      </c>
      <c r="B229" s="62">
        <v>2510</v>
      </c>
      <c r="C229" s="62">
        <v>15</v>
      </c>
      <c r="D229" s="62">
        <v>0.1232</v>
      </c>
      <c r="E229" s="62">
        <v>256.64490000000001</v>
      </c>
      <c r="F229" s="62">
        <v>13.316000000000001</v>
      </c>
      <c r="G229" s="62">
        <v>88.772499999999994</v>
      </c>
      <c r="H229" s="62">
        <v>1.85</v>
      </c>
    </row>
    <row r="230" spans="1:8" x14ac:dyDescent="0.15">
      <c r="A230" s="62" t="s">
        <v>11</v>
      </c>
      <c r="B230" s="62">
        <v>2510</v>
      </c>
      <c r="C230" s="62">
        <v>15</v>
      </c>
      <c r="D230" s="62">
        <v>0.1221</v>
      </c>
      <c r="E230" s="62">
        <v>258.93639999999999</v>
      </c>
      <c r="F230" s="62">
        <v>13.435</v>
      </c>
      <c r="G230" s="62">
        <v>89.565100000000001</v>
      </c>
      <c r="H230" s="62">
        <v>1.83</v>
      </c>
    </row>
    <row r="231" spans="1:8" x14ac:dyDescent="0.15">
      <c r="A231" s="62" t="s">
        <v>11</v>
      </c>
      <c r="B231" s="62">
        <v>2510</v>
      </c>
      <c r="C231" s="62">
        <v>15</v>
      </c>
      <c r="D231" s="62">
        <v>0.122</v>
      </c>
      <c r="E231" s="62">
        <v>259.30459999999999</v>
      </c>
      <c r="F231" s="62">
        <v>13.454000000000001</v>
      </c>
      <c r="G231" s="62">
        <v>89.692400000000006</v>
      </c>
      <c r="H231" s="62">
        <v>1.83</v>
      </c>
    </row>
    <row r="232" spans="1:8" x14ac:dyDescent="0.15">
      <c r="A232" s="62" t="s">
        <v>11</v>
      </c>
      <c r="B232" s="62">
        <v>2510</v>
      </c>
      <c r="C232" s="62">
        <v>15</v>
      </c>
      <c r="D232" s="62">
        <v>0.122</v>
      </c>
      <c r="E232" s="62">
        <v>259.27030000000002</v>
      </c>
      <c r="F232" s="62">
        <v>13.452</v>
      </c>
      <c r="G232" s="62">
        <v>89.680599999999998</v>
      </c>
      <c r="H232" s="62">
        <v>1.83</v>
      </c>
    </row>
    <row r="233" spans="1:8" x14ac:dyDescent="0.15">
      <c r="A233" s="62" t="s">
        <v>11</v>
      </c>
      <c r="B233" s="62">
        <v>2510</v>
      </c>
      <c r="C233" s="62">
        <v>15</v>
      </c>
      <c r="D233" s="62">
        <v>0.12230000000000001</v>
      </c>
      <c r="E233" s="62">
        <v>258.49669999999998</v>
      </c>
      <c r="F233" s="62">
        <v>13.412000000000001</v>
      </c>
      <c r="G233" s="62">
        <v>89.412999999999997</v>
      </c>
      <c r="H233" s="62">
        <v>1.83</v>
      </c>
    </row>
    <row r="234" spans="1:8" x14ac:dyDescent="0.15">
      <c r="A234" s="62" t="s">
        <v>11</v>
      </c>
      <c r="B234" s="62">
        <v>2510</v>
      </c>
      <c r="C234" s="62">
        <v>15</v>
      </c>
      <c r="D234" s="62">
        <v>0.12239999999999999</v>
      </c>
      <c r="E234" s="62">
        <v>258.34660000000002</v>
      </c>
      <c r="F234" s="62">
        <v>13.404</v>
      </c>
      <c r="G234" s="62">
        <v>89.361099999999993</v>
      </c>
      <c r="H234" s="62">
        <v>1.84</v>
      </c>
    </row>
    <row r="235" spans="1:8" x14ac:dyDescent="0.15">
      <c r="A235" s="62" t="s">
        <v>11</v>
      </c>
      <c r="B235" s="62">
        <v>2510</v>
      </c>
      <c r="C235" s="62">
        <v>15</v>
      </c>
      <c r="D235" s="62">
        <v>0.122</v>
      </c>
      <c r="E235" s="62">
        <v>259.26280000000003</v>
      </c>
      <c r="F235" s="62">
        <v>13.452</v>
      </c>
      <c r="G235" s="62">
        <v>89.677999999999997</v>
      </c>
      <c r="H235" s="62">
        <v>1.83</v>
      </c>
    </row>
    <row r="236" spans="1:8" x14ac:dyDescent="0.15">
      <c r="A236" s="62" t="s">
        <v>11</v>
      </c>
      <c r="B236" s="62">
        <v>2510</v>
      </c>
      <c r="C236" s="62">
        <v>15</v>
      </c>
      <c r="D236" s="62">
        <v>0.12239999999999999</v>
      </c>
      <c r="E236" s="62">
        <v>258.4785</v>
      </c>
      <c r="F236" s="62">
        <v>13.411</v>
      </c>
      <c r="G236" s="62">
        <v>89.406700000000001</v>
      </c>
      <c r="H236" s="62">
        <v>1.83</v>
      </c>
    </row>
    <row r="237" spans="1:8" x14ac:dyDescent="0.15">
      <c r="A237" s="62" t="s">
        <v>11</v>
      </c>
      <c r="B237" s="62">
        <v>2510</v>
      </c>
      <c r="C237" s="62">
        <v>15</v>
      </c>
      <c r="D237" s="62">
        <v>0.1222</v>
      </c>
      <c r="E237" s="62">
        <v>258.73570000000001</v>
      </c>
      <c r="F237" s="62">
        <v>13.423999999999999</v>
      </c>
      <c r="G237" s="62">
        <v>89.495699999999999</v>
      </c>
      <c r="H237" s="62">
        <v>1.84</v>
      </c>
    </row>
    <row r="238" spans="1:8" x14ac:dyDescent="0.15">
      <c r="A238" s="62" t="s">
        <v>11</v>
      </c>
      <c r="B238" s="62">
        <v>2510</v>
      </c>
      <c r="C238" s="62">
        <v>15</v>
      </c>
      <c r="D238" s="62">
        <v>0.12230000000000001</v>
      </c>
      <c r="E238" s="62">
        <v>258.50909999999999</v>
      </c>
      <c r="F238" s="62">
        <v>13.413</v>
      </c>
      <c r="G238" s="62">
        <v>89.417299999999997</v>
      </c>
      <c r="H238" s="62">
        <v>1.83</v>
      </c>
    </row>
    <row r="239" spans="1:8" x14ac:dyDescent="0.15">
      <c r="A239" s="62" t="s">
        <v>11</v>
      </c>
      <c r="B239" s="62">
        <v>2510</v>
      </c>
      <c r="C239" s="62">
        <v>15</v>
      </c>
      <c r="D239" s="62">
        <v>0.1221</v>
      </c>
      <c r="E239" s="62">
        <v>259.11239999999998</v>
      </c>
      <c r="F239" s="62">
        <v>13.444000000000001</v>
      </c>
      <c r="G239" s="62">
        <v>89.626000000000005</v>
      </c>
      <c r="H239" s="62">
        <v>1.83</v>
      </c>
    </row>
    <row r="240" spans="1:8" x14ac:dyDescent="0.15">
      <c r="A240" s="62" t="s">
        <v>11</v>
      </c>
      <c r="B240" s="62">
        <v>2510</v>
      </c>
      <c r="C240" s="62">
        <v>15</v>
      </c>
      <c r="D240" s="62">
        <v>0.1222</v>
      </c>
      <c r="E240" s="62">
        <v>258.84980000000002</v>
      </c>
      <c r="F240" s="62">
        <v>13.43</v>
      </c>
      <c r="G240" s="62">
        <v>89.5351</v>
      </c>
      <c r="H240" s="62">
        <v>1.83</v>
      </c>
    </row>
    <row r="241" spans="1:8" x14ac:dyDescent="0.15">
      <c r="A241" s="62" t="s">
        <v>11</v>
      </c>
      <c r="B241" s="62">
        <v>2510</v>
      </c>
      <c r="C241" s="62">
        <v>15</v>
      </c>
      <c r="D241" s="62">
        <v>0.12230000000000001</v>
      </c>
      <c r="E241" s="62">
        <v>258.60250000000002</v>
      </c>
      <c r="F241" s="62">
        <v>13.417</v>
      </c>
      <c r="G241" s="62">
        <v>89.449600000000004</v>
      </c>
      <c r="H241" s="62">
        <v>1.84</v>
      </c>
    </row>
    <row r="242" spans="1:8" x14ac:dyDescent="0.15">
      <c r="A242" s="62" t="s">
        <v>11</v>
      </c>
      <c r="B242" s="62">
        <v>2510</v>
      </c>
      <c r="C242" s="62">
        <v>15</v>
      </c>
      <c r="D242" s="62">
        <v>0.12189999999999999</v>
      </c>
      <c r="E242" s="62">
        <v>259.36700000000002</v>
      </c>
      <c r="F242" s="62">
        <v>13.457000000000001</v>
      </c>
      <c r="G242" s="62">
        <v>89.713999999999999</v>
      </c>
      <c r="H242" s="62">
        <v>1.82</v>
      </c>
    </row>
    <row r="243" spans="1:8" x14ac:dyDescent="0.15">
      <c r="A243" s="62" t="s">
        <v>11</v>
      </c>
      <c r="B243" s="62">
        <v>2510</v>
      </c>
      <c r="C243" s="62">
        <v>15</v>
      </c>
      <c r="D243" s="62">
        <v>0.122</v>
      </c>
      <c r="E243" s="62">
        <v>259.30470000000003</v>
      </c>
      <c r="F243" s="62">
        <v>13.454000000000001</v>
      </c>
      <c r="G243" s="62">
        <v>89.692499999999995</v>
      </c>
      <c r="H243" s="62">
        <v>1.83</v>
      </c>
    </row>
    <row r="244" spans="1:8" x14ac:dyDescent="0.15">
      <c r="A244" s="62" t="s">
        <v>11</v>
      </c>
      <c r="B244" s="62">
        <v>2510</v>
      </c>
      <c r="C244" s="62">
        <v>15</v>
      </c>
      <c r="D244" s="62">
        <v>0.1221</v>
      </c>
      <c r="E244" s="62">
        <v>259.00709999999998</v>
      </c>
      <c r="F244" s="62">
        <v>13.438000000000001</v>
      </c>
      <c r="G244" s="62">
        <v>89.589500000000001</v>
      </c>
      <c r="H244" s="62">
        <v>1.83</v>
      </c>
    </row>
    <row r="245" spans="1:8" x14ac:dyDescent="0.15">
      <c r="A245" s="62" t="s">
        <v>11</v>
      </c>
      <c r="B245" s="62">
        <v>2510</v>
      </c>
      <c r="C245" s="62">
        <v>15</v>
      </c>
      <c r="D245" s="62">
        <v>0.12239999999999999</v>
      </c>
      <c r="E245" s="62">
        <v>258.32530000000003</v>
      </c>
      <c r="F245" s="62">
        <v>13.403</v>
      </c>
      <c r="G245" s="62">
        <v>89.353700000000003</v>
      </c>
      <c r="H245" s="62">
        <v>1.84</v>
      </c>
    </row>
    <row r="246" spans="1:8" x14ac:dyDescent="0.15">
      <c r="A246" s="62" t="s">
        <v>11</v>
      </c>
      <c r="B246" s="62">
        <v>2510</v>
      </c>
      <c r="C246" s="62">
        <v>15</v>
      </c>
      <c r="D246" s="62">
        <v>0.12239999999999999</v>
      </c>
      <c r="E246" s="62">
        <v>258.47570000000002</v>
      </c>
      <c r="F246" s="62">
        <v>13.411</v>
      </c>
      <c r="G246" s="62">
        <v>89.405799999999999</v>
      </c>
      <c r="H246" s="62">
        <v>1.83</v>
      </c>
    </row>
    <row r="247" spans="1:8" x14ac:dyDescent="0.15">
      <c r="A247" s="62" t="s">
        <v>11</v>
      </c>
      <c r="B247" s="62">
        <v>2510</v>
      </c>
      <c r="C247" s="62">
        <v>15</v>
      </c>
      <c r="D247" s="62">
        <v>0.1222</v>
      </c>
      <c r="E247" s="62">
        <v>258.79730000000001</v>
      </c>
      <c r="F247" s="62">
        <v>13.428000000000001</v>
      </c>
      <c r="G247" s="62">
        <v>89.516999999999996</v>
      </c>
      <c r="H247" s="62">
        <v>1.84</v>
      </c>
    </row>
    <row r="248" spans="1:8" x14ac:dyDescent="0.15">
      <c r="A248" s="62" t="s">
        <v>11</v>
      </c>
      <c r="B248" s="62">
        <v>2510</v>
      </c>
      <c r="C248" s="62">
        <v>15</v>
      </c>
      <c r="D248" s="62">
        <v>0.12230000000000001</v>
      </c>
      <c r="E248" s="62">
        <v>258.64760000000001</v>
      </c>
      <c r="F248" s="62">
        <v>13.42</v>
      </c>
      <c r="G248" s="62">
        <v>89.465199999999996</v>
      </c>
      <c r="H248" s="62">
        <v>1.83</v>
      </c>
    </row>
    <row r="249" spans="1:8" x14ac:dyDescent="0.15">
      <c r="A249" s="62" t="s">
        <v>11</v>
      </c>
      <c r="B249" s="62">
        <v>2510</v>
      </c>
      <c r="C249" s="62">
        <v>15</v>
      </c>
      <c r="D249" s="62">
        <v>0.12239999999999999</v>
      </c>
      <c r="E249" s="62">
        <v>258.3492</v>
      </c>
      <c r="F249" s="62">
        <v>13.404</v>
      </c>
      <c r="G249" s="62">
        <v>89.361999999999995</v>
      </c>
      <c r="H249" s="62">
        <v>1.83</v>
      </c>
    </row>
    <row r="250" spans="1:8" x14ac:dyDescent="0.15">
      <c r="A250" s="62" t="s">
        <v>11</v>
      </c>
      <c r="B250" s="62">
        <v>2510</v>
      </c>
      <c r="C250" s="62">
        <v>15</v>
      </c>
      <c r="D250" s="62">
        <v>0.122</v>
      </c>
      <c r="E250" s="62">
        <v>259.18119999999999</v>
      </c>
      <c r="F250" s="62">
        <v>13.446999999999999</v>
      </c>
      <c r="G250" s="62">
        <v>89.649799999999999</v>
      </c>
      <c r="H250" s="62">
        <v>1.83</v>
      </c>
    </row>
    <row r="251" spans="1:8" x14ac:dyDescent="0.15">
      <c r="A251" s="62" t="s">
        <v>11</v>
      </c>
      <c r="B251" s="62">
        <v>2510</v>
      </c>
      <c r="C251" s="62">
        <v>15</v>
      </c>
      <c r="D251" s="62">
        <v>0.122</v>
      </c>
      <c r="E251" s="62">
        <v>259.2405</v>
      </c>
      <c r="F251" s="62">
        <v>13.451000000000001</v>
      </c>
      <c r="G251" s="62">
        <v>89.670299999999997</v>
      </c>
      <c r="H251" s="62">
        <v>1.83</v>
      </c>
    </row>
    <row r="252" spans="1:8" x14ac:dyDescent="0.15">
      <c r="A252" s="62" t="s">
        <v>11</v>
      </c>
      <c r="B252" s="62">
        <v>2510</v>
      </c>
      <c r="C252" s="62">
        <v>15</v>
      </c>
      <c r="D252" s="62">
        <v>0.1221</v>
      </c>
      <c r="E252" s="62">
        <v>259.08550000000002</v>
      </c>
      <c r="F252" s="62">
        <v>13.443</v>
      </c>
      <c r="G252" s="62">
        <v>89.616699999999994</v>
      </c>
      <c r="H252" s="62">
        <v>1.83</v>
      </c>
    </row>
    <row r="253" spans="1:8" x14ac:dyDescent="0.15">
      <c r="A253" s="62" t="s">
        <v>11</v>
      </c>
      <c r="B253" s="62">
        <v>2510</v>
      </c>
      <c r="C253" s="62">
        <v>15</v>
      </c>
      <c r="D253" s="62">
        <v>0.12239999999999999</v>
      </c>
      <c r="E253" s="62">
        <v>258.33339999999998</v>
      </c>
      <c r="F253" s="62">
        <v>13.403</v>
      </c>
      <c r="G253" s="62">
        <v>89.356499999999997</v>
      </c>
      <c r="H253" s="62">
        <v>1.84</v>
      </c>
    </row>
    <row r="254" spans="1:8" x14ac:dyDescent="0.15">
      <c r="A254" s="62" t="s">
        <v>11</v>
      </c>
      <c r="B254" s="62">
        <v>2510</v>
      </c>
      <c r="C254" s="62">
        <v>15</v>
      </c>
      <c r="D254" s="62">
        <v>0.12239999999999999</v>
      </c>
      <c r="E254" s="62">
        <v>258.46449999999999</v>
      </c>
      <c r="F254" s="62">
        <v>13.41</v>
      </c>
      <c r="G254" s="62">
        <v>89.401899999999998</v>
      </c>
      <c r="H254" s="62">
        <v>1.83</v>
      </c>
    </row>
    <row r="255" spans="1:8" x14ac:dyDescent="0.15">
      <c r="A255" s="62" t="s">
        <v>11</v>
      </c>
      <c r="B255" s="62">
        <v>2510</v>
      </c>
      <c r="C255" s="62">
        <v>15</v>
      </c>
      <c r="D255" s="62">
        <v>0.12230000000000001</v>
      </c>
      <c r="E255" s="62">
        <v>258.58679999999998</v>
      </c>
      <c r="F255" s="62">
        <v>13.417</v>
      </c>
      <c r="G255" s="62">
        <v>89.444199999999995</v>
      </c>
      <c r="H255" s="62">
        <v>1.84</v>
      </c>
    </row>
    <row r="256" spans="1:8" x14ac:dyDescent="0.15">
      <c r="A256" s="62" t="s">
        <v>11</v>
      </c>
      <c r="B256" s="62">
        <v>2510</v>
      </c>
      <c r="C256" s="62">
        <v>15</v>
      </c>
      <c r="D256" s="62">
        <v>0.12189999999999999</v>
      </c>
      <c r="E256" s="62">
        <v>259.34469999999999</v>
      </c>
      <c r="F256" s="62">
        <v>13.456</v>
      </c>
      <c r="G256" s="62">
        <v>89.706299999999999</v>
      </c>
      <c r="H256" s="62">
        <v>1.83</v>
      </c>
    </row>
    <row r="257" spans="1:8" x14ac:dyDescent="0.15">
      <c r="A257" s="62" t="s">
        <v>11</v>
      </c>
      <c r="B257" s="62">
        <v>2510</v>
      </c>
      <c r="C257" s="62">
        <v>15</v>
      </c>
      <c r="D257" s="62">
        <v>0.12239999999999999</v>
      </c>
      <c r="E257" s="62">
        <v>258.31569999999999</v>
      </c>
      <c r="F257" s="62">
        <v>13.403</v>
      </c>
      <c r="G257" s="62">
        <v>89.350399999999993</v>
      </c>
      <c r="H257" s="62">
        <v>1.83</v>
      </c>
    </row>
    <row r="258" spans="1:8" x14ac:dyDescent="0.15">
      <c r="A258" s="62" t="s">
        <v>11</v>
      </c>
      <c r="B258" s="62">
        <v>2510</v>
      </c>
      <c r="C258" s="62">
        <v>15</v>
      </c>
      <c r="D258" s="62">
        <v>0.12189999999999999</v>
      </c>
      <c r="E258" s="62">
        <v>259.42869999999999</v>
      </c>
      <c r="F258" s="62">
        <v>13.46</v>
      </c>
      <c r="G258" s="62">
        <v>89.735399999999998</v>
      </c>
      <c r="H258" s="62">
        <v>1.83</v>
      </c>
    </row>
    <row r="259" spans="1:8" x14ac:dyDescent="0.15">
      <c r="A259" s="62" t="s">
        <v>11</v>
      </c>
      <c r="B259" s="62">
        <v>2510</v>
      </c>
      <c r="C259" s="62">
        <v>15</v>
      </c>
      <c r="D259" s="62">
        <v>0.122</v>
      </c>
      <c r="E259" s="62">
        <v>259.31020000000001</v>
      </c>
      <c r="F259" s="62">
        <v>13.454000000000001</v>
      </c>
      <c r="G259" s="62">
        <v>89.694400000000002</v>
      </c>
      <c r="H259" s="62">
        <v>1.83</v>
      </c>
    </row>
    <row r="260" spans="1:8" x14ac:dyDescent="0.15">
      <c r="A260" s="62" t="s">
        <v>11</v>
      </c>
      <c r="B260" s="62">
        <v>2510</v>
      </c>
      <c r="C260" s="62">
        <v>15</v>
      </c>
      <c r="D260" s="62">
        <v>0.122</v>
      </c>
      <c r="E260" s="62">
        <v>259.14920000000001</v>
      </c>
      <c r="F260" s="62">
        <v>13.446</v>
      </c>
      <c r="G260" s="62">
        <v>89.6387</v>
      </c>
      <c r="H260" s="62">
        <v>1.83</v>
      </c>
    </row>
    <row r="261" spans="1:8" x14ac:dyDescent="0.15">
      <c r="A261" s="62" t="s">
        <v>11</v>
      </c>
      <c r="B261" s="62">
        <v>2510</v>
      </c>
      <c r="C261" s="62">
        <v>15</v>
      </c>
      <c r="D261" s="62">
        <v>0.1225</v>
      </c>
      <c r="E261" s="62">
        <v>258.18970000000002</v>
      </c>
      <c r="F261" s="62">
        <v>13.396000000000001</v>
      </c>
      <c r="G261" s="62">
        <v>89.306799999999996</v>
      </c>
      <c r="H261" s="62">
        <v>1.84</v>
      </c>
    </row>
    <row r="262" spans="1:8" x14ac:dyDescent="0.15">
      <c r="A262" s="62" t="s">
        <v>11</v>
      </c>
      <c r="B262" s="62">
        <v>2510</v>
      </c>
      <c r="C262" s="62">
        <v>15</v>
      </c>
      <c r="D262" s="62">
        <v>0.1225</v>
      </c>
      <c r="E262" s="62">
        <v>258.27140000000003</v>
      </c>
      <c r="F262" s="62">
        <v>13.4</v>
      </c>
      <c r="G262" s="62">
        <v>89.335099999999997</v>
      </c>
      <c r="H262" s="62">
        <v>1.83</v>
      </c>
    </row>
    <row r="263" spans="1:8" x14ac:dyDescent="0.15">
      <c r="A263" s="62" t="s">
        <v>11</v>
      </c>
      <c r="B263" s="62">
        <v>2510</v>
      </c>
      <c r="C263" s="62">
        <v>15</v>
      </c>
      <c r="D263" s="62">
        <v>0.12239999999999999</v>
      </c>
      <c r="E263" s="62">
        <v>258.43389999999999</v>
      </c>
      <c r="F263" s="62">
        <v>13.409000000000001</v>
      </c>
      <c r="G263" s="62">
        <v>89.391300000000001</v>
      </c>
      <c r="H263" s="62">
        <v>1.84</v>
      </c>
    </row>
    <row r="264" spans="1:8" x14ac:dyDescent="0.15">
      <c r="A264" s="62" t="s">
        <v>11</v>
      </c>
      <c r="B264" s="62">
        <v>2510</v>
      </c>
      <c r="C264" s="62">
        <v>15</v>
      </c>
      <c r="D264" s="62">
        <v>0.12239999999999999</v>
      </c>
      <c r="E264" s="62">
        <v>258.43060000000003</v>
      </c>
      <c r="F264" s="62">
        <v>13.409000000000001</v>
      </c>
      <c r="G264" s="62">
        <v>89.390100000000004</v>
      </c>
      <c r="H264" s="62">
        <v>1.83</v>
      </c>
    </row>
    <row r="265" spans="1:8" x14ac:dyDescent="0.15">
      <c r="A265" s="62" t="s">
        <v>11</v>
      </c>
      <c r="B265" s="62">
        <v>2510</v>
      </c>
      <c r="C265" s="62">
        <v>15</v>
      </c>
      <c r="D265" s="62">
        <v>0.122</v>
      </c>
      <c r="E265" s="62">
        <v>259.2217</v>
      </c>
      <c r="F265" s="62">
        <v>13.45</v>
      </c>
      <c r="G265" s="62">
        <v>89.663799999999995</v>
      </c>
      <c r="H265" s="62">
        <v>1.83</v>
      </c>
    </row>
    <row r="266" spans="1:8" x14ac:dyDescent="0.15">
      <c r="A266" s="62" t="s">
        <v>11</v>
      </c>
      <c r="B266" s="62">
        <v>2510</v>
      </c>
      <c r="C266" s="62">
        <v>15</v>
      </c>
      <c r="D266" s="62">
        <v>0.12230000000000001</v>
      </c>
      <c r="E266" s="62">
        <v>258.61259999999999</v>
      </c>
      <c r="F266" s="62">
        <v>13.417999999999999</v>
      </c>
      <c r="G266" s="62">
        <v>89.453100000000006</v>
      </c>
      <c r="H266" s="62">
        <v>1.84</v>
      </c>
    </row>
    <row r="267" spans="1:8" x14ac:dyDescent="0.15">
      <c r="A267" s="62" t="s">
        <v>11</v>
      </c>
      <c r="B267" s="62">
        <v>2510</v>
      </c>
      <c r="C267" s="62">
        <v>15</v>
      </c>
      <c r="D267" s="62">
        <v>0.122</v>
      </c>
      <c r="E267" s="62">
        <v>259.26100000000002</v>
      </c>
      <c r="F267" s="62">
        <v>13.452</v>
      </c>
      <c r="G267" s="62">
        <v>89.677400000000006</v>
      </c>
      <c r="H267" s="62">
        <v>1.83</v>
      </c>
    </row>
    <row r="268" spans="1:8" x14ac:dyDescent="0.15">
      <c r="A268" s="62" t="s">
        <v>11</v>
      </c>
      <c r="B268" s="62">
        <v>2510</v>
      </c>
      <c r="C268" s="62">
        <v>15</v>
      </c>
      <c r="D268" s="62">
        <v>0.1221</v>
      </c>
      <c r="E268" s="62">
        <v>258.97320000000002</v>
      </c>
      <c r="F268" s="62">
        <v>13.436999999999999</v>
      </c>
      <c r="G268" s="62">
        <v>89.577799999999996</v>
      </c>
      <c r="H268" s="62">
        <v>1.83</v>
      </c>
    </row>
    <row r="269" spans="1:8" x14ac:dyDescent="0.15">
      <c r="A269" s="62" t="s">
        <v>11</v>
      </c>
      <c r="B269" s="62">
        <v>2510</v>
      </c>
      <c r="C269" s="62">
        <v>15</v>
      </c>
      <c r="D269" s="62">
        <v>0.12230000000000001</v>
      </c>
      <c r="E269" s="62">
        <v>258.67579999999998</v>
      </c>
      <c r="F269" s="62">
        <v>13.420999999999999</v>
      </c>
      <c r="G269" s="62">
        <v>89.474900000000005</v>
      </c>
      <c r="H269" s="62">
        <v>1.83</v>
      </c>
    </row>
    <row r="270" spans="1:8" x14ac:dyDescent="0.15">
      <c r="A270" s="62" t="s">
        <v>11</v>
      </c>
      <c r="B270" s="62">
        <v>2510</v>
      </c>
      <c r="C270" s="62">
        <v>15</v>
      </c>
      <c r="D270" s="62">
        <v>0.1226</v>
      </c>
      <c r="E270" s="62">
        <v>257.95229999999998</v>
      </c>
      <c r="F270" s="62">
        <v>13.384</v>
      </c>
      <c r="G270" s="62">
        <v>89.224699999999999</v>
      </c>
      <c r="H270" s="62">
        <v>1.84</v>
      </c>
    </row>
    <row r="271" spans="1:8" x14ac:dyDescent="0.15">
      <c r="A271" s="62" t="s">
        <v>11</v>
      </c>
      <c r="B271" s="62">
        <v>2510</v>
      </c>
      <c r="C271" s="62">
        <v>15</v>
      </c>
      <c r="D271" s="62">
        <v>0.1221</v>
      </c>
      <c r="E271" s="62">
        <v>258.99439999999998</v>
      </c>
      <c r="F271" s="62">
        <v>13.438000000000001</v>
      </c>
      <c r="G271" s="62">
        <v>89.585099999999997</v>
      </c>
      <c r="H271" s="62">
        <v>1.83</v>
      </c>
    </row>
    <row r="272" spans="1:8" x14ac:dyDescent="0.15">
      <c r="A272" s="62" t="s">
        <v>11</v>
      </c>
      <c r="B272" s="62">
        <v>2510</v>
      </c>
      <c r="C272" s="62">
        <v>15</v>
      </c>
      <c r="D272" s="62">
        <v>0.12230000000000001</v>
      </c>
      <c r="E272" s="62">
        <v>258.63780000000003</v>
      </c>
      <c r="F272" s="62">
        <v>13.419</v>
      </c>
      <c r="G272" s="62">
        <v>89.461799999999997</v>
      </c>
      <c r="H272" s="62">
        <v>1.83</v>
      </c>
    </row>
    <row r="273" spans="1:8" x14ac:dyDescent="0.15">
      <c r="A273" s="62" t="s">
        <v>11</v>
      </c>
      <c r="B273" s="62">
        <v>2510</v>
      </c>
      <c r="C273" s="62">
        <v>15</v>
      </c>
      <c r="D273" s="62">
        <v>0.12230000000000001</v>
      </c>
      <c r="E273" s="62">
        <v>258.59840000000003</v>
      </c>
      <c r="F273" s="62">
        <v>13.417</v>
      </c>
      <c r="G273" s="62">
        <v>89.4482</v>
      </c>
      <c r="H273" s="62">
        <v>1.84</v>
      </c>
    </row>
    <row r="274" spans="1:8" x14ac:dyDescent="0.15">
      <c r="A274" s="62" t="s">
        <v>11</v>
      </c>
      <c r="B274" s="62">
        <v>2510</v>
      </c>
      <c r="C274" s="62">
        <v>15</v>
      </c>
      <c r="D274" s="62">
        <v>0.1222</v>
      </c>
      <c r="E274" s="62">
        <v>258.78280000000001</v>
      </c>
      <c r="F274" s="62">
        <v>13.427</v>
      </c>
      <c r="G274" s="62">
        <v>89.512</v>
      </c>
      <c r="H274" s="62">
        <v>1.83</v>
      </c>
    </row>
    <row r="275" spans="1:8" x14ac:dyDescent="0.15">
      <c r="A275" s="62" t="s">
        <v>11</v>
      </c>
      <c r="B275" s="62">
        <v>2510</v>
      </c>
      <c r="C275" s="62">
        <v>15</v>
      </c>
      <c r="D275" s="62">
        <v>0.1221</v>
      </c>
      <c r="E275" s="62">
        <v>258.99880000000002</v>
      </c>
      <c r="F275" s="62">
        <v>13.438000000000001</v>
      </c>
      <c r="G275" s="62">
        <v>89.586699999999993</v>
      </c>
      <c r="H275" s="62">
        <v>1.83</v>
      </c>
    </row>
    <row r="276" spans="1:8" x14ac:dyDescent="0.15">
      <c r="A276" s="62" t="s">
        <v>11</v>
      </c>
      <c r="B276" s="62">
        <v>2510</v>
      </c>
      <c r="C276" s="62">
        <v>15</v>
      </c>
      <c r="D276" s="62">
        <v>0.1217</v>
      </c>
      <c r="E276" s="62">
        <v>259.89420000000001</v>
      </c>
      <c r="F276" s="62">
        <v>13.484</v>
      </c>
      <c r="G276" s="62">
        <v>89.8964</v>
      </c>
      <c r="H276" s="62">
        <v>1.83</v>
      </c>
    </row>
    <row r="277" spans="1:8" x14ac:dyDescent="0.15">
      <c r="A277" s="62" t="s">
        <v>11</v>
      </c>
      <c r="B277" s="62">
        <v>2510</v>
      </c>
      <c r="C277" s="62">
        <v>15</v>
      </c>
      <c r="D277" s="62">
        <v>0.1221</v>
      </c>
      <c r="E277" s="62">
        <v>259.05540000000002</v>
      </c>
      <c r="F277" s="62">
        <v>13.441000000000001</v>
      </c>
      <c r="G277" s="62">
        <v>89.606200000000001</v>
      </c>
      <c r="H277" s="62">
        <v>1.83</v>
      </c>
    </row>
    <row r="278" spans="1:8" x14ac:dyDescent="0.15">
      <c r="A278" s="62" t="s">
        <v>11</v>
      </c>
      <c r="B278" s="62">
        <v>2510</v>
      </c>
      <c r="C278" s="62">
        <v>15</v>
      </c>
      <c r="D278" s="62">
        <v>0.1221</v>
      </c>
      <c r="E278" s="62">
        <v>258.99430000000001</v>
      </c>
      <c r="F278" s="62">
        <v>13.438000000000001</v>
      </c>
      <c r="G278" s="62">
        <v>89.585099999999997</v>
      </c>
      <c r="H278" s="62">
        <v>1.83</v>
      </c>
    </row>
    <row r="279" spans="1:8" x14ac:dyDescent="0.15">
      <c r="A279" s="62" t="s">
        <v>11</v>
      </c>
      <c r="B279" s="62">
        <v>2510</v>
      </c>
      <c r="C279" s="62">
        <v>15</v>
      </c>
      <c r="D279" s="62">
        <v>0.12230000000000001</v>
      </c>
      <c r="E279" s="62">
        <v>258.56130000000002</v>
      </c>
      <c r="F279" s="62">
        <v>13.414999999999999</v>
      </c>
      <c r="G279" s="62">
        <v>89.435299999999998</v>
      </c>
      <c r="H279" s="62">
        <v>1.83</v>
      </c>
    </row>
    <row r="280" spans="1:8" x14ac:dyDescent="0.15">
      <c r="A280" s="62" t="s">
        <v>11</v>
      </c>
      <c r="B280" s="62">
        <v>2510</v>
      </c>
      <c r="C280" s="62">
        <v>16</v>
      </c>
      <c r="D280" s="62">
        <v>0.11849999999999999</v>
      </c>
      <c r="E280" s="62">
        <v>266.79300000000001</v>
      </c>
      <c r="F280" s="62">
        <v>13.842000000000001</v>
      </c>
      <c r="G280" s="62">
        <v>86.515000000000001</v>
      </c>
      <c r="H280" s="62">
        <v>1.9</v>
      </c>
    </row>
    <row r="281" spans="1:8" x14ac:dyDescent="0.15">
      <c r="A281" s="62" t="s">
        <v>11</v>
      </c>
      <c r="B281" s="62">
        <v>2510</v>
      </c>
      <c r="C281" s="62">
        <v>16</v>
      </c>
      <c r="D281" s="62">
        <v>0.1188</v>
      </c>
      <c r="E281" s="62">
        <v>266.1148</v>
      </c>
      <c r="F281" s="62">
        <v>13.807</v>
      </c>
      <c r="G281" s="62">
        <v>86.295100000000005</v>
      </c>
      <c r="H281" s="62">
        <v>1.9</v>
      </c>
    </row>
    <row r="282" spans="1:8" x14ac:dyDescent="0.15">
      <c r="A282" s="62" t="s">
        <v>11</v>
      </c>
      <c r="B282" s="62">
        <v>2510</v>
      </c>
      <c r="C282" s="62">
        <v>16</v>
      </c>
      <c r="D282" s="62">
        <v>0.1187</v>
      </c>
      <c r="E282" s="62">
        <v>266.47570000000002</v>
      </c>
      <c r="F282" s="62">
        <v>13.826000000000001</v>
      </c>
      <c r="G282" s="62">
        <v>86.412099999999995</v>
      </c>
      <c r="H282" s="62">
        <v>1.9</v>
      </c>
    </row>
    <row r="283" spans="1:8" x14ac:dyDescent="0.15">
      <c r="A283" s="62" t="s">
        <v>11</v>
      </c>
      <c r="B283" s="62">
        <v>2510</v>
      </c>
      <c r="C283" s="62">
        <v>16</v>
      </c>
      <c r="D283" s="62">
        <v>0.1186</v>
      </c>
      <c r="E283" s="62">
        <v>266.65589999999997</v>
      </c>
      <c r="F283" s="62">
        <v>13.835000000000001</v>
      </c>
      <c r="G283" s="62">
        <v>86.470500000000001</v>
      </c>
      <c r="H283" s="62">
        <v>1.9</v>
      </c>
    </row>
    <row r="284" spans="1:8" x14ac:dyDescent="0.15">
      <c r="A284" s="62" t="s">
        <v>11</v>
      </c>
      <c r="B284" s="62">
        <v>2510</v>
      </c>
      <c r="C284" s="62">
        <v>16</v>
      </c>
      <c r="D284" s="62">
        <v>0.1186</v>
      </c>
      <c r="E284" s="62">
        <v>266.77440000000001</v>
      </c>
      <c r="F284" s="62">
        <v>13.840999999999999</v>
      </c>
      <c r="G284" s="62">
        <v>86.509</v>
      </c>
      <c r="H284" s="62">
        <v>1.89</v>
      </c>
    </row>
    <row r="285" spans="1:8" x14ac:dyDescent="0.15">
      <c r="A285" s="62" t="s">
        <v>11</v>
      </c>
      <c r="B285" s="62">
        <v>2510</v>
      </c>
      <c r="C285" s="62">
        <v>16</v>
      </c>
      <c r="D285" s="62">
        <v>0.1187</v>
      </c>
      <c r="E285" s="62">
        <v>266.4957</v>
      </c>
      <c r="F285" s="62">
        <v>13.827</v>
      </c>
      <c r="G285" s="62">
        <v>86.418599999999998</v>
      </c>
      <c r="H285" s="62">
        <v>1.9</v>
      </c>
    </row>
    <row r="286" spans="1:8" x14ac:dyDescent="0.15">
      <c r="A286" s="62" t="s">
        <v>11</v>
      </c>
      <c r="B286" s="62">
        <v>2510</v>
      </c>
      <c r="C286" s="62">
        <v>16</v>
      </c>
      <c r="D286" s="62">
        <v>0.11899999999999999</v>
      </c>
      <c r="E286" s="62">
        <v>265.83870000000002</v>
      </c>
      <c r="F286" s="62">
        <v>13.792999999999999</v>
      </c>
      <c r="G286" s="62">
        <v>86.205600000000004</v>
      </c>
      <c r="H286" s="62">
        <v>1.9</v>
      </c>
    </row>
    <row r="287" spans="1:8" x14ac:dyDescent="0.15">
      <c r="A287" s="62" t="s">
        <v>11</v>
      </c>
      <c r="B287" s="62">
        <v>2510</v>
      </c>
      <c r="C287" s="62">
        <v>16</v>
      </c>
      <c r="D287" s="62">
        <v>0.11890000000000001</v>
      </c>
      <c r="E287" s="62">
        <v>265.91379999999998</v>
      </c>
      <c r="F287" s="62">
        <v>13.797000000000001</v>
      </c>
      <c r="G287" s="62">
        <v>86.229900000000001</v>
      </c>
      <c r="H287" s="62">
        <v>1.9</v>
      </c>
    </row>
    <row r="288" spans="1:8" x14ac:dyDescent="0.15">
      <c r="A288" s="62" t="s">
        <v>11</v>
      </c>
      <c r="B288" s="62">
        <v>2510</v>
      </c>
      <c r="C288" s="62">
        <v>16</v>
      </c>
      <c r="D288" s="62">
        <v>0.11849999999999999</v>
      </c>
      <c r="E288" s="62">
        <v>266.87939999999998</v>
      </c>
      <c r="F288" s="62">
        <v>13.847</v>
      </c>
      <c r="G288" s="62">
        <v>86.543000000000006</v>
      </c>
      <c r="H288" s="62">
        <v>1.9</v>
      </c>
    </row>
    <row r="289" spans="1:8" x14ac:dyDescent="0.15">
      <c r="A289" s="62" t="s">
        <v>11</v>
      </c>
      <c r="B289" s="62">
        <v>2510</v>
      </c>
      <c r="C289" s="62">
        <v>16</v>
      </c>
      <c r="D289" s="62">
        <v>0.1186</v>
      </c>
      <c r="E289" s="62">
        <v>266.62650000000002</v>
      </c>
      <c r="F289" s="62">
        <v>13.834</v>
      </c>
      <c r="G289" s="62">
        <v>86.460999999999999</v>
      </c>
      <c r="H289" s="62">
        <v>1.9</v>
      </c>
    </row>
    <row r="290" spans="1:8" x14ac:dyDescent="0.15">
      <c r="A290" s="62" t="s">
        <v>11</v>
      </c>
      <c r="B290" s="62">
        <v>2510</v>
      </c>
      <c r="C290" s="62">
        <v>16</v>
      </c>
      <c r="D290" s="62">
        <v>0.1186</v>
      </c>
      <c r="E290" s="62">
        <v>266.6284</v>
      </c>
      <c r="F290" s="62">
        <v>13.834</v>
      </c>
      <c r="G290" s="62">
        <v>86.461600000000004</v>
      </c>
      <c r="H290" s="62">
        <v>1.89</v>
      </c>
    </row>
    <row r="291" spans="1:8" x14ac:dyDescent="0.15">
      <c r="A291" s="62" t="s">
        <v>11</v>
      </c>
      <c r="B291" s="62">
        <v>2510</v>
      </c>
      <c r="C291" s="62">
        <v>16</v>
      </c>
      <c r="D291" s="62">
        <v>0.1188</v>
      </c>
      <c r="E291" s="62">
        <v>266.18529999999998</v>
      </c>
      <c r="F291" s="62">
        <v>13.811</v>
      </c>
      <c r="G291" s="62">
        <v>86.317899999999995</v>
      </c>
      <c r="H291" s="62">
        <v>1.9</v>
      </c>
    </row>
    <row r="292" spans="1:8" x14ac:dyDescent="0.15">
      <c r="A292" s="62" t="s">
        <v>11</v>
      </c>
      <c r="B292" s="62">
        <v>2510</v>
      </c>
      <c r="C292" s="62">
        <v>16</v>
      </c>
      <c r="D292" s="62">
        <v>0.11849999999999999</v>
      </c>
      <c r="E292" s="62">
        <v>266.9178</v>
      </c>
      <c r="F292" s="62">
        <v>13.849</v>
      </c>
      <c r="G292" s="62">
        <v>86.555499999999995</v>
      </c>
      <c r="H292" s="62">
        <v>1.9</v>
      </c>
    </row>
    <row r="293" spans="1:8" x14ac:dyDescent="0.15">
      <c r="A293" s="62" t="s">
        <v>11</v>
      </c>
      <c r="B293" s="62">
        <v>2510</v>
      </c>
      <c r="C293" s="62">
        <v>16</v>
      </c>
      <c r="D293" s="62">
        <v>0.1183</v>
      </c>
      <c r="E293" s="62">
        <v>267.24549999999999</v>
      </c>
      <c r="F293" s="62">
        <v>13.866</v>
      </c>
      <c r="G293" s="62">
        <v>86.661699999999996</v>
      </c>
      <c r="H293" s="62">
        <v>1.89</v>
      </c>
    </row>
    <row r="294" spans="1:8" x14ac:dyDescent="0.15">
      <c r="A294" s="62" t="s">
        <v>11</v>
      </c>
      <c r="B294" s="62">
        <v>2510</v>
      </c>
      <c r="C294" s="62">
        <v>16</v>
      </c>
      <c r="D294" s="62">
        <v>0.1186</v>
      </c>
      <c r="E294" s="62">
        <v>266.69150000000002</v>
      </c>
      <c r="F294" s="62">
        <v>13.837</v>
      </c>
      <c r="G294" s="62">
        <v>86.482100000000003</v>
      </c>
      <c r="H294" s="62">
        <v>1.9</v>
      </c>
    </row>
    <row r="295" spans="1:8" x14ac:dyDescent="0.15">
      <c r="A295" s="62" t="s">
        <v>11</v>
      </c>
      <c r="B295" s="62">
        <v>2510</v>
      </c>
      <c r="C295" s="62">
        <v>16</v>
      </c>
      <c r="D295" s="62">
        <v>0.1187</v>
      </c>
      <c r="E295" s="62">
        <v>266.47120000000001</v>
      </c>
      <c r="F295" s="62">
        <v>13.826000000000001</v>
      </c>
      <c r="G295" s="62">
        <v>86.410600000000002</v>
      </c>
      <c r="H295" s="62">
        <v>1.9</v>
      </c>
    </row>
    <row r="296" spans="1:8" x14ac:dyDescent="0.15">
      <c r="A296" s="62" t="s">
        <v>11</v>
      </c>
      <c r="B296" s="62">
        <v>2510</v>
      </c>
      <c r="C296" s="62">
        <v>16</v>
      </c>
      <c r="D296" s="62">
        <v>0.1187</v>
      </c>
      <c r="E296" s="62">
        <v>266.5428</v>
      </c>
      <c r="F296" s="62">
        <v>13.829000000000001</v>
      </c>
      <c r="G296" s="62">
        <v>86.433899999999994</v>
      </c>
      <c r="H296" s="62">
        <v>1.89</v>
      </c>
    </row>
    <row r="297" spans="1:8" x14ac:dyDescent="0.15">
      <c r="A297" s="62" t="s">
        <v>11</v>
      </c>
      <c r="B297" s="62">
        <v>2510</v>
      </c>
      <c r="C297" s="62">
        <v>16</v>
      </c>
      <c r="D297" s="62">
        <v>0.1187</v>
      </c>
      <c r="E297" s="62">
        <v>266.33240000000001</v>
      </c>
      <c r="F297" s="62">
        <v>13.819000000000001</v>
      </c>
      <c r="G297" s="62">
        <v>86.365600000000001</v>
      </c>
      <c r="H297" s="62">
        <v>1.9</v>
      </c>
    </row>
    <row r="298" spans="1:8" x14ac:dyDescent="0.15">
      <c r="A298" s="62" t="s">
        <v>11</v>
      </c>
      <c r="B298" s="62">
        <v>2510</v>
      </c>
      <c r="C298" s="62">
        <v>16</v>
      </c>
      <c r="D298" s="62">
        <v>0.1188</v>
      </c>
      <c r="E298" s="62">
        <v>266.27480000000003</v>
      </c>
      <c r="F298" s="62">
        <v>13.816000000000001</v>
      </c>
      <c r="G298" s="62">
        <v>86.346900000000005</v>
      </c>
      <c r="H298" s="62">
        <v>1.9</v>
      </c>
    </row>
    <row r="299" spans="1:8" x14ac:dyDescent="0.15">
      <c r="A299" s="62" t="s">
        <v>11</v>
      </c>
      <c r="B299" s="62">
        <v>2510</v>
      </c>
      <c r="C299" s="62">
        <v>16</v>
      </c>
      <c r="D299" s="62">
        <v>0.1187</v>
      </c>
      <c r="E299" s="62">
        <v>266.46530000000001</v>
      </c>
      <c r="F299" s="62">
        <v>13.824999999999999</v>
      </c>
      <c r="G299" s="62">
        <v>86.408699999999996</v>
      </c>
      <c r="H299" s="62">
        <v>1.9</v>
      </c>
    </row>
    <row r="300" spans="1:8" x14ac:dyDescent="0.15">
      <c r="A300" s="62" t="s">
        <v>11</v>
      </c>
      <c r="B300" s="62">
        <v>2510</v>
      </c>
      <c r="C300" s="62">
        <v>16</v>
      </c>
      <c r="D300" s="62">
        <v>0.11890000000000001</v>
      </c>
      <c r="E300" s="62">
        <v>266.04719999999998</v>
      </c>
      <c r="F300" s="62">
        <v>13.804</v>
      </c>
      <c r="G300" s="62">
        <v>86.273200000000003</v>
      </c>
      <c r="H300" s="62">
        <v>1.9</v>
      </c>
    </row>
    <row r="301" spans="1:8" x14ac:dyDescent="0.15">
      <c r="A301" s="62" t="s">
        <v>11</v>
      </c>
      <c r="B301" s="62">
        <v>2510</v>
      </c>
      <c r="C301" s="62">
        <v>16</v>
      </c>
      <c r="D301" s="62">
        <v>0.11890000000000001</v>
      </c>
      <c r="E301" s="62">
        <v>265.88350000000003</v>
      </c>
      <c r="F301" s="62">
        <v>13.795</v>
      </c>
      <c r="G301" s="62">
        <v>86.220100000000002</v>
      </c>
      <c r="H301" s="62">
        <v>1.91</v>
      </c>
    </row>
    <row r="302" spans="1:8" x14ac:dyDescent="0.15">
      <c r="A302" s="62" t="s">
        <v>11</v>
      </c>
      <c r="B302" s="62">
        <v>2510</v>
      </c>
      <c r="C302" s="62">
        <v>16</v>
      </c>
      <c r="D302" s="62">
        <v>0.11840000000000001</v>
      </c>
      <c r="E302" s="62">
        <v>267.08179999999999</v>
      </c>
      <c r="F302" s="62">
        <v>13.856999999999999</v>
      </c>
      <c r="G302" s="62">
        <v>86.608599999999996</v>
      </c>
      <c r="H302" s="62">
        <v>1.89</v>
      </c>
    </row>
    <row r="303" spans="1:8" x14ac:dyDescent="0.15">
      <c r="A303" s="62" t="s">
        <v>11</v>
      </c>
      <c r="B303" s="62">
        <v>2510</v>
      </c>
      <c r="C303" s="62">
        <v>16</v>
      </c>
      <c r="D303" s="62">
        <v>0.1187</v>
      </c>
      <c r="E303" s="62">
        <v>266.50229999999999</v>
      </c>
      <c r="F303" s="62">
        <v>13.827</v>
      </c>
      <c r="G303" s="62">
        <v>86.420699999999997</v>
      </c>
      <c r="H303" s="62">
        <v>1.9</v>
      </c>
    </row>
    <row r="304" spans="1:8" x14ac:dyDescent="0.15">
      <c r="A304" s="62" t="s">
        <v>11</v>
      </c>
      <c r="B304" s="62">
        <v>2510</v>
      </c>
      <c r="C304" s="62">
        <v>16</v>
      </c>
      <c r="D304" s="62">
        <v>0.1188</v>
      </c>
      <c r="E304" s="62">
        <v>266.2013</v>
      </c>
      <c r="F304" s="62">
        <v>13.811999999999999</v>
      </c>
      <c r="G304" s="62">
        <v>86.323099999999997</v>
      </c>
      <c r="H304" s="62">
        <v>1.9</v>
      </c>
    </row>
    <row r="305" spans="1:8" x14ac:dyDescent="0.15">
      <c r="A305" s="62" t="s">
        <v>11</v>
      </c>
      <c r="B305" s="62">
        <v>2510</v>
      </c>
      <c r="C305" s="62">
        <v>16</v>
      </c>
      <c r="D305" s="62">
        <v>0.11840000000000001</v>
      </c>
      <c r="E305" s="62">
        <v>267.07040000000001</v>
      </c>
      <c r="F305" s="62">
        <v>13.856999999999999</v>
      </c>
      <c r="G305" s="62">
        <v>86.604900000000001</v>
      </c>
      <c r="H305" s="62">
        <v>1.89</v>
      </c>
    </row>
    <row r="306" spans="1:8" x14ac:dyDescent="0.15">
      <c r="A306" s="62" t="s">
        <v>11</v>
      </c>
      <c r="B306" s="62">
        <v>2510</v>
      </c>
      <c r="C306" s="62">
        <v>16</v>
      </c>
      <c r="D306" s="62">
        <v>0.1188</v>
      </c>
      <c r="E306" s="62">
        <v>266.108</v>
      </c>
      <c r="F306" s="62">
        <v>13.807</v>
      </c>
      <c r="G306" s="62">
        <v>86.292900000000003</v>
      </c>
      <c r="H306" s="62">
        <v>1.9</v>
      </c>
    </row>
    <row r="307" spans="1:8" x14ac:dyDescent="0.15">
      <c r="A307" s="62" t="s">
        <v>11</v>
      </c>
      <c r="B307" s="62">
        <v>2510</v>
      </c>
      <c r="C307" s="62">
        <v>16</v>
      </c>
      <c r="D307" s="62">
        <v>0.11840000000000001</v>
      </c>
      <c r="E307" s="62">
        <v>267.13560000000001</v>
      </c>
      <c r="F307" s="62">
        <v>13.86</v>
      </c>
      <c r="G307" s="62">
        <v>86.626099999999994</v>
      </c>
      <c r="H307" s="62">
        <v>1.9</v>
      </c>
    </row>
    <row r="308" spans="1:8" x14ac:dyDescent="0.15">
      <c r="A308" s="62" t="s">
        <v>11</v>
      </c>
      <c r="B308" s="62">
        <v>2510</v>
      </c>
      <c r="C308" s="62">
        <v>16</v>
      </c>
      <c r="D308" s="62">
        <v>0.1186</v>
      </c>
      <c r="E308" s="62">
        <v>266.65289999999999</v>
      </c>
      <c r="F308" s="62">
        <v>13.835000000000001</v>
      </c>
      <c r="G308" s="62">
        <v>86.4696</v>
      </c>
      <c r="H308" s="62">
        <v>1.89</v>
      </c>
    </row>
    <row r="309" spans="1:8" x14ac:dyDescent="0.15">
      <c r="A309" s="62" t="s">
        <v>11</v>
      </c>
      <c r="B309" s="62">
        <v>2510</v>
      </c>
      <c r="C309" s="62">
        <v>16</v>
      </c>
      <c r="D309" s="62">
        <v>0.1188</v>
      </c>
      <c r="E309" s="62">
        <v>266.303</v>
      </c>
      <c r="F309" s="62">
        <v>13.817</v>
      </c>
      <c r="G309" s="62">
        <v>86.356099999999998</v>
      </c>
      <c r="H309" s="62">
        <v>1.9</v>
      </c>
    </row>
    <row r="310" spans="1:8" x14ac:dyDescent="0.15">
      <c r="A310" s="62" t="s">
        <v>11</v>
      </c>
      <c r="B310" s="62">
        <v>2510</v>
      </c>
      <c r="C310" s="62">
        <v>16</v>
      </c>
      <c r="D310" s="62">
        <v>0.1186</v>
      </c>
      <c r="E310" s="62">
        <v>266.57209999999998</v>
      </c>
      <c r="F310" s="62">
        <v>13.831</v>
      </c>
      <c r="G310" s="62">
        <v>86.443399999999997</v>
      </c>
      <c r="H310" s="62">
        <v>1.9</v>
      </c>
    </row>
    <row r="311" spans="1:8" x14ac:dyDescent="0.15">
      <c r="A311" s="62" t="s">
        <v>11</v>
      </c>
      <c r="B311" s="62">
        <v>2510</v>
      </c>
      <c r="C311" s="62">
        <v>16</v>
      </c>
      <c r="D311" s="62">
        <v>0.1187</v>
      </c>
      <c r="E311" s="62">
        <v>266.42529999999999</v>
      </c>
      <c r="F311" s="62">
        <v>13.823</v>
      </c>
      <c r="G311" s="62">
        <v>86.395799999999994</v>
      </c>
      <c r="H311" s="62">
        <v>1.9</v>
      </c>
    </row>
    <row r="312" spans="1:8" x14ac:dyDescent="0.15">
      <c r="A312" s="62" t="s">
        <v>11</v>
      </c>
      <c r="B312" s="62">
        <v>2510</v>
      </c>
      <c r="C312" s="62">
        <v>16</v>
      </c>
      <c r="D312" s="62">
        <v>0.11890000000000001</v>
      </c>
      <c r="E312" s="62">
        <v>265.95240000000001</v>
      </c>
      <c r="F312" s="62">
        <v>13.798999999999999</v>
      </c>
      <c r="G312" s="62">
        <v>86.242400000000004</v>
      </c>
      <c r="H312" s="62">
        <v>1.9</v>
      </c>
    </row>
    <row r="313" spans="1:8" x14ac:dyDescent="0.15">
      <c r="A313" s="62" t="s">
        <v>11</v>
      </c>
      <c r="B313" s="62">
        <v>2510</v>
      </c>
      <c r="C313" s="62">
        <v>16</v>
      </c>
      <c r="D313" s="62">
        <v>0.11890000000000001</v>
      </c>
      <c r="E313" s="62">
        <v>265.90870000000001</v>
      </c>
      <c r="F313" s="62">
        <v>13.797000000000001</v>
      </c>
      <c r="G313" s="62">
        <v>86.228300000000004</v>
      </c>
      <c r="H313" s="62">
        <v>1.9</v>
      </c>
    </row>
    <row r="314" spans="1:8" x14ac:dyDescent="0.15">
      <c r="A314" s="62" t="s">
        <v>11</v>
      </c>
      <c r="B314" s="62">
        <v>2510</v>
      </c>
      <c r="C314" s="62">
        <v>16</v>
      </c>
      <c r="D314" s="62">
        <v>0.1187</v>
      </c>
      <c r="E314" s="62">
        <v>266.44330000000002</v>
      </c>
      <c r="F314" s="62">
        <v>13.824</v>
      </c>
      <c r="G314" s="62">
        <v>86.401600000000002</v>
      </c>
      <c r="H314" s="62">
        <v>1.9</v>
      </c>
    </row>
    <row r="315" spans="1:8" x14ac:dyDescent="0.15">
      <c r="A315" s="62" t="s">
        <v>11</v>
      </c>
      <c r="B315" s="62">
        <v>2510</v>
      </c>
      <c r="C315" s="62">
        <v>16</v>
      </c>
      <c r="D315" s="62">
        <v>0.1187</v>
      </c>
      <c r="E315" s="62">
        <v>266.52969999999999</v>
      </c>
      <c r="F315" s="62">
        <v>13.829000000000001</v>
      </c>
      <c r="G315" s="62">
        <v>86.429599999999994</v>
      </c>
      <c r="H315" s="62">
        <v>1.9</v>
      </c>
    </row>
    <row r="316" spans="1:8" x14ac:dyDescent="0.15">
      <c r="A316" s="62" t="s">
        <v>11</v>
      </c>
      <c r="B316" s="62">
        <v>2510</v>
      </c>
      <c r="C316" s="62">
        <v>16</v>
      </c>
      <c r="D316" s="62">
        <v>0.11849999999999999</v>
      </c>
      <c r="E316" s="62">
        <v>266.88720000000001</v>
      </c>
      <c r="F316" s="62">
        <v>13.847</v>
      </c>
      <c r="G316" s="62">
        <v>86.545500000000004</v>
      </c>
      <c r="H316" s="62">
        <v>1.9</v>
      </c>
    </row>
    <row r="317" spans="1:8" x14ac:dyDescent="0.15">
      <c r="A317" s="62" t="s">
        <v>11</v>
      </c>
      <c r="B317" s="62">
        <v>2510</v>
      </c>
      <c r="C317" s="62">
        <v>16</v>
      </c>
      <c r="D317" s="62">
        <v>0.11849999999999999</v>
      </c>
      <c r="E317" s="62">
        <v>266.89260000000002</v>
      </c>
      <c r="F317" s="62">
        <v>13.848000000000001</v>
      </c>
      <c r="G317" s="62">
        <v>86.547300000000007</v>
      </c>
      <c r="H317" s="62">
        <v>1.89</v>
      </c>
    </row>
    <row r="318" spans="1:8" x14ac:dyDescent="0.15">
      <c r="A318" s="62" t="s">
        <v>11</v>
      </c>
      <c r="B318" s="62">
        <v>2510</v>
      </c>
      <c r="C318" s="62">
        <v>16</v>
      </c>
      <c r="D318" s="62">
        <v>0.1187</v>
      </c>
      <c r="E318" s="62">
        <v>266.4923</v>
      </c>
      <c r="F318" s="62">
        <v>13.827</v>
      </c>
      <c r="G318" s="62">
        <v>86.417500000000004</v>
      </c>
      <c r="H318" s="62">
        <v>1.9</v>
      </c>
    </row>
    <row r="319" spans="1:8" x14ac:dyDescent="0.15">
      <c r="A319" s="62" t="s">
        <v>11</v>
      </c>
      <c r="B319" s="62">
        <v>2510</v>
      </c>
      <c r="C319" s="62">
        <v>16</v>
      </c>
      <c r="D319" s="62">
        <v>0.11840000000000001</v>
      </c>
      <c r="E319" s="62">
        <v>267.13099999999997</v>
      </c>
      <c r="F319" s="62">
        <v>13.86</v>
      </c>
      <c r="G319" s="62">
        <v>86.624600000000001</v>
      </c>
      <c r="H319" s="62">
        <v>1.9</v>
      </c>
    </row>
    <row r="320" spans="1:8" x14ac:dyDescent="0.15">
      <c r="A320" s="62" t="s">
        <v>11</v>
      </c>
      <c r="B320" s="62">
        <v>2510</v>
      </c>
      <c r="C320" s="62">
        <v>16</v>
      </c>
      <c r="D320" s="62">
        <v>0.1187</v>
      </c>
      <c r="E320" s="62">
        <v>266.3897</v>
      </c>
      <c r="F320" s="62">
        <v>13.821</v>
      </c>
      <c r="G320" s="62">
        <v>86.384200000000007</v>
      </c>
      <c r="H320" s="62">
        <v>1.89</v>
      </c>
    </row>
    <row r="321" spans="1:8" x14ac:dyDescent="0.15">
      <c r="A321" s="62" t="s">
        <v>11</v>
      </c>
      <c r="B321" s="62">
        <v>2510</v>
      </c>
      <c r="C321" s="62">
        <v>16</v>
      </c>
      <c r="D321" s="62">
        <v>0.1187</v>
      </c>
      <c r="E321" s="62">
        <v>266.39170000000001</v>
      </c>
      <c r="F321" s="62">
        <v>13.821999999999999</v>
      </c>
      <c r="G321" s="62">
        <v>86.384900000000002</v>
      </c>
      <c r="H321" s="62">
        <v>1.9</v>
      </c>
    </row>
    <row r="322" spans="1:8" x14ac:dyDescent="0.15">
      <c r="A322" s="62" t="s">
        <v>11</v>
      </c>
      <c r="B322" s="62">
        <v>2510</v>
      </c>
      <c r="C322" s="62">
        <v>16</v>
      </c>
      <c r="D322" s="62">
        <v>0.1187</v>
      </c>
      <c r="E322" s="62">
        <v>266.49919999999997</v>
      </c>
      <c r="F322" s="62">
        <v>13.827</v>
      </c>
      <c r="G322" s="62">
        <v>86.419700000000006</v>
      </c>
      <c r="H322" s="62">
        <v>1.9</v>
      </c>
    </row>
    <row r="323" spans="1:8" x14ac:dyDescent="0.15">
      <c r="A323" s="62" t="s">
        <v>11</v>
      </c>
      <c r="B323" s="62">
        <v>2510</v>
      </c>
      <c r="C323" s="62">
        <v>16</v>
      </c>
      <c r="D323" s="62">
        <v>0.11840000000000001</v>
      </c>
      <c r="E323" s="62">
        <v>267.10789999999997</v>
      </c>
      <c r="F323" s="62">
        <v>13.859</v>
      </c>
      <c r="G323" s="62">
        <v>86.617099999999994</v>
      </c>
      <c r="H323" s="62">
        <v>1.9</v>
      </c>
    </row>
    <row r="324" spans="1:8" x14ac:dyDescent="0.15">
      <c r="A324" s="62" t="s">
        <v>11</v>
      </c>
      <c r="B324" s="62">
        <v>2510</v>
      </c>
      <c r="C324" s="62">
        <v>16</v>
      </c>
      <c r="D324" s="62">
        <v>0.11849999999999999</v>
      </c>
      <c r="E324" s="62">
        <v>266.97480000000002</v>
      </c>
      <c r="F324" s="62">
        <v>13.852</v>
      </c>
      <c r="G324" s="62">
        <v>86.573899999999995</v>
      </c>
      <c r="H324" s="62">
        <v>1.89</v>
      </c>
    </row>
    <row r="325" spans="1:8" x14ac:dyDescent="0.15">
      <c r="A325" s="62" t="s">
        <v>11</v>
      </c>
      <c r="B325" s="62">
        <v>2510</v>
      </c>
      <c r="C325" s="62">
        <v>16</v>
      </c>
      <c r="D325" s="62">
        <v>0.1188</v>
      </c>
      <c r="E325" s="62">
        <v>266.2072</v>
      </c>
      <c r="F325" s="62">
        <v>13.811999999999999</v>
      </c>
      <c r="G325" s="62">
        <v>86.325000000000003</v>
      </c>
      <c r="H325" s="62">
        <v>1.9</v>
      </c>
    </row>
    <row r="326" spans="1:8" x14ac:dyDescent="0.15">
      <c r="A326" s="62" t="s">
        <v>11</v>
      </c>
      <c r="B326" s="62">
        <v>2510</v>
      </c>
      <c r="C326" s="62">
        <v>16</v>
      </c>
      <c r="D326" s="62">
        <v>0.11840000000000001</v>
      </c>
      <c r="E326" s="62">
        <v>267.17430000000002</v>
      </c>
      <c r="F326" s="62">
        <v>13.862</v>
      </c>
      <c r="G326" s="62">
        <v>86.6387</v>
      </c>
      <c r="H326" s="62">
        <v>1.89</v>
      </c>
    </row>
    <row r="327" spans="1:8" x14ac:dyDescent="0.15">
      <c r="A327" s="62" t="s">
        <v>11</v>
      </c>
      <c r="B327" s="62">
        <v>2510</v>
      </c>
      <c r="C327" s="62">
        <v>16</v>
      </c>
      <c r="D327" s="62">
        <v>0.125</v>
      </c>
      <c r="E327" s="62">
        <v>252.96889999999999</v>
      </c>
      <c r="F327" s="62">
        <v>13.125</v>
      </c>
      <c r="G327" s="62">
        <v>82.0321</v>
      </c>
      <c r="H327" s="62">
        <v>1.99</v>
      </c>
    </row>
    <row r="328" spans="1:8" x14ac:dyDescent="0.15">
      <c r="A328" s="62" t="s">
        <v>11</v>
      </c>
      <c r="B328" s="62">
        <v>2510</v>
      </c>
      <c r="C328" s="62">
        <v>16</v>
      </c>
      <c r="D328" s="62">
        <v>0.12590000000000001</v>
      </c>
      <c r="E328" s="62">
        <v>251.14500000000001</v>
      </c>
      <c r="F328" s="62">
        <v>13.031000000000001</v>
      </c>
      <c r="G328" s="62">
        <v>81.440700000000007</v>
      </c>
      <c r="H328" s="62">
        <v>2</v>
      </c>
    </row>
    <row r="329" spans="1:8" x14ac:dyDescent="0.15">
      <c r="A329" s="62" t="s">
        <v>11</v>
      </c>
      <c r="B329" s="62">
        <v>2510</v>
      </c>
      <c r="C329" s="62">
        <v>16</v>
      </c>
      <c r="D329" s="62">
        <v>0.12089999999999999</v>
      </c>
      <c r="E329" s="62">
        <v>261.66570000000002</v>
      </c>
      <c r="F329" s="62">
        <v>13.576000000000001</v>
      </c>
      <c r="G329" s="62">
        <v>84.8523</v>
      </c>
      <c r="H329" s="62">
        <v>1.92</v>
      </c>
    </row>
    <row r="330" spans="1:8" x14ac:dyDescent="0.15">
      <c r="A330" s="62" t="s">
        <v>11</v>
      </c>
      <c r="B330" s="62">
        <v>2510</v>
      </c>
      <c r="C330" s="62">
        <v>16</v>
      </c>
      <c r="D330" s="62">
        <v>0.12180000000000001</v>
      </c>
      <c r="E330" s="62">
        <v>259.62869999999998</v>
      </c>
      <c r="F330" s="62">
        <v>13.471</v>
      </c>
      <c r="G330" s="62">
        <v>84.191800000000001</v>
      </c>
      <c r="H330" s="62">
        <v>1.94</v>
      </c>
    </row>
    <row r="331" spans="1:8" x14ac:dyDescent="0.15">
      <c r="A331" s="62" t="s">
        <v>11</v>
      </c>
      <c r="B331" s="62">
        <v>10000</v>
      </c>
      <c r="C331" s="62">
        <v>1</v>
      </c>
      <c r="D331" s="62">
        <v>102.57250000000001</v>
      </c>
      <c r="E331" s="62">
        <v>19.4984</v>
      </c>
      <c r="F331" s="62">
        <v>1</v>
      </c>
      <c r="G331" s="62">
        <v>100</v>
      </c>
      <c r="H331" s="62">
        <v>102.62</v>
      </c>
    </row>
    <row r="332" spans="1:8" x14ac:dyDescent="0.15">
      <c r="A332" s="62" t="s">
        <v>11</v>
      </c>
      <c r="B332" s="62">
        <v>10000</v>
      </c>
      <c r="C332" s="62">
        <v>1</v>
      </c>
      <c r="D332" s="62">
        <v>102.3207</v>
      </c>
      <c r="E332" s="62">
        <v>19.546399999999998</v>
      </c>
      <c r="F332" s="62">
        <v>1.002</v>
      </c>
      <c r="G332" s="62">
        <v>100.246</v>
      </c>
      <c r="H332" s="62">
        <v>102.37</v>
      </c>
    </row>
    <row r="333" spans="1:8" x14ac:dyDescent="0.15">
      <c r="A333" s="62" t="s">
        <v>11</v>
      </c>
      <c r="B333" s="62">
        <v>10000</v>
      </c>
      <c r="C333" s="62">
        <v>1</v>
      </c>
      <c r="D333" s="62">
        <v>102.3231</v>
      </c>
      <c r="E333" s="62">
        <v>19.5459</v>
      </c>
      <c r="F333" s="62">
        <v>1.002</v>
      </c>
      <c r="G333" s="62">
        <v>100.2437</v>
      </c>
      <c r="H333" s="62">
        <v>102.36</v>
      </c>
    </row>
    <row r="334" spans="1:8" x14ac:dyDescent="0.15">
      <c r="A334" s="62" t="s">
        <v>11</v>
      </c>
      <c r="B334" s="62">
        <v>10000</v>
      </c>
      <c r="C334" s="62">
        <v>1</v>
      </c>
      <c r="D334" s="62">
        <v>102.32340000000001</v>
      </c>
      <c r="E334" s="62">
        <v>19.5459</v>
      </c>
      <c r="F334" s="62">
        <v>1.002</v>
      </c>
      <c r="G334" s="62">
        <v>100.2435</v>
      </c>
      <c r="H334" s="62">
        <v>102.37</v>
      </c>
    </row>
    <row r="335" spans="1:8" x14ac:dyDescent="0.15">
      <c r="A335" s="62" t="s">
        <v>11</v>
      </c>
      <c r="B335" s="62">
        <v>10000</v>
      </c>
      <c r="C335" s="62">
        <v>1</v>
      </c>
      <c r="D335" s="62">
        <v>102.8214</v>
      </c>
      <c r="E335" s="62">
        <v>19.4512</v>
      </c>
      <c r="F335" s="62">
        <v>0.998</v>
      </c>
      <c r="G335" s="62">
        <v>99.757900000000006</v>
      </c>
      <c r="H335" s="62">
        <v>102.6</v>
      </c>
    </row>
    <row r="336" spans="1:8" x14ac:dyDescent="0.15">
      <c r="A336" s="62" t="s">
        <v>11</v>
      </c>
      <c r="B336" s="62">
        <v>10000</v>
      </c>
      <c r="C336" s="62">
        <v>1</v>
      </c>
      <c r="D336" s="62">
        <v>102.6486</v>
      </c>
      <c r="E336" s="62">
        <v>19.483899999999998</v>
      </c>
      <c r="F336" s="62">
        <v>0.999</v>
      </c>
      <c r="G336" s="62">
        <v>99.925799999999995</v>
      </c>
      <c r="H336" s="62">
        <v>102.67</v>
      </c>
    </row>
    <row r="337" spans="1:8" x14ac:dyDescent="0.15">
      <c r="A337" s="62" t="s">
        <v>11</v>
      </c>
      <c r="B337" s="62">
        <v>10000</v>
      </c>
      <c r="C337" s="62">
        <v>15</v>
      </c>
      <c r="D337" s="62">
        <v>7.1757999999999997</v>
      </c>
      <c r="E337" s="62">
        <v>278.71370000000002</v>
      </c>
      <c r="F337" s="62">
        <v>14.294</v>
      </c>
      <c r="G337" s="62">
        <v>95.294499999999999</v>
      </c>
      <c r="H337" s="62">
        <v>107.57</v>
      </c>
    </row>
    <row r="338" spans="1:8" x14ac:dyDescent="0.15">
      <c r="A338" s="62" t="s">
        <v>11</v>
      </c>
      <c r="B338" s="62">
        <v>10000</v>
      </c>
      <c r="C338" s="62">
        <v>15</v>
      </c>
      <c r="D338" s="62">
        <v>7.1753</v>
      </c>
      <c r="E338" s="62">
        <v>278.73430000000002</v>
      </c>
      <c r="F338" s="62">
        <v>14.295</v>
      </c>
      <c r="G338" s="62">
        <v>95.301599999999993</v>
      </c>
      <c r="H338" s="62">
        <v>107.58</v>
      </c>
    </row>
    <row r="339" spans="1:8" x14ac:dyDescent="0.15">
      <c r="A339" s="62" t="s">
        <v>11</v>
      </c>
      <c r="B339" s="62">
        <v>10000</v>
      </c>
      <c r="C339" s="62">
        <v>15</v>
      </c>
      <c r="D339" s="62">
        <v>7.1753</v>
      </c>
      <c r="E339" s="62">
        <v>278.7337</v>
      </c>
      <c r="F339" s="62">
        <v>14.295</v>
      </c>
      <c r="G339" s="62">
        <v>95.301299999999998</v>
      </c>
      <c r="H339" s="62">
        <v>107.56</v>
      </c>
    </row>
    <row r="340" spans="1:8" x14ac:dyDescent="0.15">
      <c r="A340" s="62" t="s">
        <v>11</v>
      </c>
      <c r="B340" s="62">
        <v>10000</v>
      </c>
      <c r="C340" s="62">
        <v>15</v>
      </c>
      <c r="D340" s="62">
        <v>7.1853999999999996</v>
      </c>
      <c r="E340" s="62">
        <v>278.34140000000002</v>
      </c>
      <c r="F340" s="62">
        <v>14.275</v>
      </c>
      <c r="G340" s="62">
        <v>95.167199999999994</v>
      </c>
      <c r="H340" s="62">
        <v>107.75</v>
      </c>
    </row>
    <row r="341" spans="1:8" x14ac:dyDescent="0.15">
      <c r="A341" s="62" t="s">
        <v>11</v>
      </c>
      <c r="B341" s="62">
        <v>10000</v>
      </c>
      <c r="C341" s="62">
        <v>15</v>
      </c>
      <c r="D341" s="62">
        <v>7.2019000000000002</v>
      </c>
      <c r="E341" s="62">
        <v>277.7063</v>
      </c>
      <c r="F341" s="62">
        <v>14.243</v>
      </c>
      <c r="G341" s="62">
        <v>94.950100000000006</v>
      </c>
      <c r="H341" s="62">
        <v>107.99</v>
      </c>
    </row>
    <row r="342" spans="1:8" x14ac:dyDescent="0.15">
      <c r="A342" s="62" t="s">
        <v>11</v>
      </c>
      <c r="B342" s="62">
        <v>10000</v>
      </c>
      <c r="C342" s="62">
        <v>15</v>
      </c>
      <c r="D342" s="62">
        <v>7.2016</v>
      </c>
      <c r="E342" s="62">
        <v>277.7165</v>
      </c>
      <c r="F342" s="62">
        <v>14.243</v>
      </c>
      <c r="G342" s="62">
        <v>94.953599999999994</v>
      </c>
      <c r="H342" s="62">
        <v>107.97</v>
      </c>
    </row>
    <row r="343" spans="1:8" x14ac:dyDescent="0.15">
      <c r="A343" s="62" t="s">
        <v>11</v>
      </c>
      <c r="B343" s="62">
        <v>10000</v>
      </c>
      <c r="C343" s="62">
        <v>15</v>
      </c>
      <c r="D343" s="62">
        <v>7.2016999999999998</v>
      </c>
      <c r="E343" s="62">
        <v>277.714</v>
      </c>
      <c r="F343" s="62">
        <v>14.243</v>
      </c>
      <c r="G343" s="62">
        <v>94.952699999999993</v>
      </c>
      <c r="H343" s="62">
        <v>107.98</v>
      </c>
    </row>
    <row r="344" spans="1:8" x14ac:dyDescent="0.15">
      <c r="A344" s="62" t="s">
        <v>11</v>
      </c>
      <c r="B344" s="62">
        <v>10000</v>
      </c>
      <c r="C344" s="62">
        <v>15</v>
      </c>
      <c r="D344" s="62">
        <v>7.2012999999999998</v>
      </c>
      <c r="E344" s="62">
        <v>277.7276</v>
      </c>
      <c r="F344" s="62">
        <v>14.244</v>
      </c>
      <c r="G344" s="62">
        <v>94.957300000000004</v>
      </c>
      <c r="H344" s="62">
        <v>107.98</v>
      </c>
    </row>
    <row r="345" spans="1:8" x14ac:dyDescent="0.15">
      <c r="A345" s="62" t="s">
        <v>11</v>
      </c>
      <c r="B345" s="62">
        <v>10000</v>
      </c>
      <c r="C345" s="62">
        <v>15</v>
      </c>
      <c r="D345" s="62">
        <v>7.2019000000000002</v>
      </c>
      <c r="E345" s="62">
        <v>277.7045</v>
      </c>
      <c r="F345" s="62">
        <v>14.242000000000001</v>
      </c>
      <c r="G345" s="62">
        <v>94.9495</v>
      </c>
      <c r="H345" s="62">
        <v>107.98009999999999</v>
      </c>
    </row>
    <row r="346" spans="1:8" x14ac:dyDescent="0.15">
      <c r="A346" s="62" t="s">
        <v>11</v>
      </c>
      <c r="B346" s="62">
        <v>10000</v>
      </c>
      <c r="C346" s="62">
        <v>15</v>
      </c>
      <c r="D346" s="62">
        <v>7.2013999999999996</v>
      </c>
      <c r="E346" s="62">
        <v>277.72219999999999</v>
      </c>
      <c r="F346" s="62">
        <v>14.243</v>
      </c>
      <c r="G346" s="62">
        <v>94.955500000000001</v>
      </c>
      <c r="H346" s="62">
        <v>107.97</v>
      </c>
    </row>
    <row r="347" spans="1:8" x14ac:dyDescent="0.15">
      <c r="A347" s="62" t="s">
        <v>11</v>
      </c>
      <c r="B347" s="62">
        <v>10000</v>
      </c>
      <c r="C347" s="62">
        <v>15</v>
      </c>
      <c r="D347" s="62">
        <v>7.2015000000000002</v>
      </c>
      <c r="E347" s="62">
        <v>277.7217</v>
      </c>
      <c r="F347" s="62">
        <v>14.243</v>
      </c>
      <c r="G347" s="62">
        <v>94.955299999999994</v>
      </c>
      <c r="H347" s="62">
        <v>107.97</v>
      </c>
    </row>
    <row r="348" spans="1:8" x14ac:dyDescent="0.15">
      <c r="A348" s="62" t="s">
        <v>11</v>
      </c>
      <c r="B348" s="62">
        <v>10000</v>
      </c>
      <c r="C348" s="62">
        <v>15</v>
      </c>
      <c r="D348" s="62">
        <v>7.2013999999999996</v>
      </c>
      <c r="E348" s="62">
        <v>277.72289999999998</v>
      </c>
      <c r="F348" s="62">
        <v>14.243</v>
      </c>
      <c r="G348" s="62">
        <v>94.955699999999993</v>
      </c>
      <c r="H348" s="62">
        <v>107.98</v>
      </c>
    </row>
    <row r="349" spans="1:8" x14ac:dyDescent="0.15">
      <c r="A349" s="62" t="s">
        <v>11</v>
      </c>
      <c r="B349" s="62">
        <v>10000</v>
      </c>
      <c r="C349" s="62">
        <v>15</v>
      </c>
      <c r="D349" s="62">
        <v>7.2016</v>
      </c>
      <c r="E349" s="62">
        <v>277.71530000000001</v>
      </c>
      <c r="F349" s="62">
        <v>14.243</v>
      </c>
      <c r="G349" s="62">
        <v>94.953100000000006</v>
      </c>
      <c r="H349" s="62">
        <v>107.9701</v>
      </c>
    </row>
    <row r="350" spans="1:8" x14ac:dyDescent="0.15">
      <c r="A350" s="62" t="s">
        <v>11</v>
      </c>
      <c r="B350" s="62">
        <v>10000</v>
      </c>
      <c r="C350" s="62">
        <v>15</v>
      </c>
      <c r="D350" s="62">
        <v>7.2016999999999998</v>
      </c>
      <c r="E350" s="62">
        <v>277.71280000000002</v>
      </c>
      <c r="F350" s="62">
        <v>14.243</v>
      </c>
      <c r="G350" s="62">
        <v>94.952299999999994</v>
      </c>
      <c r="H350" s="62">
        <v>107.98</v>
      </c>
    </row>
    <row r="351" spans="1:8" x14ac:dyDescent="0.15">
      <c r="A351" s="62" t="s">
        <v>11</v>
      </c>
      <c r="B351" s="62">
        <v>10000</v>
      </c>
      <c r="C351" s="62">
        <v>15</v>
      </c>
      <c r="D351" s="62">
        <v>7.2016999999999998</v>
      </c>
      <c r="E351" s="62">
        <v>277.71409999999997</v>
      </c>
      <c r="F351" s="62">
        <v>14.243</v>
      </c>
      <c r="G351" s="62">
        <v>94.952699999999993</v>
      </c>
      <c r="H351" s="62">
        <v>107.98</v>
      </c>
    </row>
    <row r="352" spans="1:8" x14ac:dyDescent="0.15">
      <c r="A352" s="62" t="s">
        <v>11</v>
      </c>
      <c r="B352" s="62">
        <v>10000</v>
      </c>
      <c r="C352" s="62">
        <v>15</v>
      </c>
      <c r="D352" s="62">
        <v>7.2015000000000002</v>
      </c>
      <c r="E352" s="62">
        <v>277.71899999999999</v>
      </c>
      <c r="F352" s="62">
        <v>14.243</v>
      </c>
      <c r="G352" s="62">
        <v>94.954400000000007</v>
      </c>
      <c r="H352" s="62">
        <v>107.98</v>
      </c>
    </row>
    <row r="353" spans="1:8" x14ac:dyDescent="0.15">
      <c r="A353" s="62" t="s">
        <v>11</v>
      </c>
      <c r="B353" s="62">
        <v>10000</v>
      </c>
      <c r="C353" s="62">
        <v>15</v>
      </c>
      <c r="D353" s="62">
        <v>7.2016</v>
      </c>
      <c r="E353" s="62">
        <v>277.71530000000001</v>
      </c>
      <c r="F353" s="62">
        <v>14.243</v>
      </c>
      <c r="G353" s="62">
        <v>94.953100000000006</v>
      </c>
      <c r="H353" s="62">
        <v>107.98</v>
      </c>
    </row>
    <row r="354" spans="1:8" x14ac:dyDescent="0.15">
      <c r="A354" s="62" t="s">
        <v>11</v>
      </c>
      <c r="B354" s="62">
        <v>10000</v>
      </c>
      <c r="C354" s="62">
        <v>15</v>
      </c>
      <c r="D354" s="62">
        <v>7.2013999999999996</v>
      </c>
      <c r="E354" s="62">
        <v>277.72370000000001</v>
      </c>
      <c r="F354" s="62">
        <v>14.243</v>
      </c>
      <c r="G354" s="62">
        <v>94.956000000000003</v>
      </c>
      <c r="H354" s="62">
        <v>107.97</v>
      </c>
    </row>
    <row r="355" spans="1:8" x14ac:dyDescent="0.15">
      <c r="A355" s="62" t="s">
        <v>11</v>
      </c>
      <c r="B355" s="62">
        <v>10000</v>
      </c>
      <c r="C355" s="62">
        <v>15</v>
      </c>
      <c r="D355" s="62">
        <v>7.2015000000000002</v>
      </c>
      <c r="E355" s="62">
        <v>277.7208</v>
      </c>
      <c r="F355" s="62">
        <v>14.243</v>
      </c>
      <c r="G355" s="62">
        <v>94.954999999999998</v>
      </c>
      <c r="H355" s="62">
        <v>107.98</v>
      </c>
    </row>
    <row r="356" spans="1:8" x14ac:dyDescent="0.15">
      <c r="A356" s="62" t="s">
        <v>11</v>
      </c>
      <c r="B356" s="62">
        <v>10000</v>
      </c>
      <c r="C356" s="62">
        <v>15</v>
      </c>
      <c r="D356" s="62">
        <v>7.2016999999999998</v>
      </c>
      <c r="E356" s="62">
        <v>277.7124</v>
      </c>
      <c r="F356" s="62">
        <v>14.243</v>
      </c>
      <c r="G356" s="62">
        <v>94.952100000000002</v>
      </c>
      <c r="H356" s="62">
        <v>108.01</v>
      </c>
    </row>
    <row r="357" spans="1:8" x14ac:dyDescent="0.15">
      <c r="A357" s="62" t="s">
        <v>11</v>
      </c>
      <c r="B357" s="62">
        <v>10000</v>
      </c>
      <c r="C357" s="62">
        <v>15</v>
      </c>
      <c r="D357" s="62">
        <v>7.1833</v>
      </c>
      <c r="E357" s="62">
        <v>278.4248</v>
      </c>
      <c r="F357" s="62">
        <v>14.279</v>
      </c>
      <c r="G357" s="62">
        <v>95.195700000000002</v>
      </c>
      <c r="H357" s="62">
        <v>107.72</v>
      </c>
    </row>
    <row r="358" spans="1:8" x14ac:dyDescent="0.15">
      <c r="A358" s="62" t="s">
        <v>11</v>
      </c>
      <c r="B358" s="62">
        <v>10000</v>
      </c>
      <c r="C358" s="62">
        <v>15</v>
      </c>
      <c r="D358" s="62">
        <v>7.1981999999999999</v>
      </c>
      <c r="E358" s="62">
        <v>277.8476</v>
      </c>
      <c r="F358" s="62">
        <v>14.25</v>
      </c>
      <c r="G358" s="62">
        <v>94.998400000000004</v>
      </c>
      <c r="H358" s="62">
        <v>107.98</v>
      </c>
    </row>
    <row r="359" spans="1:8" x14ac:dyDescent="0.15">
      <c r="A359" s="62" t="s">
        <v>11</v>
      </c>
      <c r="B359" s="62">
        <v>10000</v>
      </c>
      <c r="C359" s="62">
        <v>15</v>
      </c>
      <c r="D359" s="62">
        <v>7.202</v>
      </c>
      <c r="E359" s="62">
        <v>277.702</v>
      </c>
      <c r="F359" s="62">
        <v>14.242000000000001</v>
      </c>
      <c r="G359" s="62">
        <v>94.948599999999999</v>
      </c>
      <c r="H359" s="62">
        <v>108.0701</v>
      </c>
    </row>
    <row r="360" spans="1:8" x14ac:dyDescent="0.15">
      <c r="A360" s="62" t="s">
        <v>11</v>
      </c>
      <c r="B360" s="62">
        <v>10000</v>
      </c>
      <c r="C360" s="62">
        <v>15</v>
      </c>
      <c r="D360" s="62">
        <v>7.2016999999999998</v>
      </c>
      <c r="E360" s="62">
        <v>277.71190000000001</v>
      </c>
      <c r="F360" s="62">
        <v>14.243</v>
      </c>
      <c r="G360" s="62">
        <v>94.951999999999998</v>
      </c>
      <c r="H360" s="62">
        <v>108.0701</v>
      </c>
    </row>
    <row r="361" spans="1:8" x14ac:dyDescent="0.15">
      <c r="A361" s="62" t="s">
        <v>11</v>
      </c>
      <c r="B361" s="62">
        <v>10000</v>
      </c>
      <c r="C361" s="62">
        <v>15</v>
      </c>
      <c r="D361" s="62">
        <v>7.2012999999999998</v>
      </c>
      <c r="E361" s="62">
        <v>277.72859999999997</v>
      </c>
      <c r="F361" s="62">
        <v>14.244</v>
      </c>
      <c r="G361" s="62">
        <v>94.957700000000003</v>
      </c>
      <c r="H361" s="62">
        <v>107.98</v>
      </c>
    </row>
    <row r="362" spans="1:8" x14ac:dyDescent="0.15">
      <c r="A362" s="62" t="s">
        <v>11</v>
      </c>
      <c r="B362" s="62">
        <v>10000</v>
      </c>
      <c r="C362" s="62">
        <v>15</v>
      </c>
      <c r="D362" s="62">
        <v>7.2016999999999998</v>
      </c>
      <c r="E362" s="62">
        <v>277.71190000000001</v>
      </c>
      <c r="F362" s="62">
        <v>14.243</v>
      </c>
      <c r="G362" s="62">
        <v>94.951999999999998</v>
      </c>
      <c r="H362" s="62">
        <v>107.98</v>
      </c>
    </row>
    <row r="363" spans="1:8" x14ac:dyDescent="0.15">
      <c r="A363" s="62" t="s">
        <v>11</v>
      </c>
      <c r="B363" s="62">
        <v>10000</v>
      </c>
      <c r="C363" s="62">
        <v>15</v>
      </c>
      <c r="D363" s="62">
        <v>7.2015000000000002</v>
      </c>
      <c r="E363" s="62">
        <v>277.72019999999998</v>
      </c>
      <c r="F363" s="62">
        <v>14.243</v>
      </c>
      <c r="G363" s="62">
        <v>94.954800000000006</v>
      </c>
      <c r="H363" s="62">
        <v>107.98</v>
      </c>
    </row>
    <row r="364" spans="1:8" x14ac:dyDescent="0.15">
      <c r="A364" s="62" t="s">
        <v>11</v>
      </c>
      <c r="B364" s="62">
        <v>10000</v>
      </c>
      <c r="C364" s="62">
        <v>15</v>
      </c>
      <c r="D364" s="62">
        <v>7.2015000000000002</v>
      </c>
      <c r="E364" s="62">
        <v>277.72160000000002</v>
      </c>
      <c r="F364" s="62">
        <v>14.243</v>
      </c>
      <c r="G364" s="62">
        <v>94.955299999999994</v>
      </c>
      <c r="H364" s="62">
        <v>107.98</v>
      </c>
    </row>
    <row r="365" spans="1:8" x14ac:dyDescent="0.15">
      <c r="A365" s="62" t="s">
        <v>11</v>
      </c>
      <c r="B365" s="62">
        <v>10000</v>
      </c>
      <c r="C365" s="62">
        <v>15</v>
      </c>
      <c r="D365" s="62">
        <v>7.2016999999999998</v>
      </c>
      <c r="E365" s="62">
        <v>277.71030000000002</v>
      </c>
      <c r="F365" s="62">
        <v>14.243</v>
      </c>
      <c r="G365" s="62">
        <v>94.951400000000007</v>
      </c>
      <c r="H365" s="62">
        <v>107.99</v>
      </c>
    </row>
    <row r="366" spans="1:8" x14ac:dyDescent="0.15">
      <c r="A366" s="62" t="s">
        <v>11</v>
      </c>
      <c r="B366" s="62">
        <v>10000</v>
      </c>
      <c r="C366" s="62">
        <v>15</v>
      </c>
      <c r="D366" s="62">
        <v>7.2027999999999999</v>
      </c>
      <c r="E366" s="62">
        <v>277.67090000000002</v>
      </c>
      <c r="F366" s="62">
        <v>14.241</v>
      </c>
      <c r="G366" s="62">
        <v>94.938000000000002</v>
      </c>
      <c r="H366" s="62">
        <v>108.0801</v>
      </c>
    </row>
    <row r="367" spans="1:8" x14ac:dyDescent="0.15">
      <c r="A367" s="62" t="s">
        <v>11</v>
      </c>
      <c r="B367" s="62">
        <v>10000</v>
      </c>
      <c r="C367" s="62">
        <v>15</v>
      </c>
      <c r="D367" s="62">
        <v>7.2176</v>
      </c>
      <c r="E367" s="62">
        <v>277.10149999999999</v>
      </c>
      <c r="F367" s="62">
        <v>14.211</v>
      </c>
      <c r="G367" s="62">
        <v>94.743300000000005</v>
      </c>
      <c r="H367" s="62">
        <v>108.23</v>
      </c>
    </row>
    <row r="368" spans="1:8" x14ac:dyDescent="0.15">
      <c r="A368" s="62" t="s">
        <v>11</v>
      </c>
      <c r="B368" s="62">
        <v>10000</v>
      </c>
      <c r="C368" s="62">
        <v>15</v>
      </c>
      <c r="D368" s="62">
        <v>7.2062999999999997</v>
      </c>
      <c r="E368" s="62">
        <v>277.53399999999999</v>
      </c>
      <c r="F368" s="62">
        <v>14.234</v>
      </c>
      <c r="G368" s="62">
        <v>94.891199999999998</v>
      </c>
      <c r="H368" s="62">
        <v>108.12990000000001</v>
      </c>
    </row>
    <row r="369" spans="1:8" x14ac:dyDescent="0.15">
      <c r="A369" s="62" t="s">
        <v>11</v>
      </c>
      <c r="B369" s="62">
        <v>10000</v>
      </c>
      <c r="C369" s="62">
        <v>15</v>
      </c>
      <c r="D369" s="62">
        <v>7.2089999999999996</v>
      </c>
      <c r="E369" s="62">
        <v>277.43169999999998</v>
      </c>
      <c r="F369" s="62">
        <v>14.228</v>
      </c>
      <c r="G369" s="62">
        <v>94.856200000000001</v>
      </c>
      <c r="H369" s="62">
        <v>108.1001</v>
      </c>
    </row>
    <row r="370" spans="1:8" x14ac:dyDescent="0.15">
      <c r="A370" s="62" t="s">
        <v>11</v>
      </c>
      <c r="B370" s="62">
        <v>10000</v>
      </c>
      <c r="C370" s="62">
        <v>15</v>
      </c>
      <c r="D370" s="62">
        <v>7.2016</v>
      </c>
      <c r="E370" s="62">
        <v>277.71420000000001</v>
      </c>
      <c r="F370" s="62">
        <v>14.243</v>
      </c>
      <c r="G370" s="62">
        <v>94.952799999999996</v>
      </c>
      <c r="H370" s="62">
        <v>108.06010000000001</v>
      </c>
    </row>
    <row r="371" spans="1:8" x14ac:dyDescent="0.15">
      <c r="A371" s="62" t="s">
        <v>11</v>
      </c>
      <c r="B371" s="62">
        <v>10000</v>
      </c>
      <c r="C371" s="62">
        <v>15</v>
      </c>
      <c r="D371" s="62">
        <v>7.1760999999999999</v>
      </c>
      <c r="E371" s="62">
        <v>278.70240000000001</v>
      </c>
      <c r="F371" s="62">
        <v>14.294</v>
      </c>
      <c r="G371" s="62">
        <v>95.290599999999998</v>
      </c>
      <c r="H371" s="62">
        <v>107.6001</v>
      </c>
    </row>
    <row r="372" spans="1:8" x14ac:dyDescent="0.15">
      <c r="A372" s="62" t="s">
        <v>11</v>
      </c>
      <c r="B372" s="62">
        <v>10000</v>
      </c>
      <c r="C372" s="62">
        <v>15</v>
      </c>
      <c r="D372" s="62">
        <v>7.1813000000000002</v>
      </c>
      <c r="E372" s="62">
        <v>278.49950000000001</v>
      </c>
      <c r="F372" s="62">
        <v>14.282999999999999</v>
      </c>
      <c r="G372" s="62">
        <v>95.221299999999999</v>
      </c>
      <c r="H372" s="62">
        <v>107.6797</v>
      </c>
    </row>
    <row r="373" spans="1:8" x14ac:dyDescent="0.15">
      <c r="A373" s="62" t="s">
        <v>11</v>
      </c>
      <c r="B373" s="62">
        <v>10000</v>
      </c>
      <c r="C373" s="62">
        <v>15</v>
      </c>
      <c r="D373" s="62">
        <v>7.2020999999999997</v>
      </c>
      <c r="E373" s="62">
        <v>277.69569999999999</v>
      </c>
      <c r="F373" s="62">
        <v>14.242000000000001</v>
      </c>
      <c r="G373" s="62">
        <v>94.946399999999997</v>
      </c>
      <c r="H373" s="62">
        <v>108.0303</v>
      </c>
    </row>
    <row r="374" spans="1:8" x14ac:dyDescent="0.15">
      <c r="A374" s="62" t="s">
        <v>11</v>
      </c>
      <c r="B374" s="62">
        <v>10000</v>
      </c>
      <c r="C374" s="62">
        <v>15</v>
      </c>
      <c r="D374" s="62">
        <v>7.2032999999999996</v>
      </c>
      <c r="E374" s="62">
        <v>277.65120000000002</v>
      </c>
      <c r="F374" s="62">
        <v>14.24</v>
      </c>
      <c r="G374" s="62">
        <v>94.931200000000004</v>
      </c>
      <c r="H374" s="62">
        <v>108</v>
      </c>
    </row>
    <row r="375" spans="1:8" x14ac:dyDescent="0.15">
      <c r="A375" s="62" t="s">
        <v>11</v>
      </c>
      <c r="B375" s="62">
        <v>10000</v>
      </c>
      <c r="C375" s="62">
        <v>15</v>
      </c>
      <c r="D375" s="62">
        <v>7.202</v>
      </c>
      <c r="E375" s="62">
        <v>277.69940000000003</v>
      </c>
      <c r="F375" s="62">
        <v>14.242000000000001</v>
      </c>
      <c r="G375" s="62">
        <v>94.947699999999998</v>
      </c>
      <c r="H375" s="62">
        <v>108.0698</v>
      </c>
    </row>
    <row r="376" spans="1:8" x14ac:dyDescent="0.15">
      <c r="A376" s="62" t="s">
        <v>11</v>
      </c>
      <c r="B376" s="62">
        <v>10000</v>
      </c>
      <c r="C376" s="62">
        <v>15</v>
      </c>
      <c r="D376" s="62">
        <v>7.2020999999999997</v>
      </c>
      <c r="E376" s="62">
        <v>277.69639999999998</v>
      </c>
      <c r="F376" s="62">
        <v>14.242000000000001</v>
      </c>
      <c r="G376" s="62">
        <v>94.946700000000007</v>
      </c>
      <c r="H376" s="62">
        <v>108.0703</v>
      </c>
    </row>
    <row r="377" spans="1:8" x14ac:dyDescent="0.15">
      <c r="A377" s="62" t="s">
        <v>11</v>
      </c>
      <c r="B377" s="62">
        <v>10000</v>
      </c>
      <c r="C377" s="62">
        <v>15</v>
      </c>
      <c r="D377" s="62">
        <v>7.2019000000000002</v>
      </c>
      <c r="E377" s="62">
        <v>277.70420000000001</v>
      </c>
      <c r="F377" s="62">
        <v>14.242000000000001</v>
      </c>
      <c r="G377" s="62">
        <v>94.949399999999997</v>
      </c>
      <c r="H377" s="62">
        <v>108.0498</v>
      </c>
    </row>
    <row r="378" spans="1:8" x14ac:dyDescent="0.15">
      <c r="A378" s="62" t="s">
        <v>11</v>
      </c>
      <c r="B378" s="62">
        <v>10000</v>
      </c>
      <c r="C378" s="62">
        <v>15</v>
      </c>
      <c r="D378" s="62">
        <v>7.2027999999999999</v>
      </c>
      <c r="E378" s="62">
        <v>277.6696</v>
      </c>
      <c r="F378" s="62">
        <v>14.241</v>
      </c>
      <c r="G378" s="62">
        <v>94.9375</v>
      </c>
      <c r="H378" s="62">
        <v>108</v>
      </c>
    </row>
    <row r="379" spans="1:8" x14ac:dyDescent="0.15">
      <c r="A379" s="62" t="s">
        <v>11</v>
      </c>
      <c r="B379" s="62">
        <v>10000</v>
      </c>
      <c r="C379" s="62">
        <v>15</v>
      </c>
      <c r="D379" s="62">
        <v>7.1753999999999998</v>
      </c>
      <c r="E379" s="62">
        <v>278.73110000000003</v>
      </c>
      <c r="F379" s="62">
        <v>14.295</v>
      </c>
      <c r="G379" s="62">
        <v>95.300399999999996</v>
      </c>
      <c r="H379" s="62">
        <v>107.5698</v>
      </c>
    </row>
    <row r="380" spans="1:8" x14ac:dyDescent="0.15">
      <c r="A380" s="62" t="s">
        <v>11</v>
      </c>
      <c r="B380" s="62">
        <v>10000</v>
      </c>
      <c r="C380" s="62">
        <v>15</v>
      </c>
      <c r="D380" s="62">
        <v>7.1694000000000004</v>
      </c>
      <c r="E380" s="62">
        <v>278.96319999999997</v>
      </c>
      <c r="F380" s="62">
        <v>14.307</v>
      </c>
      <c r="G380" s="62">
        <v>95.379800000000003</v>
      </c>
      <c r="H380" s="62">
        <v>107.4902</v>
      </c>
    </row>
    <row r="381" spans="1:8" x14ac:dyDescent="0.15">
      <c r="A381" s="62" t="s">
        <v>11</v>
      </c>
      <c r="B381" s="62">
        <v>10000</v>
      </c>
      <c r="C381" s="62">
        <v>15</v>
      </c>
      <c r="D381" s="62">
        <v>7.1753</v>
      </c>
      <c r="E381" s="62">
        <v>278.73469999999998</v>
      </c>
      <c r="F381" s="62">
        <v>14.295</v>
      </c>
      <c r="G381" s="62">
        <v>95.301699999999997</v>
      </c>
      <c r="H381" s="62">
        <v>107.56010000000001</v>
      </c>
    </row>
    <row r="382" spans="1:8" x14ac:dyDescent="0.15">
      <c r="A382" s="62" t="s">
        <v>11</v>
      </c>
      <c r="B382" s="62">
        <v>10000</v>
      </c>
      <c r="C382" s="62">
        <v>15</v>
      </c>
      <c r="D382" s="62">
        <v>7.1772999999999998</v>
      </c>
      <c r="E382" s="62">
        <v>278.65539999999999</v>
      </c>
      <c r="F382" s="62">
        <v>14.291</v>
      </c>
      <c r="G382" s="62">
        <v>95.274600000000007</v>
      </c>
      <c r="H382" s="62">
        <v>107.6099</v>
      </c>
    </row>
    <row r="383" spans="1:8" x14ac:dyDescent="0.15">
      <c r="A383" s="62" t="s">
        <v>11</v>
      </c>
      <c r="B383" s="62">
        <v>10000</v>
      </c>
      <c r="C383" s="62">
        <v>15</v>
      </c>
      <c r="D383" s="62">
        <v>7.1698000000000004</v>
      </c>
      <c r="E383" s="62">
        <v>278.94839999999999</v>
      </c>
      <c r="F383" s="62">
        <v>14.305999999999999</v>
      </c>
      <c r="G383" s="62">
        <v>95.374799999999993</v>
      </c>
      <c r="H383" s="62">
        <v>107.4897</v>
      </c>
    </row>
    <row r="384" spans="1:8" x14ac:dyDescent="0.15">
      <c r="A384" s="62" t="s">
        <v>11</v>
      </c>
      <c r="B384" s="62">
        <v>10000</v>
      </c>
      <c r="C384" s="62">
        <v>15</v>
      </c>
      <c r="D384" s="62">
        <v>7.1773999999999996</v>
      </c>
      <c r="E384" s="62">
        <v>278.6524</v>
      </c>
      <c r="F384" s="62">
        <v>14.291</v>
      </c>
      <c r="G384" s="62">
        <v>95.273499999999999</v>
      </c>
      <c r="H384" s="62">
        <v>107.6001</v>
      </c>
    </row>
    <row r="385" spans="1:8" x14ac:dyDescent="0.15">
      <c r="A385" s="62" t="s">
        <v>11</v>
      </c>
      <c r="B385" s="62">
        <v>10000</v>
      </c>
      <c r="C385" s="62">
        <v>15</v>
      </c>
      <c r="D385" s="62">
        <v>7.1711</v>
      </c>
      <c r="E385" s="62">
        <v>278.89600000000002</v>
      </c>
      <c r="F385" s="62">
        <v>14.304</v>
      </c>
      <c r="G385" s="62">
        <v>95.356800000000007</v>
      </c>
      <c r="H385" s="62">
        <v>107.5103</v>
      </c>
    </row>
    <row r="386" spans="1:8" x14ac:dyDescent="0.15">
      <c r="A386" s="62" t="s">
        <v>11</v>
      </c>
      <c r="B386" s="62">
        <v>10000</v>
      </c>
      <c r="C386" s="62">
        <v>15</v>
      </c>
      <c r="D386" s="62">
        <v>7.1817000000000002</v>
      </c>
      <c r="E386" s="62">
        <v>278.48610000000002</v>
      </c>
      <c r="F386" s="62">
        <v>14.282999999999999</v>
      </c>
      <c r="G386" s="62">
        <v>95.216700000000003</v>
      </c>
      <c r="H386" s="62">
        <v>107.6699</v>
      </c>
    </row>
    <row r="387" spans="1:8" x14ac:dyDescent="0.15">
      <c r="A387" s="62" t="s">
        <v>11</v>
      </c>
      <c r="B387" s="62">
        <v>10000</v>
      </c>
      <c r="C387" s="62">
        <v>15</v>
      </c>
      <c r="D387" s="62">
        <v>7.1871999999999998</v>
      </c>
      <c r="E387" s="62">
        <v>278.27089999999998</v>
      </c>
      <c r="F387" s="62">
        <v>14.271000000000001</v>
      </c>
      <c r="G387" s="62">
        <v>95.143100000000004</v>
      </c>
      <c r="H387" s="62">
        <v>107.77979999999999</v>
      </c>
    </row>
    <row r="388" spans="1:8" x14ac:dyDescent="0.15">
      <c r="A388" s="62" t="s">
        <v>11</v>
      </c>
      <c r="B388" s="62">
        <v>10000</v>
      </c>
      <c r="C388" s="62">
        <v>16</v>
      </c>
      <c r="D388" s="62">
        <v>6.7953000000000001</v>
      </c>
      <c r="E388" s="62">
        <v>294.32080000000002</v>
      </c>
      <c r="F388" s="62">
        <v>15.095000000000001</v>
      </c>
      <c r="G388" s="62">
        <v>94.341300000000004</v>
      </c>
      <c r="H388" s="62">
        <v>108.6401</v>
      </c>
    </row>
    <row r="389" spans="1:8" x14ac:dyDescent="0.15">
      <c r="A389" s="62" t="s">
        <v>11</v>
      </c>
      <c r="B389" s="62">
        <v>10000</v>
      </c>
      <c r="C389" s="62">
        <v>16</v>
      </c>
      <c r="D389" s="62">
        <v>6.8014000000000001</v>
      </c>
      <c r="E389" s="62">
        <v>294.05739999999997</v>
      </c>
      <c r="F389" s="62">
        <v>15.081</v>
      </c>
      <c r="G389" s="62">
        <v>94.256799999999998</v>
      </c>
      <c r="H389" s="62">
        <v>108.6401</v>
      </c>
    </row>
    <row r="390" spans="1:8" x14ac:dyDescent="0.15">
      <c r="A390" s="62" t="s">
        <v>11</v>
      </c>
      <c r="B390" s="62">
        <v>10000</v>
      </c>
      <c r="C390" s="62">
        <v>16</v>
      </c>
      <c r="D390" s="62">
        <v>6.7948000000000004</v>
      </c>
      <c r="E390" s="62">
        <v>294.34440000000001</v>
      </c>
      <c r="F390" s="62">
        <v>15.096</v>
      </c>
      <c r="G390" s="62">
        <v>94.348799999999997</v>
      </c>
      <c r="H390" s="62">
        <v>108.6597</v>
      </c>
    </row>
    <row r="391" spans="1:8" x14ac:dyDescent="0.15">
      <c r="A391" s="62" t="s">
        <v>11</v>
      </c>
      <c r="B391" s="62">
        <v>10000</v>
      </c>
      <c r="C391" s="62">
        <v>16</v>
      </c>
      <c r="D391" s="62">
        <v>6.7987000000000002</v>
      </c>
      <c r="E391" s="62">
        <v>294.1737</v>
      </c>
      <c r="F391" s="62">
        <v>15.087</v>
      </c>
      <c r="G391" s="62">
        <v>94.2941</v>
      </c>
      <c r="H391" s="62">
        <v>108.6104</v>
      </c>
    </row>
    <row r="392" spans="1:8" x14ac:dyDescent="0.15">
      <c r="A392" s="62" t="s">
        <v>11</v>
      </c>
      <c r="B392" s="62">
        <v>10000</v>
      </c>
      <c r="C392" s="62">
        <v>16</v>
      </c>
      <c r="D392" s="62">
        <v>6.8277999999999999</v>
      </c>
      <c r="E392" s="62">
        <v>292.92079999999999</v>
      </c>
      <c r="F392" s="62">
        <v>15.023</v>
      </c>
      <c r="G392" s="62">
        <v>93.892499999999998</v>
      </c>
      <c r="H392" s="62">
        <v>109.0698</v>
      </c>
    </row>
    <row r="393" spans="1:8" x14ac:dyDescent="0.15">
      <c r="A393" s="62" t="s">
        <v>11</v>
      </c>
      <c r="B393" s="62">
        <v>10000</v>
      </c>
      <c r="C393" s="62">
        <v>16</v>
      </c>
      <c r="D393" s="62">
        <v>6.7949000000000002</v>
      </c>
      <c r="E393" s="62">
        <v>294.33690000000001</v>
      </c>
      <c r="F393" s="62">
        <v>15.095000000000001</v>
      </c>
      <c r="G393" s="62">
        <v>94.346500000000006</v>
      </c>
      <c r="H393" s="62">
        <v>108.6602</v>
      </c>
    </row>
    <row r="394" spans="1:8" x14ac:dyDescent="0.15">
      <c r="A394" s="62" t="s">
        <v>11</v>
      </c>
      <c r="B394" s="62">
        <v>10000</v>
      </c>
      <c r="C394" s="62">
        <v>16</v>
      </c>
      <c r="D394" s="62">
        <v>6.8055000000000003</v>
      </c>
      <c r="E394" s="62">
        <v>293.88</v>
      </c>
      <c r="F394" s="62">
        <v>15.071999999999999</v>
      </c>
      <c r="G394" s="62">
        <v>94.2</v>
      </c>
      <c r="H394" s="62">
        <v>108.71</v>
      </c>
    </row>
    <row r="395" spans="1:8" x14ac:dyDescent="0.15">
      <c r="A395" s="62" t="s">
        <v>11</v>
      </c>
      <c r="B395" s="62">
        <v>10000</v>
      </c>
      <c r="C395" s="62">
        <v>16</v>
      </c>
      <c r="D395" s="62">
        <v>6.7953000000000001</v>
      </c>
      <c r="E395" s="62">
        <v>294.32150000000001</v>
      </c>
      <c r="F395" s="62">
        <v>15.095000000000001</v>
      </c>
      <c r="G395" s="62">
        <v>94.341499999999996</v>
      </c>
      <c r="H395" s="62">
        <v>108.62990000000001</v>
      </c>
    </row>
    <row r="396" spans="1:8" x14ac:dyDescent="0.15">
      <c r="A396" s="62" t="s">
        <v>11</v>
      </c>
      <c r="B396" s="62">
        <v>10000</v>
      </c>
      <c r="C396" s="62">
        <v>16</v>
      </c>
      <c r="D396" s="62">
        <v>6.8098999999999998</v>
      </c>
      <c r="E396" s="62">
        <v>293.69189999999998</v>
      </c>
      <c r="F396" s="62">
        <v>15.061999999999999</v>
      </c>
      <c r="G396" s="62">
        <v>94.139700000000005</v>
      </c>
      <c r="H396" s="62">
        <v>108.7803</v>
      </c>
    </row>
    <row r="397" spans="1:8" x14ac:dyDescent="0.15">
      <c r="A397" s="62" t="s">
        <v>11</v>
      </c>
      <c r="B397" s="62">
        <v>10000</v>
      </c>
      <c r="C397" s="62">
        <v>16</v>
      </c>
      <c r="D397" s="62">
        <v>6.7944000000000004</v>
      </c>
      <c r="E397" s="62">
        <v>294.35919999999999</v>
      </c>
      <c r="F397" s="62">
        <v>15.097</v>
      </c>
      <c r="G397" s="62">
        <v>94.3536</v>
      </c>
      <c r="H397" s="62">
        <v>108.6597</v>
      </c>
    </row>
    <row r="398" spans="1:8" x14ac:dyDescent="0.15">
      <c r="A398" s="62" t="s">
        <v>11</v>
      </c>
      <c r="B398" s="62">
        <v>10000</v>
      </c>
      <c r="C398" s="62">
        <v>16</v>
      </c>
      <c r="D398" s="62">
        <v>6.7969999999999997</v>
      </c>
      <c r="E398" s="62">
        <v>294.24639999999999</v>
      </c>
      <c r="F398" s="62">
        <v>15.090999999999999</v>
      </c>
      <c r="G398" s="62">
        <v>94.317400000000006</v>
      </c>
      <c r="H398" s="62">
        <v>108.5703</v>
      </c>
    </row>
    <row r="399" spans="1:8" x14ac:dyDescent="0.15">
      <c r="A399" s="62" t="s">
        <v>11</v>
      </c>
      <c r="B399" s="62">
        <v>10000</v>
      </c>
      <c r="C399" s="62">
        <v>16</v>
      </c>
      <c r="D399" s="62">
        <v>6.8015999999999996</v>
      </c>
      <c r="E399" s="62">
        <v>294.04750000000001</v>
      </c>
      <c r="F399" s="62">
        <v>15.081</v>
      </c>
      <c r="G399" s="62">
        <v>94.253699999999995</v>
      </c>
      <c r="H399" s="62">
        <v>108.6597</v>
      </c>
    </row>
    <row r="400" spans="1:8" x14ac:dyDescent="0.15">
      <c r="A400" s="62" t="s">
        <v>11</v>
      </c>
      <c r="B400" s="62">
        <v>10000</v>
      </c>
      <c r="C400" s="62">
        <v>16</v>
      </c>
      <c r="D400" s="62">
        <v>6.7949000000000002</v>
      </c>
      <c r="E400" s="62">
        <v>294.3372</v>
      </c>
      <c r="F400" s="62">
        <v>15.095000000000001</v>
      </c>
      <c r="G400" s="62">
        <v>94.346500000000006</v>
      </c>
      <c r="H400" s="62">
        <v>108.6401</v>
      </c>
    </row>
    <row r="401" spans="1:8" x14ac:dyDescent="0.15">
      <c r="A401" s="62" t="s">
        <v>11</v>
      </c>
      <c r="B401" s="62">
        <v>10000</v>
      </c>
      <c r="C401" s="62">
        <v>16</v>
      </c>
      <c r="D401" s="62">
        <v>6.7990000000000004</v>
      </c>
      <c r="E401" s="62">
        <v>294.15879999999999</v>
      </c>
      <c r="F401" s="62">
        <v>15.086</v>
      </c>
      <c r="G401" s="62">
        <v>94.289299999999997</v>
      </c>
      <c r="H401" s="62">
        <v>108.6099</v>
      </c>
    </row>
    <row r="402" spans="1:8" x14ac:dyDescent="0.15">
      <c r="A402" s="62" t="s">
        <v>11</v>
      </c>
      <c r="B402" s="62">
        <v>10000</v>
      </c>
      <c r="C402" s="62">
        <v>16</v>
      </c>
      <c r="D402" s="62">
        <v>6.8338000000000001</v>
      </c>
      <c r="E402" s="62">
        <v>292.66489999999999</v>
      </c>
      <c r="F402" s="62">
        <v>15.01</v>
      </c>
      <c r="G402" s="62">
        <v>93.810500000000005</v>
      </c>
      <c r="H402" s="62">
        <v>109.1602</v>
      </c>
    </row>
    <row r="403" spans="1:8" x14ac:dyDescent="0.15">
      <c r="A403" s="62" t="s">
        <v>11</v>
      </c>
      <c r="B403" s="62">
        <v>10000</v>
      </c>
      <c r="C403" s="62">
        <v>16</v>
      </c>
      <c r="D403" s="62">
        <v>6.8284000000000002</v>
      </c>
      <c r="E403" s="62">
        <v>292.89510000000001</v>
      </c>
      <c r="F403" s="62">
        <v>15.021000000000001</v>
      </c>
      <c r="G403" s="62">
        <v>93.884299999999996</v>
      </c>
      <c r="H403" s="62">
        <v>109.04</v>
      </c>
    </row>
    <row r="404" spans="1:8" x14ac:dyDescent="0.15">
      <c r="A404" s="62" t="s">
        <v>11</v>
      </c>
      <c r="B404" s="62">
        <v>10000</v>
      </c>
      <c r="C404" s="62">
        <v>16</v>
      </c>
      <c r="D404" s="62">
        <v>6.7946</v>
      </c>
      <c r="E404" s="62">
        <v>294.34969999999998</v>
      </c>
      <c r="F404" s="62">
        <v>15.096</v>
      </c>
      <c r="G404" s="62">
        <v>94.3506</v>
      </c>
      <c r="H404" s="62">
        <v>108.6099</v>
      </c>
    </row>
    <row r="405" spans="1:8" x14ac:dyDescent="0.15">
      <c r="A405" s="62" t="s">
        <v>11</v>
      </c>
      <c r="B405" s="62">
        <v>10000</v>
      </c>
      <c r="C405" s="62">
        <v>16</v>
      </c>
      <c r="D405" s="62">
        <v>6.7958999999999996</v>
      </c>
      <c r="E405" s="62">
        <v>294.29509999999999</v>
      </c>
      <c r="F405" s="62">
        <v>15.093</v>
      </c>
      <c r="G405" s="62">
        <v>94.332999999999998</v>
      </c>
      <c r="H405" s="62">
        <v>108.6001</v>
      </c>
    </row>
    <row r="406" spans="1:8" x14ac:dyDescent="0.15">
      <c r="A406" s="62" t="s">
        <v>11</v>
      </c>
      <c r="B406" s="62">
        <v>10000</v>
      </c>
      <c r="C406" s="62">
        <v>16</v>
      </c>
      <c r="D406" s="62">
        <v>6.8227000000000002</v>
      </c>
      <c r="E406" s="62">
        <v>293.14080000000001</v>
      </c>
      <c r="F406" s="62">
        <v>15.034000000000001</v>
      </c>
      <c r="G406" s="62">
        <v>93.962999999999994</v>
      </c>
      <c r="H406" s="62">
        <v>108.94970000000001</v>
      </c>
    </row>
    <row r="407" spans="1:8" x14ac:dyDescent="0.15">
      <c r="A407" s="62" t="s">
        <v>11</v>
      </c>
      <c r="B407" s="62">
        <v>10000</v>
      </c>
      <c r="C407" s="62">
        <v>16</v>
      </c>
      <c r="D407" s="62">
        <v>6.7945000000000002</v>
      </c>
      <c r="E407" s="62">
        <v>294.35649999999998</v>
      </c>
      <c r="F407" s="62">
        <v>15.096</v>
      </c>
      <c r="G407" s="62">
        <v>94.352699999999999</v>
      </c>
      <c r="H407" s="62">
        <v>108.6602</v>
      </c>
    </row>
    <row r="408" spans="1:8" x14ac:dyDescent="0.15">
      <c r="A408" s="62" t="s">
        <v>11</v>
      </c>
      <c r="B408" s="62">
        <v>10000</v>
      </c>
      <c r="C408" s="62">
        <v>16</v>
      </c>
      <c r="D408" s="62">
        <v>6.7991999999999999</v>
      </c>
      <c r="E408" s="62">
        <v>294.15089999999998</v>
      </c>
      <c r="F408" s="62">
        <v>15.086</v>
      </c>
      <c r="G408" s="62">
        <v>94.286799999999999</v>
      </c>
      <c r="H408" s="62">
        <v>108.6006</v>
      </c>
    </row>
    <row r="409" spans="1:8" x14ac:dyDescent="0.15">
      <c r="A409" s="62" t="s">
        <v>11</v>
      </c>
      <c r="B409" s="62">
        <v>10000</v>
      </c>
      <c r="C409" s="62">
        <v>16</v>
      </c>
      <c r="D409" s="62">
        <v>10.328900000000001</v>
      </c>
      <c r="E409" s="62">
        <v>193.6319</v>
      </c>
      <c r="F409" s="62">
        <v>9.9309999999999992</v>
      </c>
      <c r="G409" s="62">
        <v>62.066600000000001</v>
      </c>
      <c r="H409" s="62">
        <v>158.8193</v>
      </c>
    </row>
    <row r="410" spans="1:8" x14ac:dyDescent="0.15">
      <c r="A410" s="62" t="s">
        <v>11</v>
      </c>
      <c r="B410" s="62">
        <v>10000</v>
      </c>
      <c r="C410" s="62">
        <v>16</v>
      </c>
      <c r="D410" s="62">
        <v>11.8652</v>
      </c>
      <c r="E410" s="62">
        <v>168.56</v>
      </c>
      <c r="F410" s="62">
        <v>8.6449999999999996</v>
      </c>
      <c r="G410" s="62">
        <v>54.030099999999997</v>
      </c>
      <c r="H410" s="62">
        <v>179.21969999999999</v>
      </c>
    </row>
    <row r="411" spans="1:8" x14ac:dyDescent="0.15">
      <c r="A411" s="62" t="s">
        <v>11</v>
      </c>
      <c r="B411" s="62">
        <v>10000</v>
      </c>
      <c r="C411" s="62">
        <v>16</v>
      </c>
      <c r="D411" s="62">
        <v>7.4194000000000004</v>
      </c>
      <c r="E411" s="62">
        <v>269.56240000000003</v>
      </c>
      <c r="F411" s="62">
        <v>13.824999999999999</v>
      </c>
      <c r="G411" s="62">
        <v>86.405199999999994</v>
      </c>
      <c r="H411" s="62">
        <v>117.2607</v>
      </c>
    </row>
    <row r="412" spans="1:8" x14ac:dyDescent="0.15">
      <c r="A412" s="62" t="s">
        <v>11</v>
      </c>
      <c r="B412" s="62">
        <v>10000</v>
      </c>
      <c r="C412" s="62">
        <v>16</v>
      </c>
      <c r="D412" s="62">
        <v>6.7987000000000002</v>
      </c>
      <c r="E412" s="62">
        <v>294.17399999999998</v>
      </c>
      <c r="F412" s="62">
        <v>15.087</v>
      </c>
      <c r="G412" s="62">
        <v>94.294200000000004</v>
      </c>
      <c r="H412" s="62">
        <v>108.5996</v>
      </c>
    </row>
    <row r="413" spans="1:8" x14ac:dyDescent="0.15">
      <c r="A413" s="62" t="s">
        <v>11</v>
      </c>
      <c r="B413" s="62">
        <v>10000</v>
      </c>
      <c r="C413" s="62">
        <v>16</v>
      </c>
      <c r="D413" s="62">
        <v>6.81</v>
      </c>
      <c r="E413" s="62">
        <v>293.68549999999999</v>
      </c>
      <c r="F413" s="62">
        <v>15.061999999999999</v>
      </c>
      <c r="G413" s="62">
        <v>94.137600000000006</v>
      </c>
      <c r="H413" s="62">
        <v>108.7705</v>
      </c>
    </row>
    <row r="414" spans="1:8" x14ac:dyDescent="0.15">
      <c r="A414" s="62" t="s">
        <v>11</v>
      </c>
      <c r="B414" s="62">
        <v>10000</v>
      </c>
      <c r="C414" s="62">
        <v>16</v>
      </c>
      <c r="D414" s="62">
        <v>6.7987000000000002</v>
      </c>
      <c r="E414" s="62">
        <v>294.17529999999999</v>
      </c>
      <c r="F414" s="62">
        <v>15.087</v>
      </c>
      <c r="G414" s="62">
        <v>94.294700000000006</v>
      </c>
      <c r="H414" s="62">
        <v>108.5996</v>
      </c>
    </row>
    <row r="415" spans="1:8" x14ac:dyDescent="0.15">
      <c r="A415" s="62" t="s">
        <v>11</v>
      </c>
      <c r="B415" s="62">
        <v>10000</v>
      </c>
      <c r="C415" s="62">
        <v>16</v>
      </c>
      <c r="D415" s="62">
        <v>6.8213999999999997</v>
      </c>
      <c r="E415" s="62">
        <v>293.19690000000003</v>
      </c>
      <c r="F415" s="62">
        <v>15.037000000000001</v>
      </c>
      <c r="G415" s="62">
        <v>93.980999999999995</v>
      </c>
      <c r="H415" s="62">
        <v>108.9697</v>
      </c>
    </row>
    <row r="416" spans="1:8" x14ac:dyDescent="0.15">
      <c r="A416" s="62" t="s">
        <v>11</v>
      </c>
      <c r="B416" s="62">
        <v>10000</v>
      </c>
      <c r="C416" s="62">
        <v>16</v>
      </c>
      <c r="D416" s="62">
        <v>6.7954999999999997</v>
      </c>
      <c r="E416" s="62">
        <v>294.31130000000002</v>
      </c>
      <c r="F416" s="62">
        <v>15.093999999999999</v>
      </c>
      <c r="G416" s="62">
        <v>94.338300000000004</v>
      </c>
      <c r="H416" s="62">
        <v>108.6602</v>
      </c>
    </row>
    <row r="417" spans="1:8" x14ac:dyDescent="0.15">
      <c r="A417" s="62" t="s">
        <v>11</v>
      </c>
      <c r="B417" s="62">
        <v>10000</v>
      </c>
      <c r="C417" s="62">
        <v>16</v>
      </c>
      <c r="D417" s="62">
        <v>6.8127000000000004</v>
      </c>
      <c r="E417" s="62">
        <v>293.5711</v>
      </c>
      <c r="F417" s="62">
        <v>15.055999999999999</v>
      </c>
      <c r="G417" s="62">
        <v>94.100999999999999</v>
      </c>
      <c r="H417" s="62">
        <v>108.8301</v>
      </c>
    </row>
    <row r="418" spans="1:8" x14ac:dyDescent="0.15">
      <c r="A418" s="62" t="s">
        <v>11</v>
      </c>
      <c r="B418" s="62">
        <v>10000</v>
      </c>
      <c r="C418" s="62">
        <v>16</v>
      </c>
      <c r="D418" s="62">
        <v>6.7949000000000002</v>
      </c>
      <c r="E418" s="62">
        <v>294.33839999999998</v>
      </c>
      <c r="F418" s="62">
        <v>15.096</v>
      </c>
      <c r="G418" s="62">
        <v>94.346900000000005</v>
      </c>
      <c r="H418" s="62">
        <v>108.6602</v>
      </c>
    </row>
    <row r="419" spans="1:8" x14ac:dyDescent="0.15">
      <c r="A419" s="62" t="s">
        <v>11</v>
      </c>
      <c r="B419" s="62">
        <v>10000</v>
      </c>
      <c r="C419" s="62">
        <v>16</v>
      </c>
      <c r="D419" s="62">
        <v>6.8289</v>
      </c>
      <c r="E419" s="62">
        <v>292.8723</v>
      </c>
      <c r="F419" s="62">
        <v>15.02</v>
      </c>
      <c r="G419" s="62">
        <v>93.876999999999995</v>
      </c>
      <c r="H419" s="62">
        <v>109.04</v>
      </c>
    </row>
    <row r="420" spans="1:8" x14ac:dyDescent="0.15">
      <c r="A420" s="62" t="s">
        <v>11</v>
      </c>
      <c r="B420" s="62">
        <v>10000</v>
      </c>
      <c r="C420" s="62">
        <v>16</v>
      </c>
      <c r="D420" s="62">
        <v>6.7949000000000002</v>
      </c>
      <c r="E420" s="62">
        <v>294.3372</v>
      </c>
      <c r="F420" s="62">
        <v>15.095000000000001</v>
      </c>
      <c r="G420" s="62">
        <v>94.346500000000006</v>
      </c>
      <c r="H420" s="62">
        <v>108.6699</v>
      </c>
    </row>
    <row r="421" spans="1:8" x14ac:dyDescent="0.15">
      <c r="A421" s="62" t="s">
        <v>11</v>
      </c>
      <c r="B421" s="62">
        <v>10000</v>
      </c>
      <c r="C421" s="62">
        <v>16</v>
      </c>
      <c r="D421" s="62">
        <v>6.8109000000000002</v>
      </c>
      <c r="E421" s="62">
        <v>293.64519999999999</v>
      </c>
      <c r="F421" s="62">
        <v>15.06</v>
      </c>
      <c r="G421" s="62">
        <v>94.124700000000004</v>
      </c>
      <c r="H421" s="62">
        <v>108.7598</v>
      </c>
    </row>
    <row r="422" spans="1:8" x14ac:dyDescent="0.15">
      <c r="A422" s="62" t="s">
        <v>11</v>
      </c>
      <c r="B422" s="62">
        <v>10000</v>
      </c>
      <c r="C422" s="62">
        <v>16</v>
      </c>
      <c r="D422" s="62">
        <v>6.7949999999999999</v>
      </c>
      <c r="E422" s="62">
        <v>294.33429999999998</v>
      </c>
      <c r="F422" s="62">
        <v>15.095000000000001</v>
      </c>
      <c r="G422" s="62">
        <v>94.345600000000005</v>
      </c>
      <c r="H422" s="62">
        <v>108.6699</v>
      </c>
    </row>
    <row r="423" spans="1:8" x14ac:dyDescent="0.15">
      <c r="A423" s="62" t="s">
        <v>11</v>
      </c>
      <c r="B423" s="62">
        <v>10000</v>
      </c>
      <c r="C423" s="62">
        <v>16</v>
      </c>
      <c r="D423" s="62">
        <v>6.8122999999999996</v>
      </c>
      <c r="E423" s="62">
        <v>293.58550000000002</v>
      </c>
      <c r="F423" s="62">
        <v>15.057</v>
      </c>
      <c r="G423" s="62">
        <v>94.105599999999995</v>
      </c>
      <c r="H423" s="62">
        <v>108.8203</v>
      </c>
    </row>
    <row r="424" spans="1:8" x14ac:dyDescent="0.15">
      <c r="A424" s="62" t="s">
        <v>11</v>
      </c>
      <c r="B424" s="62">
        <v>10000</v>
      </c>
      <c r="C424" s="62">
        <v>16</v>
      </c>
      <c r="D424" s="62">
        <v>6.7950999999999997</v>
      </c>
      <c r="E424" s="62">
        <v>294.33</v>
      </c>
      <c r="F424" s="62">
        <v>15.095000000000001</v>
      </c>
      <c r="G424" s="62">
        <v>94.344200000000001</v>
      </c>
      <c r="H424" s="62">
        <v>108.6504</v>
      </c>
    </row>
    <row r="425" spans="1:8" x14ac:dyDescent="0.15">
      <c r="A425" s="62" t="s">
        <v>11</v>
      </c>
      <c r="B425" s="62">
        <v>10000</v>
      </c>
      <c r="C425" s="62">
        <v>16</v>
      </c>
      <c r="D425" s="62">
        <v>6.8097000000000003</v>
      </c>
      <c r="E425" s="62">
        <v>293.69880000000001</v>
      </c>
      <c r="F425" s="62">
        <v>15.063000000000001</v>
      </c>
      <c r="G425" s="62">
        <v>94.141900000000007</v>
      </c>
      <c r="H425" s="62">
        <v>108.77930000000001</v>
      </c>
    </row>
    <row r="426" spans="1:8" x14ac:dyDescent="0.15">
      <c r="A426" s="62" t="s">
        <v>11</v>
      </c>
      <c r="B426" s="62">
        <v>10000</v>
      </c>
      <c r="C426" s="62">
        <v>16</v>
      </c>
      <c r="D426" s="62">
        <v>6.8213999999999997</v>
      </c>
      <c r="E426" s="62">
        <v>293.19709999999998</v>
      </c>
      <c r="F426" s="62">
        <v>15.037000000000001</v>
      </c>
      <c r="G426" s="62">
        <v>93.981099999999998</v>
      </c>
      <c r="H426" s="62">
        <v>108.97069999999999</v>
      </c>
    </row>
    <row r="427" spans="1:8" x14ac:dyDescent="0.15">
      <c r="A427" s="62" t="s">
        <v>11</v>
      </c>
      <c r="B427" s="62">
        <v>10000</v>
      </c>
      <c r="C427" s="62">
        <v>16</v>
      </c>
      <c r="D427" s="62">
        <v>6.7961999999999998</v>
      </c>
      <c r="E427" s="62">
        <v>294.28410000000002</v>
      </c>
      <c r="F427" s="62">
        <v>15.093</v>
      </c>
      <c r="G427" s="62">
        <v>94.329499999999996</v>
      </c>
      <c r="H427" s="62">
        <v>108.6494</v>
      </c>
    </row>
    <row r="428" spans="1:8" x14ac:dyDescent="0.15">
      <c r="A428" s="62" t="s">
        <v>11</v>
      </c>
      <c r="B428" s="62">
        <v>10000</v>
      </c>
      <c r="C428" s="62">
        <v>16</v>
      </c>
      <c r="D428" s="62">
        <v>6.8193000000000001</v>
      </c>
      <c r="E428" s="62">
        <v>293.28609999999998</v>
      </c>
      <c r="F428" s="62">
        <v>15.042</v>
      </c>
      <c r="G428" s="62">
        <v>94.009600000000006</v>
      </c>
      <c r="H428" s="62">
        <v>108.9297</v>
      </c>
    </row>
    <row r="429" spans="1:8" x14ac:dyDescent="0.15">
      <c r="A429" s="62" t="s">
        <v>11</v>
      </c>
      <c r="B429" s="62">
        <v>10000</v>
      </c>
      <c r="C429" s="62">
        <v>16</v>
      </c>
      <c r="D429" s="62">
        <v>6.7946999999999997</v>
      </c>
      <c r="E429" s="62">
        <v>294.34679999999997</v>
      </c>
      <c r="F429" s="62">
        <v>15.096</v>
      </c>
      <c r="G429" s="62">
        <v>94.349599999999995</v>
      </c>
      <c r="H429" s="62">
        <v>108.6709</v>
      </c>
    </row>
    <row r="430" spans="1:8" x14ac:dyDescent="0.15">
      <c r="A430" s="62" t="s">
        <v>11</v>
      </c>
      <c r="B430" s="62">
        <v>10000</v>
      </c>
      <c r="C430" s="62">
        <v>16</v>
      </c>
      <c r="D430" s="62">
        <v>6.8034999999999997</v>
      </c>
      <c r="E430" s="62">
        <v>293.96719999999999</v>
      </c>
      <c r="F430" s="62">
        <v>15.076000000000001</v>
      </c>
      <c r="G430" s="62">
        <v>94.227999999999994</v>
      </c>
      <c r="H430" s="62">
        <v>108.6797</v>
      </c>
    </row>
    <row r="431" spans="1:8" x14ac:dyDescent="0.15">
      <c r="A431" s="62" t="s">
        <v>11</v>
      </c>
      <c r="B431" s="62">
        <v>10000</v>
      </c>
      <c r="C431" s="62">
        <v>16</v>
      </c>
      <c r="D431" s="62">
        <v>6.7946999999999997</v>
      </c>
      <c r="E431" s="62">
        <v>294.34730000000002</v>
      </c>
      <c r="F431" s="62">
        <v>15.096</v>
      </c>
      <c r="G431" s="62">
        <v>94.349800000000002</v>
      </c>
      <c r="H431" s="62">
        <v>108.6494</v>
      </c>
    </row>
    <row r="432" spans="1:8" x14ac:dyDescent="0.15">
      <c r="A432" s="62" t="s">
        <v>11</v>
      </c>
      <c r="B432" s="62">
        <v>10000</v>
      </c>
      <c r="C432" s="62">
        <v>16</v>
      </c>
      <c r="D432" s="62">
        <v>6.8026999999999997</v>
      </c>
      <c r="E432" s="62">
        <v>294.0009</v>
      </c>
      <c r="F432" s="62">
        <v>15.077999999999999</v>
      </c>
      <c r="G432" s="62">
        <v>94.238699999999994</v>
      </c>
      <c r="H432" s="62">
        <v>108.6602</v>
      </c>
    </row>
    <row r="433" spans="1:8" x14ac:dyDescent="0.15">
      <c r="A433" s="62" t="s">
        <v>11</v>
      </c>
      <c r="B433" s="62">
        <v>10000</v>
      </c>
      <c r="C433" s="62">
        <v>16</v>
      </c>
      <c r="D433" s="62">
        <v>6.8220000000000001</v>
      </c>
      <c r="E433" s="62">
        <v>293.16879999999998</v>
      </c>
      <c r="F433" s="62">
        <v>15.036</v>
      </c>
      <c r="G433" s="62">
        <v>93.971999999999994</v>
      </c>
      <c r="H433" s="62">
        <v>108.98050000000001</v>
      </c>
    </row>
    <row r="434" spans="1:8" x14ac:dyDescent="0.15">
      <c r="A434" s="62" t="s">
        <v>11</v>
      </c>
      <c r="B434" s="62">
        <v>10000</v>
      </c>
      <c r="C434" s="62">
        <v>16</v>
      </c>
      <c r="D434" s="62">
        <v>6.7949999999999999</v>
      </c>
      <c r="E434" s="62">
        <v>294.33449999999999</v>
      </c>
      <c r="F434" s="62">
        <v>15.095000000000001</v>
      </c>
      <c r="G434" s="62">
        <v>94.345699999999994</v>
      </c>
      <c r="H434" s="62">
        <v>108.6602</v>
      </c>
    </row>
    <row r="435" spans="1:8" x14ac:dyDescent="0.15">
      <c r="A435" s="62" t="s">
        <v>11</v>
      </c>
      <c r="B435" s="62">
        <v>10000</v>
      </c>
      <c r="C435" s="62">
        <v>16</v>
      </c>
      <c r="D435" s="62">
        <v>6.8208000000000002</v>
      </c>
      <c r="E435" s="62">
        <v>293.22050000000002</v>
      </c>
      <c r="F435" s="62">
        <v>15.038</v>
      </c>
      <c r="G435" s="62">
        <v>93.988600000000005</v>
      </c>
      <c r="H435" s="62">
        <v>108.96</v>
      </c>
    </row>
    <row r="436" spans="1:8" x14ac:dyDescent="0.15">
      <c r="A436" s="62" t="s">
        <v>11</v>
      </c>
      <c r="B436" s="62">
        <v>10000</v>
      </c>
      <c r="C436" s="62">
        <v>16</v>
      </c>
      <c r="D436" s="62">
        <v>6.7958999999999996</v>
      </c>
      <c r="E436" s="62">
        <v>294.29320000000001</v>
      </c>
      <c r="F436" s="62">
        <v>15.093</v>
      </c>
      <c r="G436" s="62">
        <v>94.332400000000007</v>
      </c>
      <c r="H436" s="62">
        <v>108.6396</v>
      </c>
    </row>
    <row r="437" spans="1:8" x14ac:dyDescent="0.15">
      <c r="A437" s="62" t="s">
        <v>11</v>
      </c>
      <c r="B437" s="62">
        <v>10000</v>
      </c>
      <c r="C437" s="62">
        <v>16</v>
      </c>
      <c r="D437" s="62">
        <v>6.8106</v>
      </c>
      <c r="E437" s="62">
        <v>293.65859999999998</v>
      </c>
      <c r="F437" s="62">
        <v>15.061</v>
      </c>
      <c r="G437" s="62">
        <v>94.129000000000005</v>
      </c>
      <c r="H437" s="62">
        <v>108.7998</v>
      </c>
    </row>
    <row r="438" spans="1:8" x14ac:dyDescent="0.15">
      <c r="A438" s="62" t="s">
        <v>11</v>
      </c>
      <c r="B438" s="62">
        <v>10000</v>
      </c>
      <c r="C438" s="62">
        <v>16</v>
      </c>
      <c r="D438" s="62">
        <v>6.7948000000000004</v>
      </c>
      <c r="E438" s="62">
        <v>294.3417</v>
      </c>
      <c r="F438" s="62">
        <v>15.096</v>
      </c>
      <c r="G438" s="62">
        <v>94.347999999999999</v>
      </c>
      <c r="H438" s="62">
        <v>108.6504</v>
      </c>
    </row>
    <row r="439" spans="1:8" x14ac:dyDescent="0.15">
      <c r="A439" s="62" t="s">
        <v>11</v>
      </c>
      <c r="B439" s="62">
        <v>10005</v>
      </c>
      <c r="C439" s="62">
        <v>1</v>
      </c>
      <c r="D439" s="62">
        <v>103.36799999999999</v>
      </c>
      <c r="E439" s="62">
        <v>19.377400000000002</v>
      </c>
      <c r="F439" s="62">
        <v>1</v>
      </c>
      <c r="G439" s="62">
        <v>100</v>
      </c>
      <c r="H439" s="62">
        <v>103.42</v>
      </c>
    </row>
    <row r="440" spans="1:8" x14ac:dyDescent="0.15">
      <c r="A440" s="62" t="s">
        <v>11</v>
      </c>
      <c r="B440" s="62">
        <v>10005</v>
      </c>
      <c r="C440" s="62">
        <v>1</v>
      </c>
      <c r="D440" s="62">
        <v>103.21420000000001</v>
      </c>
      <c r="E440" s="62">
        <v>19.406300000000002</v>
      </c>
      <c r="F440" s="62">
        <v>1.0009999999999999</v>
      </c>
      <c r="G440" s="62">
        <v>100.1489</v>
      </c>
      <c r="H440" s="62">
        <v>103.26</v>
      </c>
    </row>
    <row r="441" spans="1:8" x14ac:dyDescent="0.15">
      <c r="A441" s="62" t="s">
        <v>11</v>
      </c>
      <c r="B441" s="62">
        <v>10005</v>
      </c>
      <c r="C441" s="62">
        <v>1</v>
      </c>
      <c r="D441" s="62">
        <v>103.2062</v>
      </c>
      <c r="E441" s="62">
        <v>19.407800000000002</v>
      </c>
      <c r="F441" s="62">
        <v>1.002</v>
      </c>
      <c r="G441" s="62">
        <v>100.1567</v>
      </c>
      <c r="H441" s="62">
        <v>103.25</v>
      </c>
    </row>
    <row r="442" spans="1:8" x14ac:dyDescent="0.15">
      <c r="A442" s="62" t="s">
        <v>11</v>
      </c>
      <c r="B442" s="62">
        <v>10005</v>
      </c>
      <c r="C442" s="62">
        <v>1</v>
      </c>
      <c r="D442" s="62">
        <v>103.21259999999999</v>
      </c>
      <c r="E442" s="62">
        <v>19.406600000000001</v>
      </c>
      <c r="F442" s="62">
        <v>1.002</v>
      </c>
      <c r="G442" s="62">
        <v>100.15049999999999</v>
      </c>
      <c r="H442" s="62">
        <v>103.26</v>
      </c>
    </row>
    <row r="443" spans="1:8" x14ac:dyDescent="0.15">
      <c r="A443" s="62" t="s">
        <v>11</v>
      </c>
      <c r="B443" s="62">
        <v>10005</v>
      </c>
      <c r="C443" s="62">
        <v>1</v>
      </c>
      <c r="D443" s="62">
        <v>103.2068</v>
      </c>
      <c r="E443" s="62">
        <v>19.407599999999999</v>
      </c>
      <c r="F443" s="62">
        <v>1.002</v>
      </c>
      <c r="G443" s="62">
        <v>100.1561</v>
      </c>
      <c r="H443" s="62">
        <v>103.25</v>
      </c>
    </row>
    <row r="444" spans="1:8" x14ac:dyDescent="0.15">
      <c r="A444" s="62" t="s">
        <v>11</v>
      </c>
      <c r="B444" s="62">
        <v>10005</v>
      </c>
      <c r="C444" s="62">
        <v>1</v>
      </c>
      <c r="D444" s="62">
        <v>103.2063</v>
      </c>
      <c r="E444" s="62">
        <v>19.407699999999998</v>
      </c>
      <c r="F444" s="62">
        <v>1.002</v>
      </c>
      <c r="G444" s="62">
        <v>100.1566</v>
      </c>
      <c r="H444" s="62">
        <v>103.26</v>
      </c>
    </row>
    <row r="445" spans="1:8" x14ac:dyDescent="0.15">
      <c r="A445" s="62" t="s">
        <v>11</v>
      </c>
      <c r="B445" s="62">
        <v>10005</v>
      </c>
      <c r="C445" s="62">
        <v>15</v>
      </c>
      <c r="D445" s="62">
        <v>7.2168999999999999</v>
      </c>
      <c r="E445" s="62">
        <v>277.54289999999997</v>
      </c>
      <c r="F445" s="62">
        <v>14.323</v>
      </c>
      <c r="G445" s="62">
        <v>95.486800000000002</v>
      </c>
      <c r="H445" s="62">
        <v>108.2</v>
      </c>
    </row>
    <row r="446" spans="1:8" x14ac:dyDescent="0.15">
      <c r="A446" s="62" t="s">
        <v>11</v>
      </c>
      <c r="B446" s="62">
        <v>10005</v>
      </c>
      <c r="C446" s="62">
        <v>15</v>
      </c>
      <c r="D446" s="62">
        <v>7.2259000000000002</v>
      </c>
      <c r="E446" s="62">
        <v>277.19749999999999</v>
      </c>
      <c r="F446" s="62">
        <v>14.305</v>
      </c>
      <c r="G446" s="62">
        <v>95.367999999999995</v>
      </c>
      <c r="H446" s="62">
        <v>108.31</v>
      </c>
    </row>
    <row r="447" spans="1:8" x14ac:dyDescent="0.15">
      <c r="A447" s="62" t="s">
        <v>11</v>
      </c>
      <c r="B447" s="62">
        <v>10005</v>
      </c>
      <c r="C447" s="62">
        <v>15</v>
      </c>
      <c r="D447" s="62">
        <v>7.2214999999999998</v>
      </c>
      <c r="E447" s="62">
        <v>277.36829999999998</v>
      </c>
      <c r="F447" s="62">
        <v>14.314</v>
      </c>
      <c r="G447" s="62">
        <v>95.426699999999997</v>
      </c>
      <c r="H447" s="62">
        <v>108.26</v>
      </c>
    </row>
    <row r="448" spans="1:8" x14ac:dyDescent="0.15">
      <c r="A448" s="62" t="s">
        <v>11</v>
      </c>
      <c r="B448" s="62">
        <v>10005</v>
      </c>
      <c r="C448" s="62">
        <v>15</v>
      </c>
      <c r="D448" s="62">
        <v>7.2145000000000001</v>
      </c>
      <c r="E448" s="62">
        <v>277.63560000000001</v>
      </c>
      <c r="F448" s="62">
        <v>14.327999999999999</v>
      </c>
      <c r="G448" s="62">
        <v>95.518699999999995</v>
      </c>
      <c r="H448" s="62">
        <v>108.17</v>
      </c>
    </row>
    <row r="449" spans="1:8" x14ac:dyDescent="0.15">
      <c r="A449" s="62" t="s">
        <v>11</v>
      </c>
      <c r="B449" s="62">
        <v>10005</v>
      </c>
      <c r="C449" s="62">
        <v>15</v>
      </c>
      <c r="D449" s="62">
        <v>7.2228000000000003</v>
      </c>
      <c r="E449" s="62">
        <v>277.31740000000002</v>
      </c>
      <c r="F449" s="62">
        <v>14.311</v>
      </c>
      <c r="G449" s="62">
        <v>95.409199999999998</v>
      </c>
      <c r="H449" s="62">
        <v>108.28</v>
      </c>
    </row>
    <row r="450" spans="1:8" x14ac:dyDescent="0.15">
      <c r="A450" s="62" t="s">
        <v>11</v>
      </c>
      <c r="B450" s="62">
        <v>10005</v>
      </c>
      <c r="C450" s="62">
        <v>15</v>
      </c>
      <c r="D450" s="62">
        <v>7.226</v>
      </c>
      <c r="E450" s="62">
        <v>277.19400000000002</v>
      </c>
      <c r="F450" s="62">
        <v>14.305</v>
      </c>
      <c r="G450" s="62">
        <v>95.366799999999998</v>
      </c>
      <c r="H450" s="62">
        <v>108.3199</v>
      </c>
    </row>
    <row r="451" spans="1:8" x14ac:dyDescent="0.15">
      <c r="A451" s="62" t="s">
        <v>11</v>
      </c>
      <c r="B451" s="62">
        <v>10005</v>
      </c>
      <c r="C451" s="62">
        <v>15</v>
      </c>
      <c r="D451" s="62">
        <v>7.2222999999999997</v>
      </c>
      <c r="E451" s="62">
        <v>277.33479999999997</v>
      </c>
      <c r="F451" s="62">
        <v>14.311999999999999</v>
      </c>
      <c r="G451" s="62">
        <v>95.415199999999999</v>
      </c>
      <c r="H451" s="62">
        <v>108.27</v>
      </c>
    </row>
    <row r="452" spans="1:8" x14ac:dyDescent="0.15">
      <c r="A452" s="62" t="s">
        <v>11</v>
      </c>
      <c r="B452" s="62">
        <v>10005</v>
      </c>
      <c r="C452" s="62">
        <v>15</v>
      </c>
      <c r="D452" s="62">
        <v>7.2229000000000001</v>
      </c>
      <c r="E452" s="62">
        <v>277.31270000000001</v>
      </c>
      <c r="F452" s="62">
        <v>14.311</v>
      </c>
      <c r="G452" s="62">
        <v>95.407600000000002</v>
      </c>
      <c r="H452" s="62">
        <v>108.29</v>
      </c>
    </row>
    <row r="453" spans="1:8" x14ac:dyDescent="0.15">
      <c r="A453" s="62" t="s">
        <v>11</v>
      </c>
      <c r="B453" s="62">
        <v>10005</v>
      </c>
      <c r="C453" s="62">
        <v>15</v>
      </c>
      <c r="D453" s="62">
        <v>7.39</v>
      </c>
      <c r="E453" s="62">
        <v>271.04160000000002</v>
      </c>
      <c r="F453" s="62">
        <v>13.988</v>
      </c>
      <c r="G453" s="62">
        <v>93.250100000000003</v>
      </c>
      <c r="H453" s="62">
        <v>110.52</v>
      </c>
    </row>
    <row r="454" spans="1:8" x14ac:dyDescent="0.15">
      <c r="A454" s="62" t="s">
        <v>11</v>
      </c>
      <c r="B454" s="62">
        <v>10005</v>
      </c>
      <c r="C454" s="62">
        <v>15</v>
      </c>
      <c r="D454" s="62">
        <v>7.2209000000000003</v>
      </c>
      <c r="E454" s="62">
        <v>277.3895</v>
      </c>
      <c r="F454" s="62">
        <v>14.315</v>
      </c>
      <c r="G454" s="62">
        <v>95.434100000000001</v>
      </c>
      <c r="H454" s="62">
        <v>108.27</v>
      </c>
    </row>
    <row r="455" spans="1:8" x14ac:dyDescent="0.15">
      <c r="A455" s="62" t="s">
        <v>11</v>
      </c>
      <c r="B455" s="62">
        <v>10005</v>
      </c>
      <c r="C455" s="62">
        <v>15</v>
      </c>
      <c r="D455" s="62">
        <v>7.2797999999999998</v>
      </c>
      <c r="E455" s="62">
        <v>275.14640000000003</v>
      </c>
      <c r="F455" s="62">
        <v>14.199</v>
      </c>
      <c r="G455" s="62">
        <v>94.662300000000002</v>
      </c>
      <c r="H455" s="62">
        <v>109.01990000000001</v>
      </c>
    </row>
    <row r="456" spans="1:8" x14ac:dyDescent="0.15">
      <c r="A456" s="62" t="s">
        <v>11</v>
      </c>
      <c r="B456" s="62">
        <v>10005</v>
      </c>
      <c r="C456" s="62">
        <v>15</v>
      </c>
      <c r="D456" s="62">
        <v>7.2567000000000004</v>
      </c>
      <c r="E456" s="62">
        <v>276.02199999999999</v>
      </c>
      <c r="F456" s="62">
        <v>14.244999999999999</v>
      </c>
      <c r="G456" s="62">
        <v>94.9636</v>
      </c>
      <c r="H456" s="62">
        <v>108.75</v>
      </c>
    </row>
    <row r="457" spans="1:8" x14ac:dyDescent="0.15">
      <c r="A457" s="62" t="s">
        <v>11</v>
      </c>
      <c r="B457" s="62">
        <v>10005</v>
      </c>
      <c r="C457" s="62">
        <v>15</v>
      </c>
      <c r="D457" s="62">
        <v>7.2270000000000003</v>
      </c>
      <c r="E457" s="62">
        <v>277.15530000000001</v>
      </c>
      <c r="F457" s="62">
        <v>14.303000000000001</v>
      </c>
      <c r="G457" s="62">
        <v>95.353499999999997</v>
      </c>
      <c r="H457" s="62">
        <v>108.4</v>
      </c>
    </row>
    <row r="458" spans="1:8" x14ac:dyDescent="0.15">
      <c r="A458" s="62" t="s">
        <v>11</v>
      </c>
      <c r="B458" s="62">
        <v>10005</v>
      </c>
      <c r="C458" s="62">
        <v>15</v>
      </c>
      <c r="D458" s="62">
        <v>7.2431999999999999</v>
      </c>
      <c r="E458" s="62">
        <v>276.53449999999998</v>
      </c>
      <c r="F458" s="62">
        <v>14.271000000000001</v>
      </c>
      <c r="G458" s="62">
        <v>95.139899999999997</v>
      </c>
      <c r="H458" s="62">
        <v>108.6801</v>
      </c>
    </row>
    <row r="459" spans="1:8" x14ac:dyDescent="0.15">
      <c r="A459" s="62" t="s">
        <v>11</v>
      </c>
      <c r="B459" s="62">
        <v>10005</v>
      </c>
      <c r="C459" s="62">
        <v>15</v>
      </c>
      <c r="D459" s="62">
        <v>7.2255000000000003</v>
      </c>
      <c r="E459" s="62">
        <v>277.2133</v>
      </c>
      <c r="F459" s="62">
        <v>14.305999999999999</v>
      </c>
      <c r="G459" s="62">
        <v>95.373500000000007</v>
      </c>
      <c r="H459" s="62">
        <v>108.3301</v>
      </c>
    </row>
    <row r="460" spans="1:8" x14ac:dyDescent="0.15">
      <c r="A460" s="62" t="s">
        <v>11</v>
      </c>
      <c r="B460" s="62">
        <v>10005</v>
      </c>
      <c r="C460" s="62">
        <v>15</v>
      </c>
      <c r="D460" s="62">
        <v>7.2389999999999999</v>
      </c>
      <c r="E460" s="62">
        <v>276.69749999999999</v>
      </c>
      <c r="F460" s="62">
        <v>14.279</v>
      </c>
      <c r="G460" s="62">
        <v>95.195999999999998</v>
      </c>
      <c r="H460" s="62">
        <v>108.52979999999999</v>
      </c>
    </row>
    <row r="461" spans="1:8" x14ac:dyDescent="0.15">
      <c r="A461" s="62" t="s">
        <v>11</v>
      </c>
      <c r="B461" s="62">
        <v>10005</v>
      </c>
      <c r="C461" s="62">
        <v>15</v>
      </c>
      <c r="D461" s="62">
        <v>7.2481999999999998</v>
      </c>
      <c r="E461" s="62">
        <v>276.34609999999998</v>
      </c>
      <c r="F461" s="62">
        <v>14.260999999999999</v>
      </c>
      <c r="G461" s="62">
        <v>95.075100000000006</v>
      </c>
      <c r="H461" s="62">
        <v>108.77</v>
      </c>
    </row>
    <row r="462" spans="1:8" x14ac:dyDescent="0.15">
      <c r="A462" s="62" t="s">
        <v>11</v>
      </c>
      <c r="B462" s="62">
        <v>10005</v>
      </c>
      <c r="C462" s="62">
        <v>15</v>
      </c>
      <c r="D462" s="62">
        <v>7.2483000000000004</v>
      </c>
      <c r="E462" s="62">
        <v>276.34030000000001</v>
      </c>
      <c r="F462" s="62">
        <v>14.260999999999999</v>
      </c>
      <c r="G462" s="62">
        <v>95.073099999999997</v>
      </c>
      <c r="H462" s="62">
        <v>108.76</v>
      </c>
    </row>
    <row r="463" spans="1:8" x14ac:dyDescent="0.15">
      <c r="A463" s="62" t="s">
        <v>11</v>
      </c>
      <c r="B463" s="62">
        <v>10005</v>
      </c>
      <c r="C463" s="62">
        <v>15</v>
      </c>
      <c r="D463" s="62">
        <v>7.2477999999999998</v>
      </c>
      <c r="E463" s="62">
        <v>276.36099999999999</v>
      </c>
      <c r="F463" s="62">
        <v>14.262</v>
      </c>
      <c r="G463" s="62">
        <v>95.080200000000005</v>
      </c>
      <c r="H463" s="62">
        <v>108.76</v>
      </c>
    </row>
    <row r="464" spans="1:8" x14ac:dyDescent="0.15">
      <c r="A464" s="62" t="s">
        <v>11</v>
      </c>
      <c r="B464" s="62">
        <v>10005</v>
      </c>
      <c r="C464" s="62">
        <v>15</v>
      </c>
      <c r="D464" s="62">
        <v>7.2477</v>
      </c>
      <c r="E464" s="62">
        <v>276.36529999999999</v>
      </c>
      <c r="F464" s="62">
        <v>14.262</v>
      </c>
      <c r="G464" s="62">
        <v>95.081699999999998</v>
      </c>
      <c r="H464" s="62">
        <v>108.75</v>
      </c>
    </row>
    <row r="465" spans="1:8" x14ac:dyDescent="0.15">
      <c r="A465" s="62" t="s">
        <v>11</v>
      </c>
      <c r="B465" s="62">
        <v>10005</v>
      </c>
      <c r="C465" s="62">
        <v>15</v>
      </c>
      <c r="D465" s="62">
        <v>7.2470999999999997</v>
      </c>
      <c r="E465" s="62">
        <v>276.38679999999999</v>
      </c>
      <c r="F465" s="62">
        <v>14.263</v>
      </c>
      <c r="G465" s="62">
        <v>95.089100000000002</v>
      </c>
      <c r="H465" s="62">
        <v>108.74</v>
      </c>
    </row>
    <row r="466" spans="1:8" x14ac:dyDescent="0.15">
      <c r="A466" s="62" t="s">
        <v>11</v>
      </c>
      <c r="B466" s="62">
        <v>10005</v>
      </c>
      <c r="C466" s="62">
        <v>15</v>
      </c>
      <c r="D466" s="62">
        <v>7.2474999999999996</v>
      </c>
      <c r="E466" s="62">
        <v>276.3698</v>
      </c>
      <c r="F466" s="62">
        <v>14.262</v>
      </c>
      <c r="G466" s="62">
        <v>95.083200000000005</v>
      </c>
      <c r="H466" s="62">
        <v>108.76</v>
      </c>
    </row>
    <row r="467" spans="1:8" x14ac:dyDescent="0.15">
      <c r="A467" s="62" t="s">
        <v>11</v>
      </c>
      <c r="B467" s="62">
        <v>10005</v>
      </c>
      <c r="C467" s="62">
        <v>15</v>
      </c>
      <c r="D467" s="62">
        <v>7.2483000000000004</v>
      </c>
      <c r="E467" s="62">
        <v>276.33949999999999</v>
      </c>
      <c r="F467" s="62">
        <v>14.260999999999999</v>
      </c>
      <c r="G467" s="62">
        <v>95.072800000000001</v>
      </c>
      <c r="H467" s="62">
        <v>108.75</v>
      </c>
    </row>
    <row r="468" spans="1:8" x14ac:dyDescent="0.15">
      <c r="A468" s="62" t="s">
        <v>11</v>
      </c>
      <c r="B468" s="62">
        <v>10005</v>
      </c>
      <c r="C468" s="62">
        <v>15</v>
      </c>
      <c r="D468" s="62">
        <v>7.2306999999999997</v>
      </c>
      <c r="E468" s="62">
        <v>277.01280000000003</v>
      </c>
      <c r="F468" s="62">
        <v>14.295999999999999</v>
      </c>
      <c r="G468" s="62">
        <v>95.304500000000004</v>
      </c>
      <c r="H468" s="62">
        <v>108.4102</v>
      </c>
    </row>
    <row r="469" spans="1:8" x14ac:dyDescent="0.15">
      <c r="A469" s="62" t="s">
        <v>11</v>
      </c>
      <c r="B469" s="62">
        <v>10005</v>
      </c>
      <c r="C469" s="62">
        <v>15</v>
      </c>
      <c r="D469" s="62">
        <v>7.2314999999999996</v>
      </c>
      <c r="E469" s="62">
        <v>276.98270000000002</v>
      </c>
      <c r="F469" s="62">
        <v>14.294</v>
      </c>
      <c r="G469" s="62">
        <v>95.2941</v>
      </c>
      <c r="H469" s="62">
        <v>108.49</v>
      </c>
    </row>
    <row r="470" spans="1:8" x14ac:dyDescent="0.15">
      <c r="A470" s="62" t="s">
        <v>11</v>
      </c>
      <c r="B470" s="62">
        <v>10005</v>
      </c>
      <c r="C470" s="62">
        <v>15</v>
      </c>
      <c r="D470" s="62">
        <v>7.2397</v>
      </c>
      <c r="E470" s="62">
        <v>276.66750000000002</v>
      </c>
      <c r="F470" s="62">
        <v>14.278</v>
      </c>
      <c r="G470" s="62">
        <v>95.185699999999997</v>
      </c>
      <c r="H470" s="62">
        <v>108.6099</v>
      </c>
    </row>
    <row r="471" spans="1:8" x14ac:dyDescent="0.15">
      <c r="A471" s="62" t="s">
        <v>11</v>
      </c>
      <c r="B471" s="62">
        <v>10005</v>
      </c>
      <c r="C471" s="62">
        <v>15</v>
      </c>
      <c r="D471" s="62">
        <v>7.2476000000000003</v>
      </c>
      <c r="E471" s="62">
        <v>276.36579999999998</v>
      </c>
      <c r="F471" s="62">
        <v>14.262</v>
      </c>
      <c r="G471" s="62">
        <v>95.081900000000005</v>
      </c>
      <c r="H471" s="62">
        <v>108.75</v>
      </c>
    </row>
    <row r="472" spans="1:8" x14ac:dyDescent="0.15">
      <c r="A472" s="62" t="s">
        <v>11</v>
      </c>
      <c r="B472" s="62">
        <v>10005</v>
      </c>
      <c r="C472" s="62">
        <v>15</v>
      </c>
      <c r="D472" s="62">
        <v>7.2239000000000004</v>
      </c>
      <c r="E472" s="62">
        <v>277.27269999999999</v>
      </c>
      <c r="F472" s="62">
        <v>14.308999999999999</v>
      </c>
      <c r="G472" s="62">
        <v>95.393900000000002</v>
      </c>
      <c r="H472" s="62">
        <v>108.3501</v>
      </c>
    </row>
    <row r="473" spans="1:8" x14ac:dyDescent="0.15">
      <c r="A473" s="62" t="s">
        <v>11</v>
      </c>
      <c r="B473" s="62">
        <v>10005</v>
      </c>
      <c r="C473" s="62">
        <v>15</v>
      </c>
      <c r="D473" s="62">
        <v>7.2485999999999997</v>
      </c>
      <c r="E473" s="62">
        <v>276.33010000000002</v>
      </c>
      <c r="F473" s="62">
        <v>14.26</v>
      </c>
      <c r="G473" s="62">
        <v>95.069599999999994</v>
      </c>
      <c r="H473" s="62">
        <v>108.77</v>
      </c>
    </row>
    <row r="474" spans="1:8" x14ac:dyDescent="0.15">
      <c r="A474" s="62" t="s">
        <v>11</v>
      </c>
      <c r="B474" s="62">
        <v>10005</v>
      </c>
      <c r="C474" s="62">
        <v>15</v>
      </c>
      <c r="D474" s="62">
        <v>7.2477</v>
      </c>
      <c r="E474" s="62">
        <v>276.36309999999997</v>
      </c>
      <c r="F474" s="62">
        <v>14.262</v>
      </c>
      <c r="G474" s="62">
        <v>95.0809</v>
      </c>
      <c r="H474" s="62">
        <v>108.75</v>
      </c>
    </row>
    <row r="475" spans="1:8" x14ac:dyDescent="0.15">
      <c r="A475" s="62" t="s">
        <v>11</v>
      </c>
      <c r="B475" s="62">
        <v>10005</v>
      </c>
      <c r="C475" s="62">
        <v>15</v>
      </c>
      <c r="D475" s="62">
        <v>7.2470999999999997</v>
      </c>
      <c r="E475" s="62">
        <v>276.38819999999998</v>
      </c>
      <c r="F475" s="62">
        <v>14.263</v>
      </c>
      <c r="G475" s="62">
        <v>95.089600000000004</v>
      </c>
      <c r="H475" s="62">
        <v>108.75</v>
      </c>
    </row>
    <row r="476" spans="1:8" x14ac:dyDescent="0.15">
      <c r="A476" s="62" t="s">
        <v>11</v>
      </c>
      <c r="B476" s="62">
        <v>10005</v>
      </c>
      <c r="C476" s="62">
        <v>15</v>
      </c>
      <c r="D476" s="62">
        <v>7.2478999999999996</v>
      </c>
      <c r="E476" s="62">
        <v>276.35700000000003</v>
      </c>
      <c r="F476" s="62">
        <v>14.262</v>
      </c>
      <c r="G476" s="62">
        <v>95.078800000000001</v>
      </c>
      <c r="H476" s="62">
        <v>108.74979999999999</v>
      </c>
    </row>
    <row r="477" spans="1:8" x14ac:dyDescent="0.15">
      <c r="A477" s="62" t="s">
        <v>11</v>
      </c>
      <c r="B477" s="62">
        <v>10005</v>
      </c>
      <c r="C477" s="62">
        <v>15</v>
      </c>
      <c r="D477" s="62">
        <v>7.2478999999999996</v>
      </c>
      <c r="E477" s="62">
        <v>276.3571</v>
      </c>
      <c r="F477" s="62">
        <v>14.262</v>
      </c>
      <c r="G477" s="62">
        <v>95.078900000000004</v>
      </c>
      <c r="H477" s="62">
        <v>108.7603</v>
      </c>
    </row>
    <row r="478" spans="1:8" x14ac:dyDescent="0.15">
      <c r="A478" s="62" t="s">
        <v>11</v>
      </c>
      <c r="B478" s="62">
        <v>10005</v>
      </c>
      <c r="C478" s="62">
        <v>15</v>
      </c>
      <c r="D478" s="62">
        <v>7.2481</v>
      </c>
      <c r="E478" s="62">
        <v>276.34899999999999</v>
      </c>
      <c r="F478" s="62">
        <v>14.260999999999999</v>
      </c>
      <c r="G478" s="62">
        <v>95.076099999999997</v>
      </c>
      <c r="H478" s="62">
        <v>108.7598</v>
      </c>
    </row>
    <row r="479" spans="1:8" x14ac:dyDescent="0.15">
      <c r="A479" s="62" t="s">
        <v>11</v>
      </c>
      <c r="B479" s="62">
        <v>10005</v>
      </c>
      <c r="C479" s="62">
        <v>15</v>
      </c>
      <c r="D479" s="62">
        <v>7.2477999999999998</v>
      </c>
      <c r="E479" s="62">
        <v>276.36070000000001</v>
      </c>
      <c r="F479" s="62">
        <v>14.262</v>
      </c>
      <c r="G479" s="62">
        <v>95.080100000000002</v>
      </c>
      <c r="H479" s="62">
        <v>108.75</v>
      </c>
    </row>
    <row r="480" spans="1:8" x14ac:dyDescent="0.15">
      <c r="A480" s="62" t="s">
        <v>11</v>
      </c>
      <c r="B480" s="62">
        <v>10005</v>
      </c>
      <c r="C480" s="62">
        <v>15</v>
      </c>
      <c r="D480" s="62">
        <v>7.2470999999999997</v>
      </c>
      <c r="E480" s="62">
        <v>276.38529999999997</v>
      </c>
      <c r="F480" s="62">
        <v>14.263</v>
      </c>
      <c r="G480" s="62">
        <v>95.0886</v>
      </c>
      <c r="H480" s="62">
        <v>108.75</v>
      </c>
    </row>
    <row r="481" spans="1:8" x14ac:dyDescent="0.15">
      <c r="A481" s="62" t="s">
        <v>11</v>
      </c>
      <c r="B481" s="62">
        <v>10005</v>
      </c>
      <c r="C481" s="62">
        <v>15</v>
      </c>
      <c r="D481" s="62">
        <v>7.2478999999999996</v>
      </c>
      <c r="E481" s="62">
        <v>276.35669999999999</v>
      </c>
      <c r="F481" s="62">
        <v>14.262</v>
      </c>
      <c r="G481" s="62">
        <v>95.078699999999998</v>
      </c>
      <c r="H481" s="62">
        <v>108.75</v>
      </c>
    </row>
    <row r="482" spans="1:8" x14ac:dyDescent="0.15">
      <c r="A482" s="62" t="s">
        <v>11</v>
      </c>
      <c r="B482" s="62">
        <v>10005</v>
      </c>
      <c r="C482" s="62">
        <v>15</v>
      </c>
      <c r="D482" s="62">
        <v>7.2473000000000001</v>
      </c>
      <c r="E482" s="62">
        <v>276.38049999999998</v>
      </c>
      <c r="F482" s="62">
        <v>14.263</v>
      </c>
      <c r="G482" s="62">
        <v>95.0869</v>
      </c>
      <c r="H482" s="62">
        <v>108.75</v>
      </c>
    </row>
    <row r="483" spans="1:8" x14ac:dyDescent="0.15">
      <c r="A483" s="62" t="s">
        <v>11</v>
      </c>
      <c r="B483" s="62">
        <v>10005</v>
      </c>
      <c r="C483" s="62">
        <v>15</v>
      </c>
      <c r="D483" s="62">
        <v>7.2324999999999999</v>
      </c>
      <c r="E483" s="62">
        <v>276.94600000000003</v>
      </c>
      <c r="F483" s="62">
        <v>14.292</v>
      </c>
      <c r="G483" s="62">
        <v>95.281499999999994</v>
      </c>
      <c r="H483" s="62">
        <v>108.4302</v>
      </c>
    </row>
    <row r="484" spans="1:8" x14ac:dyDescent="0.15">
      <c r="A484" s="62" t="s">
        <v>11</v>
      </c>
      <c r="B484" s="62">
        <v>10005</v>
      </c>
      <c r="C484" s="62">
        <v>15</v>
      </c>
      <c r="D484" s="62">
        <v>7.2371999999999996</v>
      </c>
      <c r="E484" s="62">
        <v>276.7663</v>
      </c>
      <c r="F484" s="62">
        <v>14.282999999999999</v>
      </c>
      <c r="G484" s="62">
        <v>95.219700000000003</v>
      </c>
      <c r="H484" s="62">
        <v>108.4902</v>
      </c>
    </row>
    <row r="485" spans="1:8" x14ac:dyDescent="0.15">
      <c r="A485" s="62" t="s">
        <v>11</v>
      </c>
      <c r="B485" s="62">
        <v>10005</v>
      </c>
      <c r="C485" s="62">
        <v>15</v>
      </c>
      <c r="D485" s="62">
        <v>7.2295999999999996</v>
      </c>
      <c r="E485" s="62">
        <v>277.05650000000003</v>
      </c>
      <c r="F485" s="62">
        <v>14.298</v>
      </c>
      <c r="G485" s="62">
        <v>95.319500000000005</v>
      </c>
      <c r="H485" s="62">
        <v>108.3896</v>
      </c>
    </row>
    <row r="486" spans="1:8" x14ac:dyDescent="0.15">
      <c r="A486" s="62" t="s">
        <v>11</v>
      </c>
      <c r="B486" s="62">
        <v>10005</v>
      </c>
      <c r="C486" s="62">
        <v>15</v>
      </c>
      <c r="D486" s="62">
        <v>7.2348999999999997</v>
      </c>
      <c r="E486" s="62">
        <v>276.85230000000001</v>
      </c>
      <c r="F486" s="62">
        <v>14.287000000000001</v>
      </c>
      <c r="G486" s="62">
        <v>95.249200000000002</v>
      </c>
      <c r="H486" s="62">
        <v>108.46</v>
      </c>
    </row>
    <row r="487" spans="1:8" x14ac:dyDescent="0.15">
      <c r="A487" s="62" t="s">
        <v>11</v>
      </c>
      <c r="B487" s="62">
        <v>10005</v>
      </c>
      <c r="C487" s="62">
        <v>15</v>
      </c>
      <c r="D487" s="62">
        <v>7.2314999999999996</v>
      </c>
      <c r="E487" s="62">
        <v>276.98169999999999</v>
      </c>
      <c r="F487" s="62">
        <v>14.294</v>
      </c>
      <c r="G487" s="62">
        <v>95.293700000000001</v>
      </c>
      <c r="H487" s="62">
        <v>108.46</v>
      </c>
    </row>
    <row r="488" spans="1:8" x14ac:dyDescent="0.15">
      <c r="A488" s="62" t="s">
        <v>11</v>
      </c>
      <c r="B488" s="62">
        <v>10005</v>
      </c>
      <c r="C488" s="62">
        <v>15</v>
      </c>
      <c r="D488" s="62">
        <v>7.2480000000000002</v>
      </c>
      <c r="E488" s="62">
        <v>276.35140000000001</v>
      </c>
      <c r="F488" s="62">
        <v>14.262</v>
      </c>
      <c r="G488" s="62">
        <v>95.076899999999995</v>
      </c>
      <c r="H488" s="62">
        <v>108.7603</v>
      </c>
    </row>
    <row r="489" spans="1:8" x14ac:dyDescent="0.15">
      <c r="A489" s="62" t="s">
        <v>11</v>
      </c>
      <c r="B489" s="62">
        <v>10005</v>
      </c>
      <c r="C489" s="62">
        <v>15</v>
      </c>
      <c r="D489" s="62">
        <v>7.2213000000000003</v>
      </c>
      <c r="E489" s="62">
        <v>277.37419999999997</v>
      </c>
      <c r="F489" s="62">
        <v>14.314</v>
      </c>
      <c r="G489" s="62">
        <v>95.428799999999995</v>
      </c>
      <c r="H489" s="62">
        <v>108.29</v>
      </c>
    </row>
    <row r="490" spans="1:8" x14ac:dyDescent="0.15">
      <c r="A490" s="62" t="s">
        <v>11</v>
      </c>
      <c r="B490" s="62">
        <v>10005</v>
      </c>
      <c r="C490" s="62">
        <v>15</v>
      </c>
      <c r="D490" s="62">
        <v>7.2347999999999999</v>
      </c>
      <c r="E490" s="62">
        <v>276.85669999999999</v>
      </c>
      <c r="F490" s="62">
        <v>14.288</v>
      </c>
      <c r="G490" s="62">
        <v>95.250799999999998</v>
      </c>
      <c r="H490" s="62">
        <v>108.4897</v>
      </c>
    </row>
    <row r="491" spans="1:8" x14ac:dyDescent="0.15">
      <c r="A491" s="62" t="s">
        <v>11</v>
      </c>
      <c r="B491" s="62">
        <v>10005</v>
      </c>
      <c r="C491" s="62">
        <v>15</v>
      </c>
      <c r="D491" s="62">
        <v>7.2481</v>
      </c>
      <c r="E491" s="62">
        <v>276.34879999999998</v>
      </c>
      <c r="F491" s="62">
        <v>14.260999999999999</v>
      </c>
      <c r="G491" s="62">
        <v>95.075999999999993</v>
      </c>
      <c r="H491" s="62">
        <v>108.77</v>
      </c>
    </row>
    <row r="492" spans="1:8" x14ac:dyDescent="0.15">
      <c r="A492" s="62" t="s">
        <v>11</v>
      </c>
      <c r="B492" s="62">
        <v>10005</v>
      </c>
      <c r="C492" s="62">
        <v>15</v>
      </c>
      <c r="D492" s="62">
        <v>7.2483000000000004</v>
      </c>
      <c r="E492" s="62">
        <v>276.34109999999998</v>
      </c>
      <c r="F492" s="62">
        <v>14.260999999999999</v>
      </c>
      <c r="G492" s="62">
        <v>95.073400000000007</v>
      </c>
      <c r="H492" s="62">
        <v>108.75</v>
      </c>
    </row>
    <row r="493" spans="1:8" x14ac:dyDescent="0.15">
      <c r="A493" s="62" t="s">
        <v>11</v>
      </c>
      <c r="B493" s="62">
        <v>10005</v>
      </c>
      <c r="C493" s="62">
        <v>15</v>
      </c>
      <c r="D493" s="62">
        <v>7.2469000000000001</v>
      </c>
      <c r="E493" s="62">
        <v>276.39400000000001</v>
      </c>
      <c r="F493" s="62">
        <v>14.263999999999999</v>
      </c>
      <c r="G493" s="62">
        <v>95.091499999999996</v>
      </c>
      <c r="H493" s="62">
        <v>108.71</v>
      </c>
    </row>
    <row r="494" spans="1:8" x14ac:dyDescent="0.15">
      <c r="A494" s="62" t="s">
        <v>11</v>
      </c>
      <c r="B494" s="62">
        <v>10005</v>
      </c>
      <c r="C494" s="62">
        <v>15</v>
      </c>
      <c r="D494" s="62">
        <v>7.2397</v>
      </c>
      <c r="E494" s="62">
        <v>276.66969999999998</v>
      </c>
      <c r="F494" s="62">
        <v>14.278</v>
      </c>
      <c r="G494" s="62">
        <v>95.186400000000006</v>
      </c>
      <c r="H494" s="62">
        <v>108.5303</v>
      </c>
    </row>
    <row r="495" spans="1:8" x14ac:dyDescent="0.15">
      <c r="A495" s="62" t="s">
        <v>11</v>
      </c>
      <c r="B495" s="62">
        <v>10005</v>
      </c>
      <c r="C495" s="62">
        <v>15</v>
      </c>
      <c r="D495" s="62">
        <v>7.2793000000000001</v>
      </c>
      <c r="E495" s="62">
        <v>275.16430000000003</v>
      </c>
      <c r="F495" s="62">
        <v>14.2</v>
      </c>
      <c r="G495" s="62">
        <v>94.668499999999995</v>
      </c>
      <c r="H495" s="62">
        <v>108.93989999999999</v>
      </c>
    </row>
    <row r="496" spans="1:8" x14ac:dyDescent="0.15">
      <c r="A496" s="62" t="s">
        <v>11</v>
      </c>
      <c r="B496" s="62">
        <v>10005</v>
      </c>
      <c r="C496" s="62">
        <v>16</v>
      </c>
      <c r="D496" s="62">
        <v>12.923400000000001</v>
      </c>
      <c r="E496" s="62">
        <v>154.99029999999999</v>
      </c>
      <c r="F496" s="62">
        <v>7.9989999999999997</v>
      </c>
      <c r="G496" s="62">
        <v>49.990699999999997</v>
      </c>
      <c r="H496" s="62">
        <v>197.81979999999999</v>
      </c>
    </row>
    <row r="497" spans="1:8" x14ac:dyDescent="0.15">
      <c r="A497" s="62" t="s">
        <v>11</v>
      </c>
      <c r="B497" s="62">
        <v>10005</v>
      </c>
      <c r="C497" s="62">
        <v>16</v>
      </c>
      <c r="D497" s="62">
        <v>9.4449000000000005</v>
      </c>
      <c r="E497" s="62">
        <v>212.0727</v>
      </c>
      <c r="F497" s="62">
        <v>10.944000000000001</v>
      </c>
      <c r="G497" s="62">
        <v>68.402100000000004</v>
      </c>
      <c r="H497" s="62">
        <v>147.21</v>
      </c>
    </row>
    <row r="498" spans="1:8" x14ac:dyDescent="0.15">
      <c r="A498" s="62" t="s">
        <v>11</v>
      </c>
      <c r="B498" s="62">
        <v>10005</v>
      </c>
      <c r="C498" s="62">
        <v>16</v>
      </c>
      <c r="D498" s="62">
        <v>6.766</v>
      </c>
      <c r="E498" s="62">
        <v>296.03719999999998</v>
      </c>
      <c r="F498" s="62">
        <v>15.276999999999999</v>
      </c>
      <c r="G498" s="62">
        <v>95.484099999999998</v>
      </c>
      <c r="H498" s="62">
        <v>108.1704</v>
      </c>
    </row>
    <row r="499" spans="1:8" x14ac:dyDescent="0.15">
      <c r="A499" s="62" t="s">
        <v>11</v>
      </c>
      <c r="B499" s="62">
        <v>10005</v>
      </c>
      <c r="C499" s="62">
        <v>16</v>
      </c>
      <c r="D499" s="62">
        <v>6.8136000000000001</v>
      </c>
      <c r="E499" s="62">
        <v>293.97019999999998</v>
      </c>
      <c r="F499" s="62">
        <v>15.170999999999999</v>
      </c>
      <c r="G499" s="62">
        <v>94.817400000000006</v>
      </c>
      <c r="H499" s="62">
        <v>108.8296</v>
      </c>
    </row>
    <row r="500" spans="1:8" x14ac:dyDescent="0.15">
      <c r="A500" s="62" t="s">
        <v>11</v>
      </c>
      <c r="B500" s="62">
        <v>10005</v>
      </c>
      <c r="C500" s="62">
        <v>16</v>
      </c>
      <c r="D500" s="62">
        <v>6.7656000000000001</v>
      </c>
      <c r="E500" s="62">
        <v>296.05520000000001</v>
      </c>
      <c r="F500" s="62">
        <v>15.278</v>
      </c>
      <c r="G500" s="62">
        <v>95.489900000000006</v>
      </c>
      <c r="H500" s="62">
        <v>108.18989999999999</v>
      </c>
    </row>
    <row r="501" spans="1:8" x14ac:dyDescent="0.15">
      <c r="A501" s="62" t="s">
        <v>11</v>
      </c>
      <c r="B501" s="62">
        <v>10005</v>
      </c>
      <c r="C501" s="62">
        <v>16</v>
      </c>
      <c r="D501" s="62">
        <v>6.8117999999999999</v>
      </c>
      <c r="E501" s="62">
        <v>294.05</v>
      </c>
      <c r="F501" s="62">
        <v>15.175000000000001</v>
      </c>
      <c r="G501" s="62">
        <v>94.843100000000007</v>
      </c>
      <c r="H501" s="62">
        <v>108.81010000000001</v>
      </c>
    </row>
    <row r="502" spans="1:8" x14ac:dyDescent="0.15">
      <c r="A502" s="62" t="s">
        <v>11</v>
      </c>
      <c r="B502" s="62">
        <v>10005</v>
      </c>
      <c r="C502" s="62">
        <v>16</v>
      </c>
      <c r="D502" s="62">
        <v>6.7645</v>
      </c>
      <c r="E502" s="62">
        <v>296.10329999999999</v>
      </c>
      <c r="F502" s="62">
        <v>15.281000000000001</v>
      </c>
      <c r="G502" s="62">
        <v>95.505399999999995</v>
      </c>
      <c r="H502" s="62">
        <v>108.1704</v>
      </c>
    </row>
    <row r="503" spans="1:8" x14ac:dyDescent="0.15">
      <c r="A503" s="62" t="s">
        <v>11</v>
      </c>
      <c r="B503" s="62">
        <v>10005</v>
      </c>
      <c r="C503" s="62">
        <v>16</v>
      </c>
      <c r="D503" s="62">
        <v>6.8188000000000004</v>
      </c>
      <c r="E503" s="62">
        <v>293.74700000000001</v>
      </c>
      <c r="F503" s="62">
        <v>15.159000000000001</v>
      </c>
      <c r="G503" s="62">
        <v>94.745400000000004</v>
      </c>
      <c r="H503" s="62">
        <v>108.9297</v>
      </c>
    </row>
    <row r="504" spans="1:8" x14ac:dyDescent="0.15">
      <c r="A504" s="62" t="s">
        <v>11</v>
      </c>
      <c r="B504" s="62">
        <v>10005</v>
      </c>
      <c r="C504" s="62">
        <v>16</v>
      </c>
      <c r="D504" s="62">
        <v>6.8391000000000002</v>
      </c>
      <c r="E504" s="62">
        <v>292.87290000000002</v>
      </c>
      <c r="F504" s="62">
        <v>15.114000000000001</v>
      </c>
      <c r="G504" s="62">
        <v>94.463499999999996</v>
      </c>
      <c r="H504" s="62">
        <v>109.23</v>
      </c>
    </row>
    <row r="505" spans="1:8" x14ac:dyDescent="0.15">
      <c r="A505" s="62" t="s">
        <v>11</v>
      </c>
      <c r="B505" s="62">
        <v>10005</v>
      </c>
      <c r="C505" s="62">
        <v>16</v>
      </c>
      <c r="D505" s="62">
        <v>6.7651000000000003</v>
      </c>
      <c r="E505" s="62">
        <v>296.07690000000002</v>
      </c>
      <c r="F505" s="62">
        <v>15.28</v>
      </c>
      <c r="G505" s="62">
        <v>95.496899999999997</v>
      </c>
      <c r="H505" s="62">
        <v>108.1802</v>
      </c>
    </row>
    <row r="506" spans="1:8" x14ac:dyDescent="0.15">
      <c r="A506" s="62" t="s">
        <v>11</v>
      </c>
      <c r="B506" s="62">
        <v>10005</v>
      </c>
      <c r="C506" s="62">
        <v>16</v>
      </c>
      <c r="D506" s="62">
        <v>6.8095999999999997</v>
      </c>
      <c r="E506" s="62">
        <v>294.14269999999999</v>
      </c>
      <c r="F506" s="62">
        <v>15.18</v>
      </c>
      <c r="G506" s="62">
        <v>94.873000000000005</v>
      </c>
      <c r="H506" s="62">
        <v>108.77979999999999</v>
      </c>
    </row>
    <row r="507" spans="1:8" x14ac:dyDescent="0.15">
      <c r="A507" s="62" t="s">
        <v>11</v>
      </c>
      <c r="B507" s="62">
        <v>10005</v>
      </c>
      <c r="C507" s="62">
        <v>16</v>
      </c>
      <c r="D507" s="62">
        <v>6.7758000000000003</v>
      </c>
      <c r="E507" s="62">
        <v>295.6112</v>
      </c>
      <c r="F507" s="62">
        <v>15.255000000000001</v>
      </c>
      <c r="G507" s="62">
        <v>95.346699999999998</v>
      </c>
      <c r="H507" s="62">
        <v>108.3203</v>
      </c>
    </row>
    <row r="508" spans="1:8" x14ac:dyDescent="0.15">
      <c r="A508" s="62" t="s">
        <v>11</v>
      </c>
      <c r="B508" s="62">
        <v>10005</v>
      </c>
      <c r="C508" s="62">
        <v>16</v>
      </c>
      <c r="D508" s="62">
        <v>6.8254999999999999</v>
      </c>
      <c r="E508" s="62">
        <v>293.45670000000001</v>
      </c>
      <c r="F508" s="62">
        <v>15.144</v>
      </c>
      <c r="G508" s="62">
        <v>94.651799999999994</v>
      </c>
      <c r="H508" s="62">
        <v>109.02979999999999</v>
      </c>
    </row>
    <row r="509" spans="1:8" x14ac:dyDescent="0.15">
      <c r="A509" s="62" t="s">
        <v>11</v>
      </c>
      <c r="B509" s="62">
        <v>10005</v>
      </c>
      <c r="C509" s="62">
        <v>16</v>
      </c>
      <c r="D509" s="62">
        <v>6.7648000000000001</v>
      </c>
      <c r="E509" s="62">
        <v>296.09309999999999</v>
      </c>
      <c r="F509" s="62">
        <v>15.28</v>
      </c>
      <c r="G509" s="62">
        <v>95.502099999999999</v>
      </c>
      <c r="H509" s="62">
        <v>108.1699</v>
      </c>
    </row>
    <row r="510" spans="1:8" x14ac:dyDescent="0.15">
      <c r="A510" s="62" t="s">
        <v>11</v>
      </c>
      <c r="B510" s="62">
        <v>10005</v>
      </c>
      <c r="C510" s="62">
        <v>16</v>
      </c>
      <c r="D510" s="62">
        <v>6.8090999999999999</v>
      </c>
      <c r="E510" s="62">
        <v>294.16329999999999</v>
      </c>
      <c r="F510" s="62">
        <v>15.180999999999999</v>
      </c>
      <c r="G510" s="62">
        <v>94.879599999999996</v>
      </c>
      <c r="H510" s="62">
        <v>108.77</v>
      </c>
    </row>
    <row r="511" spans="1:8" x14ac:dyDescent="0.15">
      <c r="A511" s="62" t="s">
        <v>11</v>
      </c>
      <c r="B511" s="62">
        <v>10005</v>
      </c>
      <c r="C511" s="62">
        <v>16</v>
      </c>
      <c r="D511" s="62">
        <v>6.7906000000000004</v>
      </c>
      <c r="E511" s="62">
        <v>294.96870000000001</v>
      </c>
      <c r="F511" s="62">
        <v>15.222</v>
      </c>
      <c r="G511" s="62">
        <v>95.139399999999995</v>
      </c>
      <c r="H511" s="62">
        <v>108.5</v>
      </c>
    </row>
    <row r="512" spans="1:8" x14ac:dyDescent="0.15">
      <c r="A512" s="62" t="s">
        <v>11</v>
      </c>
      <c r="B512" s="62">
        <v>10005</v>
      </c>
      <c r="C512" s="62">
        <v>16</v>
      </c>
      <c r="D512" s="62">
        <v>6.7740999999999998</v>
      </c>
      <c r="E512" s="62">
        <v>295.68709999999999</v>
      </c>
      <c r="F512" s="62">
        <v>15.259</v>
      </c>
      <c r="G512" s="62">
        <v>95.371099999999998</v>
      </c>
      <c r="H512" s="62">
        <v>108.29</v>
      </c>
    </row>
    <row r="513" spans="1:8" x14ac:dyDescent="0.15">
      <c r="A513" s="62" t="s">
        <v>11</v>
      </c>
      <c r="B513" s="62">
        <v>10005</v>
      </c>
      <c r="C513" s="62">
        <v>16</v>
      </c>
      <c r="D513" s="62">
        <v>6.8136000000000001</v>
      </c>
      <c r="E513" s="62">
        <v>293.97160000000002</v>
      </c>
      <c r="F513" s="62">
        <v>15.170999999999999</v>
      </c>
      <c r="G513" s="62">
        <v>94.817800000000005</v>
      </c>
      <c r="H513" s="62">
        <v>108.8403</v>
      </c>
    </row>
    <row r="514" spans="1:8" x14ac:dyDescent="0.15">
      <c r="A514" s="62" t="s">
        <v>11</v>
      </c>
      <c r="B514" s="62">
        <v>10005</v>
      </c>
      <c r="C514" s="62">
        <v>16</v>
      </c>
      <c r="D514" s="62">
        <v>6.7648999999999999</v>
      </c>
      <c r="E514" s="62">
        <v>296.08659999999998</v>
      </c>
      <c r="F514" s="62">
        <v>15.28</v>
      </c>
      <c r="G514" s="62">
        <v>95.5</v>
      </c>
      <c r="H514" s="62">
        <v>108.1797</v>
      </c>
    </row>
    <row r="515" spans="1:8" x14ac:dyDescent="0.15">
      <c r="A515" s="62" t="s">
        <v>11</v>
      </c>
      <c r="B515" s="62">
        <v>10005</v>
      </c>
      <c r="C515" s="62">
        <v>16</v>
      </c>
      <c r="D515" s="62">
        <v>6.8281999999999998</v>
      </c>
      <c r="E515" s="62">
        <v>293.34429999999998</v>
      </c>
      <c r="F515" s="62">
        <v>15.138</v>
      </c>
      <c r="G515" s="62">
        <v>94.615499999999997</v>
      </c>
      <c r="H515" s="62">
        <v>109.0801</v>
      </c>
    </row>
    <row r="516" spans="1:8" x14ac:dyDescent="0.15">
      <c r="A516" s="62" t="s">
        <v>11</v>
      </c>
      <c r="B516" s="62">
        <v>10005</v>
      </c>
      <c r="C516" s="62">
        <v>16</v>
      </c>
      <c r="D516" s="62">
        <v>6.7888999999999999</v>
      </c>
      <c r="E516" s="62">
        <v>295.0403</v>
      </c>
      <c r="F516" s="62">
        <v>15.226000000000001</v>
      </c>
      <c r="G516" s="62">
        <v>95.162499999999994</v>
      </c>
      <c r="H516" s="62">
        <v>108.51949999999999</v>
      </c>
    </row>
    <row r="517" spans="1:8" x14ac:dyDescent="0.15">
      <c r="A517" s="62" t="s">
        <v>11</v>
      </c>
      <c r="B517" s="62">
        <v>10005</v>
      </c>
      <c r="C517" s="62">
        <v>16</v>
      </c>
      <c r="D517" s="62">
        <v>6.8211000000000004</v>
      </c>
      <c r="E517" s="62">
        <v>293.64839999999998</v>
      </c>
      <c r="F517" s="62">
        <v>15.154</v>
      </c>
      <c r="G517" s="62">
        <v>94.7136</v>
      </c>
      <c r="H517" s="62">
        <v>108.96</v>
      </c>
    </row>
    <row r="518" spans="1:8" x14ac:dyDescent="0.15">
      <c r="A518" s="62" t="s">
        <v>11</v>
      </c>
      <c r="B518" s="62">
        <v>10005</v>
      </c>
      <c r="C518" s="62">
        <v>16</v>
      </c>
      <c r="D518" s="62">
        <v>6.7645999999999997</v>
      </c>
      <c r="E518" s="62">
        <v>296.10129999999998</v>
      </c>
      <c r="F518" s="62">
        <v>15.281000000000001</v>
      </c>
      <c r="G518" s="62">
        <v>95.5047</v>
      </c>
      <c r="H518" s="62">
        <v>108.1709</v>
      </c>
    </row>
    <row r="519" spans="1:8" x14ac:dyDescent="0.15">
      <c r="A519" s="62" t="s">
        <v>11</v>
      </c>
      <c r="B519" s="62">
        <v>10005</v>
      </c>
      <c r="C519" s="62">
        <v>16</v>
      </c>
      <c r="D519" s="62">
        <v>6.8240999999999996</v>
      </c>
      <c r="E519" s="62">
        <v>293.5188</v>
      </c>
      <c r="F519" s="62">
        <v>15.147</v>
      </c>
      <c r="G519" s="62">
        <v>94.671800000000005</v>
      </c>
      <c r="H519" s="62">
        <v>109</v>
      </c>
    </row>
    <row r="520" spans="1:8" x14ac:dyDescent="0.15">
      <c r="A520" s="62" t="s">
        <v>11</v>
      </c>
      <c r="B520" s="62">
        <v>10005</v>
      </c>
      <c r="C520" s="62">
        <v>16</v>
      </c>
      <c r="D520" s="62">
        <v>6.7648999999999999</v>
      </c>
      <c r="E520" s="62">
        <v>296.08670000000001</v>
      </c>
      <c r="F520" s="62">
        <v>15.28</v>
      </c>
      <c r="G520" s="62">
        <v>95.500100000000003</v>
      </c>
      <c r="H520" s="62">
        <v>108.1797</v>
      </c>
    </row>
    <row r="521" spans="1:8" x14ac:dyDescent="0.15">
      <c r="A521" s="62" t="s">
        <v>11</v>
      </c>
      <c r="B521" s="62">
        <v>10005</v>
      </c>
      <c r="C521" s="62">
        <v>16</v>
      </c>
      <c r="D521" s="62">
        <v>6.8188000000000004</v>
      </c>
      <c r="E521" s="62">
        <v>293.7484</v>
      </c>
      <c r="F521" s="62">
        <v>15.159000000000001</v>
      </c>
      <c r="G521" s="62">
        <v>94.745800000000003</v>
      </c>
      <c r="H521" s="62">
        <v>108.9297</v>
      </c>
    </row>
    <row r="522" spans="1:8" x14ac:dyDescent="0.15">
      <c r="A522" s="62" t="s">
        <v>11</v>
      </c>
      <c r="B522" s="62">
        <v>10005</v>
      </c>
      <c r="C522" s="62">
        <v>16</v>
      </c>
      <c r="D522" s="62">
        <v>6.7742000000000004</v>
      </c>
      <c r="E522" s="62">
        <v>295.68049999999999</v>
      </c>
      <c r="F522" s="62">
        <v>15.259</v>
      </c>
      <c r="G522" s="62">
        <v>95.369</v>
      </c>
      <c r="H522" s="62">
        <v>108.2998</v>
      </c>
    </row>
    <row r="523" spans="1:8" x14ac:dyDescent="0.15">
      <c r="A523" s="62" t="s">
        <v>11</v>
      </c>
      <c r="B523" s="62">
        <v>10005</v>
      </c>
      <c r="C523" s="62">
        <v>16</v>
      </c>
      <c r="D523" s="62">
        <v>6.8178000000000001</v>
      </c>
      <c r="E523" s="62">
        <v>293.7921</v>
      </c>
      <c r="F523" s="62">
        <v>15.162000000000001</v>
      </c>
      <c r="G523" s="62">
        <v>94.759900000000002</v>
      </c>
      <c r="H523" s="62">
        <v>108.9199</v>
      </c>
    </row>
    <row r="524" spans="1:8" x14ac:dyDescent="0.15">
      <c r="A524" s="62" t="s">
        <v>11</v>
      </c>
      <c r="B524" s="62">
        <v>10005</v>
      </c>
      <c r="C524" s="62">
        <v>16</v>
      </c>
      <c r="D524" s="62">
        <v>6.8414000000000001</v>
      </c>
      <c r="E524" s="62">
        <v>292.77859999999998</v>
      </c>
      <c r="F524" s="62">
        <v>15.109</v>
      </c>
      <c r="G524" s="62">
        <v>94.433000000000007</v>
      </c>
      <c r="H524" s="62">
        <v>109.25</v>
      </c>
    </row>
    <row r="525" spans="1:8" x14ac:dyDescent="0.15">
      <c r="A525" s="62" t="s">
        <v>11</v>
      </c>
      <c r="B525" s="62">
        <v>10005</v>
      </c>
      <c r="C525" s="62">
        <v>16</v>
      </c>
      <c r="D525" s="62">
        <v>6.7648000000000001</v>
      </c>
      <c r="E525" s="62">
        <v>296.09350000000001</v>
      </c>
      <c r="F525" s="62">
        <v>15.28</v>
      </c>
      <c r="G525" s="62">
        <v>95.502200000000002</v>
      </c>
      <c r="H525" s="62">
        <v>108.1709</v>
      </c>
    </row>
    <row r="526" spans="1:8" x14ac:dyDescent="0.15">
      <c r="A526" s="62" t="s">
        <v>11</v>
      </c>
      <c r="B526" s="62">
        <v>10005</v>
      </c>
      <c r="C526" s="62">
        <v>16</v>
      </c>
      <c r="D526" s="62">
        <v>6.8179999999999996</v>
      </c>
      <c r="E526" s="62">
        <v>293.77999999999997</v>
      </c>
      <c r="F526" s="62">
        <v>15.161</v>
      </c>
      <c r="G526" s="62">
        <v>94.756</v>
      </c>
      <c r="H526" s="62">
        <v>108.9092</v>
      </c>
    </row>
    <row r="527" spans="1:8" x14ac:dyDescent="0.15">
      <c r="A527" s="62" t="s">
        <v>11</v>
      </c>
      <c r="B527" s="62">
        <v>10005</v>
      </c>
      <c r="C527" s="62">
        <v>16</v>
      </c>
      <c r="D527" s="62">
        <v>6.7649999999999997</v>
      </c>
      <c r="E527" s="62">
        <v>296.08159999999998</v>
      </c>
      <c r="F527" s="62">
        <v>15.28</v>
      </c>
      <c r="G527" s="62">
        <v>95.498400000000004</v>
      </c>
      <c r="H527" s="62">
        <v>108.1807</v>
      </c>
    </row>
    <row r="528" spans="1:8" x14ac:dyDescent="0.15">
      <c r="A528" s="62" t="s">
        <v>11</v>
      </c>
      <c r="B528" s="62">
        <v>10005</v>
      </c>
      <c r="C528" s="62">
        <v>16</v>
      </c>
      <c r="D528" s="62">
        <v>6.8276000000000003</v>
      </c>
      <c r="E528" s="62">
        <v>293.37029999999999</v>
      </c>
      <c r="F528" s="62">
        <v>15.14</v>
      </c>
      <c r="G528" s="62">
        <v>94.623900000000006</v>
      </c>
      <c r="H528" s="62">
        <v>109.01949999999999</v>
      </c>
    </row>
    <row r="529" spans="1:8" x14ac:dyDescent="0.15">
      <c r="A529" s="62" t="s">
        <v>11</v>
      </c>
      <c r="B529" s="62">
        <v>10005</v>
      </c>
      <c r="C529" s="62">
        <v>16</v>
      </c>
      <c r="D529" s="62">
        <v>6.7648999999999999</v>
      </c>
      <c r="E529" s="62">
        <v>296.08699999999999</v>
      </c>
      <c r="F529" s="62">
        <v>15.28</v>
      </c>
      <c r="G529" s="62">
        <v>95.500100000000003</v>
      </c>
      <c r="H529" s="62">
        <v>108.1807</v>
      </c>
    </row>
    <row r="530" spans="1:8" x14ac:dyDescent="0.15">
      <c r="A530" s="62" t="s">
        <v>11</v>
      </c>
      <c r="B530" s="62">
        <v>10005</v>
      </c>
      <c r="C530" s="62">
        <v>16</v>
      </c>
      <c r="D530" s="62">
        <v>6.8155000000000001</v>
      </c>
      <c r="E530" s="62">
        <v>293.89100000000002</v>
      </c>
      <c r="F530" s="62">
        <v>15.167</v>
      </c>
      <c r="G530" s="62">
        <v>94.791799999999995</v>
      </c>
      <c r="H530" s="62">
        <v>108.8691</v>
      </c>
    </row>
    <row r="531" spans="1:8" x14ac:dyDescent="0.15">
      <c r="A531" s="62" t="s">
        <v>11</v>
      </c>
      <c r="B531" s="62">
        <v>10005</v>
      </c>
      <c r="C531" s="62">
        <v>16</v>
      </c>
      <c r="D531" s="62">
        <v>6.7649999999999997</v>
      </c>
      <c r="E531" s="62">
        <v>296.08499999999998</v>
      </c>
      <c r="F531" s="62">
        <v>15.28</v>
      </c>
      <c r="G531" s="62">
        <v>95.499499999999998</v>
      </c>
      <c r="H531" s="62">
        <v>108.1807</v>
      </c>
    </row>
    <row r="532" spans="1:8" x14ac:dyDescent="0.15">
      <c r="A532" s="62" t="s">
        <v>11</v>
      </c>
      <c r="B532" s="62">
        <v>10005</v>
      </c>
      <c r="C532" s="62">
        <v>16</v>
      </c>
      <c r="D532" s="62">
        <v>6.8197999999999999</v>
      </c>
      <c r="E532" s="62">
        <v>293.7038</v>
      </c>
      <c r="F532" s="62">
        <v>15.157</v>
      </c>
      <c r="G532" s="62">
        <v>94.731499999999997</v>
      </c>
      <c r="H532" s="62">
        <v>108.9395</v>
      </c>
    </row>
    <row r="533" spans="1:8" x14ac:dyDescent="0.15">
      <c r="A533" s="62" t="s">
        <v>11</v>
      </c>
      <c r="B533" s="62">
        <v>10005</v>
      </c>
      <c r="C533" s="62">
        <v>16</v>
      </c>
      <c r="D533" s="62">
        <v>6.8346</v>
      </c>
      <c r="E533" s="62">
        <v>293.06959999999998</v>
      </c>
      <c r="F533" s="62">
        <v>15.124000000000001</v>
      </c>
      <c r="G533" s="62">
        <v>94.526899999999998</v>
      </c>
      <c r="H533" s="62">
        <v>109.12990000000001</v>
      </c>
    </row>
    <row r="534" spans="1:8" x14ac:dyDescent="0.15">
      <c r="A534" s="62" t="s">
        <v>11</v>
      </c>
      <c r="B534" s="62">
        <v>10005</v>
      </c>
      <c r="C534" s="62">
        <v>16</v>
      </c>
      <c r="D534" s="62">
        <v>6.7647000000000004</v>
      </c>
      <c r="E534" s="62">
        <v>296.09410000000003</v>
      </c>
      <c r="F534" s="62">
        <v>15.28</v>
      </c>
      <c r="G534" s="62">
        <v>95.502399999999994</v>
      </c>
      <c r="H534" s="62">
        <v>108.1807</v>
      </c>
    </row>
    <row r="535" spans="1:8" x14ac:dyDescent="0.15">
      <c r="A535" s="62" t="s">
        <v>11</v>
      </c>
      <c r="B535" s="62">
        <v>10005</v>
      </c>
      <c r="C535" s="62">
        <v>16</v>
      </c>
      <c r="D535" s="62">
        <v>6.8133999999999997</v>
      </c>
      <c r="E535" s="62">
        <v>293.97930000000002</v>
      </c>
      <c r="F535" s="62">
        <v>15.170999999999999</v>
      </c>
      <c r="G535" s="62">
        <v>94.820300000000003</v>
      </c>
      <c r="H535" s="62">
        <v>108.8398</v>
      </c>
    </row>
    <row r="536" spans="1:8" x14ac:dyDescent="0.15">
      <c r="A536" s="62" t="s">
        <v>11</v>
      </c>
      <c r="B536" s="62">
        <v>10005</v>
      </c>
      <c r="C536" s="62">
        <v>16</v>
      </c>
      <c r="D536" s="62">
        <v>6.7652999999999999</v>
      </c>
      <c r="E536" s="62">
        <v>296.07040000000001</v>
      </c>
      <c r="F536" s="62">
        <v>15.279</v>
      </c>
      <c r="G536" s="62">
        <v>95.494799999999998</v>
      </c>
      <c r="H536" s="62">
        <v>108.1895</v>
      </c>
    </row>
    <row r="537" spans="1:8" x14ac:dyDescent="0.15">
      <c r="A537" s="62" t="s">
        <v>11</v>
      </c>
      <c r="B537" s="62">
        <v>10005</v>
      </c>
      <c r="C537" s="62">
        <v>16</v>
      </c>
      <c r="D537" s="62">
        <v>9.3552</v>
      </c>
      <c r="E537" s="62">
        <v>214.1054</v>
      </c>
      <c r="F537" s="62">
        <v>11.048999999999999</v>
      </c>
      <c r="G537" s="62">
        <v>69.057699999999997</v>
      </c>
      <c r="H537" s="62">
        <v>146.87010000000001</v>
      </c>
    </row>
    <row r="538" spans="1:8" x14ac:dyDescent="0.15">
      <c r="A538" s="62" t="s">
        <v>11</v>
      </c>
      <c r="B538" s="62">
        <v>10005</v>
      </c>
      <c r="C538" s="62">
        <v>16</v>
      </c>
      <c r="D538" s="62">
        <v>12.0532</v>
      </c>
      <c r="E538" s="62">
        <v>166.18010000000001</v>
      </c>
      <c r="F538" s="62">
        <v>8.5760000000000005</v>
      </c>
      <c r="G538" s="62">
        <v>53.599899999999998</v>
      </c>
      <c r="H538" s="62">
        <v>182.5</v>
      </c>
    </row>
    <row r="539" spans="1:8" x14ac:dyDescent="0.15">
      <c r="A539" s="62" t="s">
        <v>11</v>
      </c>
      <c r="B539" s="62">
        <v>10005</v>
      </c>
      <c r="C539" s="62">
        <v>16</v>
      </c>
      <c r="D539" s="62">
        <v>9.4454999999999991</v>
      </c>
      <c r="E539" s="62">
        <v>212.05959999999999</v>
      </c>
      <c r="F539" s="62">
        <v>10.944000000000001</v>
      </c>
      <c r="G539" s="62">
        <v>68.397900000000007</v>
      </c>
      <c r="H539" s="62">
        <v>145.14060000000001</v>
      </c>
    </row>
    <row r="540" spans="1:8" x14ac:dyDescent="0.15">
      <c r="A540" s="62" t="s">
        <v>11</v>
      </c>
      <c r="B540" s="62">
        <v>10005</v>
      </c>
      <c r="C540" s="62">
        <v>16</v>
      </c>
      <c r="D540" s="62">
        <v>6.7788000000000004</v>
      </c>
      <c r="E540" s="62">
        <v>295.48200000000003</v>
      </c>
      <c r="F540" s="62">
        <v>15.249000000000001</v>
      </c>
      <c r="G540" s="62">
        <v>95.305000000000007</v>
      </c>
      <c r="H540" s="62">
        <v>108.4102</v>
      </c>
    </row>
    <row r="541" spans="1:8" x14ac:dyDescent="0.15">
      <c r="A541" s="62" t="s">
        <v>11</v>
      </c>
      <c r="B541" s="62">
        <v>10005</v>
      </c>
      <c r="C541" s="62">
        <v>16</v>
      </c>
      <c r="D541" s="62">
        <v>6.8085000000000004</v>
      </c>
      <c r="E541" s="62">
        <v>294.18950000000001</v>
      </c>
      <c r="F541" s="62">
        <v>15.182</v>
      </c>
      <c r="G541" s="62">
        <v>94.888099999999994</v>
      </c>
      <c r="H541" s="62">
        <v>108.7598</v>
      </c>
    </row>
    <row r="542" spans="1:8" x14ac:dyDescent="0.15">
      <c r="A542" s="62" t="s">
        <v>11</v>
      </c>
      <c r="B542" s="62">
        <v>10005</v>
      </c>
      <c r="C542" s="62">
        <v>16</v>
      </c>
      <c r="D542" s="62">
        <v>6.7789000000000001</v>
      </c>
      <c r="E542" s="62">
        <v>295.47539999999998</v>
      </c>
      <c r="F542" s="62">
        <v>15.247999999999999</v>
      </c>
      <c r="G542" s="62">
        <v>95.302899999999994</v>
      </c>
      <c r="H542" s="62">
        <v>108.3994</v>
      </c>
    </row>
    <row r="543" spans="1:8" x14ac:dyDescent="0.15">
      <c r="A543" s="62" t="s">
        <v>11</v>
      </c>
      <c r="B543" s="62">
        <v>10005</v>
      </c>
      <c r="C543" s="62">
        <v>16</v>
      </c>
      <c r="D543" s="62">
        <v>6.8118999999999996</v>
      </c>
      <c r="E543" s="62">
        <v>294.0428</v>
      </c>
      <c r="F543" s="62">
        <v>15.175000000000001</v>
      </c>
      <c r="G543" s="62">
        <v>94.840800000000002</v>
      </c>
      <c r="H543" s="62">
        <v>108.8105</v>
      </c>
    </row>
    <row r="544" spans="1:8" x14ac:dyDescent="0.15">
      <c r="A544" s="62" t="s">
        <v>11</v>
      </c>
      <c r="B544" s="62">
        <v>10005</v>
      </c>
      <c r="C544" s="62">
        <v>16</v>
      </c>
      <c r="D544" s="62">
        <v>6.8064999999999998</v>
      </c>
      <c r="E544" s="62">
        <v>294.27620000000002</v>
      </c>
      <c r="F544" s="62">
        <v>15.186999999999999</v>
      </c>
      <c r="G544" s="62">
        <v>94.9161</v>
      </c>
      <c r="H544" s="62">
        <v>108.79</v>
      </c>
    </row>
    <row r="545" spans="1:8" x14ac:dyDescent="0.15">
      <c r="A545" s="62" t="s">
        <v>11</v>
      </c>
      <c r="B545" s="62">
        <v>10005</v>
      </c>
      <c r="C545" s="62">
        <v>16</v>
      </c>
      <c r="D545" s="62">
        <v>6.7876000000000003</v>
      </c>
      <c r="E545" s="62">
        <v>295.09559999999999</v>
      </c>
      <c r="F545" s="62">
        <v>15.228999999999999</v>
      </c>
      <c r="G545" s="62">
        <v>95.180400000000006</v>
      </c>
      <c r="H545" s="62">
        <v>108.4795</v>
      </c>
    </row>
    <row r="546" spans="1:8" x14ac:dyDescent="0.15">
      <c r="A546" s="62" t="s">
        <v>11</v>
      </c>
      <c r="B546" s="62">
        <v>10005</v>
      </c>
      <c r="C546" s="62">
        <v>16</v>
      </c>
      <c r="D546" s="62">
        <v>6.8293999999999997</v>
      </c>
      <c r="E546" s="62">
        <v>293.28910000000002</v>
      </c>
      <c r="F546" s="62">
        <v>15.135999999999999</v>
      </c>
      <c r="G546" s="62">
        <v>94.597700000000003</v>
      </c>
      <c r="H546" s="62">
        <v>109.1006</v>
      </c>
    </row>
    <row r="547" spans="1:8" x14ac:dyDescent="0.15">
      <c r="A547" s="62" t="s">
        <v>11</v>
      </c>
      <c r="B547" s="62">
        <v>10010</v>
      </c>
      <c r="C547" s="62">
        <v>1</v>
      </c>
      <c r="D547" s="62">
        <v>102.66030000000001</v>
      </c>
      <c r="E547" s="62">
        <v>19.540199999999999</v>
      </c>
      <c r="F547" s="62">
        <v>1</v>
      </c>
      <c r="G547" s="62">
        <v>100</v>
      </c>
      <c r="H547" s="62">
        <v>102.71</v>
      </c>
    </row>
    <row r="548" spans="1:8" x14ac:dyDescent="0.15">
      <c r="A548" s="62" t="s">
        <v>11</v>
      </c>
      <c r="B548" s="62">
        <v>10010</v>
      </c>
      <c r="C548" s="62">
        <v>1</v>
      </c>
      <c r="D548" s="62">
        <v>102.4997</v>
      </c>
      <c r="E548" s="62">
        <v>19.570799999999998</v>
      </c>
      <c r="F548" s="62">
        <v>1.002</v>
      </c>
      <c r="G548" s="62">
        <v>100.1566</v>
      </c>
      <c r="H548" s="62">
        <v>102.55</v>
      </c>
    </row>
    <row r="549" spans="1:8" x14ac:dyDescent="0.15">
      <c r="A549" s="62" t="s">
        <v>11</v>
      </c>
      <c r="B549" s="62">
        <v>10010</v>
      </c>
      <c r="C549" s="62">
        <v>1</v>
      </c>
      <c r="D549" s="62">
        <v>102.5179</v>
      </c>
      <c r="E549" s="62">
        <v>19.567399999999999</v>
      </c>
      <c r="F549" s="62">
        <v>1.0009999999999999</v>
      </c>
      <c r="G549" s="62">
        <v>100.13890000000001</v>
      </c>
      <c r="H549" s="62">
        <v>102.56</v>
      </c>
    </row>
    <row r="550" spans="1:8" x14ac:dyDescent="0.15">
      <c r="A550" s="62" t="s">
        <v>11</v>
      </c>
      <c r="B550" s="62">
        <v>10010</v>
      </c>
      <c r="C550" s="62">
        <v>1</v>
      </c>
      <c r="D550" s="62">
        <v>102.5188</v>
      </c>
      <c r="E550" s="62">
        <v>19.5672</v>
      </c>
      <c r="F550" s="62">
        <v>1.0009999999999999</v>
      </c>
      <c r="G550" s="62">
        <v>100.13800000000001</v>
      </c>
      <c r="H550" s="62">
        <v>102.57</v>
      </c>
    </row>
    <row r="551" spans="1:8" x14ac:dyDescent="0.15">
      <c r="A551" s="62" t="s">
        <v>11</v>
      </c>
      <c r="B551" s="62">
        <v>10010</v>
      </c>
      <c r="C551" s="62">
        <v>1</v>
      </c>
      <c r="D551" s="62">
        <v>102.5223</v>
      </c>
      <c r="E551" s="62">
        <v>19.566500000000001</v>
      </c>
      <c r="F551" s="62">
        <v>1.0009999999999999</v>
      </c>
      <c r="G551" s="62">
        <v>100.13460000000001</v>
      </c>
      <c r="H551" s="62">
        <v>102.56</v>
      </c>
    </row>
    <row r="552" spans="1:8" x14ac:dyDescent="0.15">
      <c r="A552" s="62" t="s">
        <v>11</v>
      </c>
      <c r="B552" s="62">
        <v>10010</v>
      </c>
      <c r="C552" s="62">
        <v>1</v>
      </c>
      <c r="D552" s="62">
        <v>102.52330000000001</v>
      </c>
      <c r="E552" s="62">
        <v>19.566400000000002</v>
      </c>
      <c r="F552" s="62">
        <v>1.0009999999999999</v>
      </c>
      <c r="G552" s="62">
        <v>100.1336</v>
      </c>
      <c r="H552" s="62">
        <v>102.56</v>
      </c>
    </row>
    <row r="553" spans="1:8" x14ac:dyDescent="0.15">
      <c r="A553" s="62" t="s">
        <v>11</v>
      </c>
      <c r="B553" s="62">
        <v>10010</v>
      </c>
      <c r="C553" s="62">
        <v>15</v>
      </c>
      <c r="D553" s="62">
        <v>7.1741999999999999</v>
      </c>
      <c r="E553" s="62">
        <v>279.61509999999998</v>
      </c>
      <c r="F553" s="62">
        <v>14.31</v>
      </c>
      <c r="G553" s="62">
        <v>95.398099999999999</v>
      </c>
      <c r="H553" s="62">
        <v>107.56</v>
      </c>
    </row>
    <row r="554" spans="1:8" x14ac:dyDescent="0.15">
      <c r="A554" s="62" t="s">
        <v>11</v>
      </c>
      <c r="B554" s="62">
        <v>10010</v>
      </c>
      <c r="C554" s="62">
        <v>15</v>
      </c>
      <c r="D554" s="62">
        <v>7.1706000000000003</v>
      </c>
      <c r="E554" s="62">
        <v>279.75319999999999</v>
      </c>
      <c r="F554" s="62">
        <v>14.317</v>
      </c>
      <c r="G554" s="62">
        <v>95.4452</v>
      </c>
      <c r="H554" s="62">
        <v>107.49</v>
      </c>
    </row>
    <row r="555" spans="1:8" x14ac:dyDescent="0.15">
      <c r="A555" s="62" t="s">
        <v>11</v>
      </c>
      <c r="B555" s="62">
        <v>10010</v>
      </c>
      <c r="C555" s="62">
        <v>15</v>
      </c>
      <c r="D555" s="62">
        <v>7.1597</v>
      </c>
      <c r="E555" s="62">
        <v>280.1807</v>
      </c>
      <c r="F555" s="62">
        <v>14.339</v>
      </c>
      <c r="G555" s="62">
        <v>95.590999999999994</v>
      </c>
      <c r="H555" s="62">
        <v>107.34</v>
      </c>
    </row>
    <row r="556" spans="1:8" x14ac:dyDescent="0.15">
      <c r="A556" s="62" t="s">
        <v>11</v>
      </c>
      <c r="B556" s="62">
        <v>10010</v>
      </c>
      <c r="C556" s="62">
        <v>15</v>
      </c>
      <c r="D556" s="62">
        <v>7.1764999999999999</v>
      </c>
      <c r="E556" s="62">
        <v>279.52589999999998</v>
      </c>
      <c r="F556" s="62">
        <v>14.305</v>
      </c>
      <c r="G556" s="62">
        <v>95.367599999999996</v>
      </c>
      <c r="H556" s="62">
        <v>107.58</v>
      </c>
    </row>
    <row r="557" spans="1:8" x14ac:dyDescent="0.15">
      <c r="A557" s="62" t="s">
        <v>11</v>
      </c>
      <c r="B557" s="62">
        <v>10010</v>
      </c>
      <c r="C557" s="62">
        <v>15</v>
      </c>
      <c r="D557" s="62">
        <v>7.1630000000000003</v>
      </c>
      <c r="E557" s="62">
        <v>280.04969999999997</v>
      </c>
      <c r="F557" s="62">
        <v>14.332000000000001</v>
      </c>
      <c r="G557" s="62">
        <v>95.546300000000002</v>
      </c>
      <c r="H557" s="62">
        <v>107.39</v>
      </c>
    </row>
    <row r="558" spans="1:8" x14ac:dyDescent="0.15">
      <c r="A558" s="62" t="s">
        <v>11</v>
      </c>
      <c r="B558" s="62">
        <v>10010</v>
      </c>
      <c r="C558" s="62">
        <v>15</v>
      </c>
      <c r="D558" s="62">
        <v>7.1791999999999998</v>
      </c>
      <c r="E558" s="62">
        <v>279.4187</v>
      </c>
      <c r="F558" s="62">
        <v>14.3</v>
      </c>
      <c r="G558" s="62">
        <v>95.331100000000006</v>
      </c>
      <c r="H558" s="62">
        <v>107.7</v>
      </c>
    </row>
    <row r="559" spans="1:8" x14ac:dyDescent="0.15">
      <c r="A559" s="62" t="s">
        <v>11</v>
      </c>
      <c r="B559" s="62">
        <v>10010</v>
      </c>
      <c r="C559" s="62">
        <v>15</v>
      </c>
      <c r="D559" s="62">
        <v>7.1852999999999998</v>
      </c>
      <c r="E559" s="62">
        <v>279.18119999999999</v>
      </c>
      <c r="F559" s="62">
        <v>14.288</v>
      </c>
      <c r="G559" s="62">
        <v>95.25</v>
      </c>
      <c r="H559" s="62">
        <v>107.81010000000001</v>
      </c>
    </row>
    <row r="560" spans="1:8" x14ac:dyDescent="0.15">
      <c r="A560" s="62" t="s">
        <v>11</v>
      </c>
      <c r="B560" s="62">
        <v>10010</v>
      </c>
      <c r="C560" s="62">
        <v>15</v>
      </c>
      <c r="D560" s="62">
        <v>7.1852</v>
      </c>
      <c r="E560" s="62">
        <v>279.18619999999999</v>
      </c>
      <c r="F560" s="62">
        <v>14.288</v>
      </c>
      <c r="G560" s="62">
        <v>95.2517</v>
      </c>
      <c r="H560" s="62">
        <v>107.8199</v>
      </c>
    </row>
    <row r="561" spans="1:8" x14ac:dyDescent="0.15">
      <c r="A561" s="62" t="s">
        <v>11</v>
      </c>
      <c r="B561" s="62">
        <v>10010</v>
      </c>
      <c r="C561" s="62">
        <v>15</v>
      </c>
      <c r="D561" s="62">
        <v>7.1852</v>
      </c>
      <c r="E561" s="62">
        <v>279.1859</v>
      </c>
      <c r="F561" s="62">
        <v>14.288</v>
      </c>
      <c r="G561" s="62">
        <v>95.251599999999996</v>
      </c>
      <c r="H561" s="62">
        <v>107.8201</v>
      </c>
    </row>
    <row r="562" spans="1:8" x14ac:dyDescent="0.15">
      <c r="A562" s="62" t="s">
        <v>11</v>
      </c>
      <c r="B562" s="62">
        <v>10010</v>
      </c>
      <c r="C562" s="62">
        <v>15</v>
      </c>
      <c r="D562" s="62">
        <v>7.1680000000000001</v>
      </c>
      <c r="E562" s="62">
        <v>279.85559999999998</v>
      </c>
      <c r="F562" s="62">
        <v>14.321999999999999</v>
      </c>
      <c r="G562" s="62">
        <v>95.480099999999993</v>
      </c>
      <c r="H562" s="62">
        <v>107.52</v>
      </c>
    </row>
    <row r="563" spans="1:8" x14ac:dyDescent="0.15">
      <c r="A563" s="62" t="s">
        <v>11</v>
      </c>
      <c r="B563" s="62">
        <v>10010</v>
      </c>
      <c r="C563" s="62">
        <v>15</v>
      </c>
      <c r="D563" s="62">
        <v>7.1605999999999996</v>
      </c>
      <c r="E563" s="62">
        <v>280.14499999999998</v>
      </c>
      <c r="F563" s="62">
        <v>14.337</v>
      </c>
      <c r="G563" s="62">
        <v>95.578900000000004</v>
      </c>
      <c r="H563" s="62">
        <v>107.36</v>
      </c>
    </row>
    <row r="564" spans="1:8" x14ac:dyDescent="0.15">
      <c r="A564" s="62" t="s">
        <v>11</v>
      </c>
      <c r="B564" s="62">
        <v>10010</v>
      </c>
      <c r="C564" s="62">
        <v>15</v>
      </c>
      <c r="D564" s="62">
        <v>7.1639999999999997</v>
      </c>
      <c r="E564" s="62">
        <v>280.01220000000001</v>
      </c>
      <c r="F564" s="62">
        <v>14.33</v>
      </c>
      <c r="G564" s="62">
        <v>95.533500000000004</v>
      </c>
      <c r="H564" s="62">
        <v>107.4</v>
      </c>
    </row>
    <row r="565" spans="1:8" x14ac:dyDescent="0.15">
      <c r="A565" s="62" t="s">
        <v>11</v>
      </c>
      <c r="B565" s="62">
        <v>10010</v>
      </c>
      <c r="C565" s="62">
        <v>15</v>
      </c>
      <c r="D565" s="62">
        <v>7.1593</v>
      </c>
      <c r="E565" s="62">
        <v>280.1943</v>
      </c>
      <c r="F565" s="62">
        <v>14.339</v>
      </c>
      <c r="G565" s="62">
        <v>95.595699999999994</v>
      </c>
      <c r="H565" s="62">
        <v>107.33</v>
      </c>
    </row>
    <row r="566" spans="1:8" x14ac:dyDescent="0.15">
      <c r="A566" s="62" t="s">
        <v>11</v>
      </c>
      <c r="B566" s="62">
        <v>10010</v>
      </c>
      <c r="C566" s="62">
        <v>15</v>
      </c>
      <c r="D566" s="62">
        <v>7.1753999999999998</v>
      </c>
      <c r="E566" s="62">
        <v>279.56810000000002</v>
      </c>
      <c r="F566" s="62">
        <v>14.307</v>
      </c>
      <c r="G566" s="62">
        <v>95.382000000000005</v>
      </c>
      <c r="H566" s="62">
        <v>107.6499</v>
      </c>
    </row>
    <row r="567" spans="1:8" x14ac:dyDescent="0.15">
      <c r="A567" s="62" t="s">
        <v>11</v>
      </c>
      <c r="B567" s="62">
        <v>10010</v>
      </c>
      <c r="C567" s="62">
        <v>15</v>
      </c>
      <c r="D567" s="62">
        <v>7.1847000000000003</v>
      </c>
      <c r="E567" s="62">
        <v>279.20710000000003</v>
      </c>
      <c r="F567" s="62">
        <v>14.289</v>
      </c>
      <c r="G567" s="62">
        <v>95.258899999999997</v>
      </c>
      <c r="H567" s="62">
        <v>107.81010000000001</v>
      </c>
    </row>
    <row r="568" spans="1:8" x14ac:dyDescent="0.15">
      <c r="A568" s="62" t="s">
        <v>11</v>
      </c>
      <c r="B568" s="62">
        <v>10010</v>
      </c>
      <c r="C568" s="62">
        <v>15</v>
      </c>
      <c r="D568" s="62">
        <v>7.1845999999999997</v>
      </c>
      <c r="E568" s="62">
        <v>279.20760000000001</v>
      </c>
      <c r="F568" s="62">
        <v>14.289</v>
      </c>
      <c r="G568" s="62">
        <v>95.259</v>
      </c>
      <c r="H568" s="62">
        <v>107.8</v>
      </c>
    </row>
    <row r="569" spans="1:8" x14ac:dyDescent="0.15">
      <c r="A569" s="62" t="s">
        <v>11</v>
      </c>
      <c r="B569" s="62">
        <v>10010</v>
      </c>
      <c r="C569" s="62">
        <v>15</v>
      </c>
      <c r="D569" s="62">
        <v>7.1672000000000002</v>
      </c>
      <c r="E569" s="62">
        <v>279.887</v>
      </c>
      <c r="F569" s="62">
        <v>14.324</v>
      </c>
      <c r="G569" s="62">
        <v>95.490799999999993</v>
      </c>
      <c r="H569" s="62">
        <v>107.52</v>
      </c>
    </row>
    <row r="570" spans="1:8" x14ac:dyDescent="0.15">
      <c r="A570" s="62" t="s">
        <v>11</v>
      </c>
      <c r="B570" s="62">
        <v>10010</v>
      </c>
      <c r="C570" s="62">
        <v>15</v>
      </c>
      <c r="D570" s="62">
        <v>7.1848000000000001</v>
      </c>
      <c r="E570" s="62">
        <v>279.20260000000002</v>
      </c>
      <c r="F570" s="62">
        <v>14.289</v>
      </c>
      <c r="G570" s="62">
        <v>95.257300000000001</v>
      </c>
      <c r="H570" s="62">
        <v>107.78</v>
      </c>
    </row>
    <row r="571" spans="1:8" x14ac:dyDescent="0.15">
      <c r="A571" s="62" t="s">
        <v>11</v>
      </c>
      <c r="B571" s="62">
        <v>10010</v>
      </c>
      <c r="C571" s="62">
        <v>15</v>
      </c>
      <c r="D571" s="62">
        <v>7.1848000000000001</v>
      </c>
      <c r="E571" s="62">
        <v>279.20080000000002</v>
      </c>
      <c r="F571" s="62">
        <v>14.289</v>
      </c>
      <c r="G571" s="62">
        <v>95.256699999999995</v>
      </c>
      <c r="H571" s="62">
        <v>107.79</v>
      </c>
    </row>
    <row r="572" spans="1:8" x14ac:dyDescent="0.15">
      <c r="A572" s="62" t="s">
        <v>11</v>
      </c>
      <c r="B572" s="62">
        <v>10010</v>
      </c>
      <c r="C572" s="62">
        <v>15</v>
      </c>
      <c r="D572" s="62">
        <v>7.1745999999999999</v>
      </c>
      <c r="E572" s="62">
        <v>279.59949999999998</v>
      </c>
      <c r="F572" s="62">
        <v>14.308999999999999</v>
      </c>
      <c r="G572" s="62">
        <v>95.392700000000005</v>
      </c>
      <c r="H572" s="62">
        <v>107.5598</v>
      </c>
    </row>
    <row r="573" spans="1:8" x14ac:dyDescent="0.15">
      <c r="A573" s="62" t="s">
        <v>11</v>
      </c>
      <c r="B573" s="62">
        <v>10010</v>
      </c>
      <c r="C573" s="62">
        <v>15</v>
      </c>
      <c r="D573" s="62">
        <v>7.1742999999999997</v>
      </c>
      <c r="E573" s="62">
        <v>279.61160000000001</v>
      </c>
      <c r="F573" s="62">
        <v>14.31</v>
      </c>
      <c r="G573" s="62">
        <v>95.396900000000002</v>
      </c>
      <c r="H573" s="62">
        <v>107.59010000000001</v>
      </c>
    </row>
    <row r="574" spans="1:8" x14ac:dyDescent="0.15">
      <c r="A574" s="62" t="s">
        <v>11</v>
      </c>
      <c r="B574" s="62">
        <v>10010</v>
      </c>
      <c r="C574" s="62">
        <v>15</v>
      </c>
      <c r="D574" s="62">
        <v>7.1858000000000004</v>
      </c>
      <c r="E574" s="62">
        <v>279.16379999999998</v>
      </c>
      <c r="F574" s="62">
        <v>14.287000000000001</v>
      </c>
      <c r="G574" s="62">
        <v>95.244100000000003</v>
      </c>
      <c r="H574" s="62">
        <v>107.8201</v>
      </c>
    </row>
    <row r="575" spans="1:8" x14ac:dyDescent="0.15">
      <c r="A575" s="62" t="s">
        <v>11</v>
      </c>
      <c r="B575" s="62">
        <v>10010</v>
      </c>
      <c r="C575" s="62">
        <v>15</v>
      </c>
      <c r="D575" s="62">
        <v>7.1704999999999997</v>
      </c>
      <c r="E575" s="62">
        <v>279.75630000000001</v>
      </c>
      <c r="F575" s="62">
        <v>14.317</v>
      </c>
      <c r="G575" s="62">
        <v>95.446200000000005</v>
      </c>
      <c r="H575" s="62">
        <v>107.5598</v>
      </c>
    </row>
    <row r="576" spans="1:8" x14ac:dyDescent="0.15">
      <c r="A576" s="62" t="s">
        <v>11</v>
      </c>
      <c r="B576" s="62">
        <v>10010</v>
      </c>
      <c r="C576" s="62">
        <v>15</v>
      </c>
      <c r="D576" s="62">
        <v>7.1891999999999996</v>
      </c>
      <c r="E576" s="62">
        <v>279.03050000000002</v>
      </c>
      <c r="F576" s="62">
        <v>14.28</v>
      </c>
      <c r="G576" s="62">
        <v>95.198599999999999</v>
      </c>
      <c r="H576" s="62">
        <v>107.78</v>
      </c>
    </row>
    <row r="577" spans="1:8" x14ac:dyDescent="0.15">
      <c r="A577" s="62" t="s">
        <v>11</v>
      </c>
      <c r="B577" s="62">
        <v>10010</v>
      </c>
      <c r="C577" s="62">
        <v>15</v>
      </c>
      <c r="D577" s="62">
        <v>7.1864999999999997</v>
      </c>
      <c r="E577" s="62">
        <v>279.13560000000001</v>
      </c>
      <c r="F577" s="62">
        <v>14.285</v>
      </c>
      <c r="G577" s="62">
        <v>95.234499999999997</v>
      </c>
      <c r="H577" s="62">
        <v>107.84010000000001</v>
      </c>
    </row>
    <row r="578" spans="1:8" x14ac:dyDescent="0.15">
      <c r="A578" s="62" t="s">
        <v>11</v>
      </c>
      <c r="B578" s="62">
        <v>10010</v>
      </c>
      <c r="C578" s="62">
        <v>15</v>
      </c>
      <c r="D578" s="62">
        <v>7.1863999999999999</v>
      </c>
      <c r="E578" s="62">
        <v>279.13920000000002</v>
      </c>
      <c r="F578" s="62">
        <v>14.285</v>
      </c>
      <c r="G578" s="62">
        <v>95.235699999999994</v>
      </c>
      <c r="H578" s="62">
        <v>107.8301</v>
      </c>
    </row>
    <row r="579" spans="1:8" x14ac:dyDescent="0.15">
      <c r="A579" s="62" t="s">
        <v>11</v>
      </c>
      <c r="B579" s="62">
        <v>10010</v>
      </c>
      <c r="C579" s="62">
        <v>15</v>
      </c>
      <c r="D579" s="62">
        <v>7.1795</v>
      </c>
      <c r="E579" s="62">
        <v>279.40649999999999</v>
      </c>
      <c r="F579" s="62">
        <v>14.298999999999999</v>
      </c>
      <c r="G579" s="62">
        <v>95.326899999999995</v>
      </c>
      <c r="H579" s="62">
        <v>107.71</v>
      </c>
    </row>
    <row r="580" spans="1:8" x14ac:dyDescent="0.15">
      <c r="A580" s="62" t="s">
        <v>11</v>
      </c>
      <c r="B580" s="62">
        <v>10010</v>
      </c>
      <c r="C580" s="62">
        <v>15</v>
      </c>
      <c r="D580" s="62">
        <v>7.1760999999999999</v>
      </c>
      <c r="E580" s="62">
        <v>279.53820000000002</v>
      </c>
      <c r="F580" s="62">
        <v>14.305999999999999</v>
      </c>
      <c r="G580" s="62">
        <v>95.371799999999993</v>
      </c>
      <c r="H580" s="62">
        <v>107.5898</v>
      </c>
    </row>
    <row r="581" spans="1:8" x14ac:dyDescent="0.15">
      <c r="A581" s="62" t="s">
        <v>11</v>
      </c>
      <c r="B581" s="62">
        <v>10010</v>
      </c>
      <c r="C581" s="62">
        <v>15</v>
      </c>
      <c r="D581" s="62">
        <v>7.2367999999999997</v>
      </c>
      <c r="E581" s="62">
        <v>277.1934</v>
      </c>
      <c r="F581" s="62">
        <v>14.186</v>
      </c>
      <c r="G581" s="62">
        <v>94.571799999999996</v>
      </c>
      <c r="H581" s="62">
        <v>108.4802</v>
      </c>
    </row>
    <row r="582" spans="1:8" x14ac:dyDescent="0.15">
      <c r="A582" s="62" t="s">
        <v>11</v>
      </c>
      <c r="B582" s="62">
        <v>10010</v>
      </c>
      <c r="C582" s="62">
        <v>15</v>
      </c>
      <c r="D582" s="62">
        <v>7.1948999999999996</v>
      </c>
      <c r="E582" s="62">
        <v>278.80840000000001</v>
      </c>
      <c r="F582" s="62">
        <v>14.268000000000001</v>
      </c>
      <c r="G582" s="62">
        <v>95.122799999999998</v>
      </c>
      <c r="H582" s="62">
        <v>107.96</v>
      </c>
    </row>
    <row r="583" spans="1:8" x14ac:dyDescent="0.15">
      <c r="A583" s="62" t="s">
        <v>11</v>
      </c>
      <c r="B583" s="62">
        <v>10010</v>
      </c>
      <c r="C583" s="62">
        <v>15</v>
      </c>
      <c r="D583" s="62">
        <v>7.2276999999999996</v>
      </c>
      <c r="E583" s="62">
        <v>277.5428</v>
      </c>
      <c r="F583" s="62">
        <v>14.204000000000001</v>
      </c>
      <c r="G583" s="62">
        <v>94.691000000000003</v>
      </c>
      <c r="H583" s="62">
        <v>108.34990000000001</v>
      </c>
    </row>
    <row r="584" spans="1:8" x14ac:dyDescent="0.15">
      <c r="A584" s="62" t="s">
        <v>11</v>
      </c>
      <c r="B584" s="62">
        <v>10010</v>
      </c>
      <c r="C584" s="62">
        <v>15</v>
      </c>
      <c r="D584" s="62">
        <v>7.1908000000000003</v>
      </c>
      <c r="E584" s="62">
        <v>278.96870000000001</v>
      </c>
      <c r="F584" s="62">
        <v>14.276999999999999</v>
      </c>
      <c r="G584" s="62">
        <v>95.177499999999995</v>
      </c>
      <c r="H584" s="62">
        <v>107.90009999999999</v>
      </c>
    </row>
    <row r="585" spans="1:8" x14ac:dyDescent="0.15">
      <c r="A585" s="62" t="s">
        <v>11</v>
      </c>
      <c r="B585" s="62">
        <v>10010</v>
      </c>
      <c r="C585" s="62">
        <v>15</v>
      </c>
      <c r="D585" s="62">
        <v>7.1858000000000004</v>
      </c>
      <c r="E585" s="62">
        <v>279.16309999999999</v>
      </c>
      <c r="F585" s="62">
        <v>14.287000000000001</v>
      </c>
      <c r="G585" s="62">
        <v>95.243799999999993</v>
      </c>
      <c r="H585" s="62">
        <v>107.82980000000001</v>
      </c>
    </row>
    <row r="586" spans="1:8" x14ac:dyDescent="0.15">
      <c r="A586" s="62" t="s">
        <v>11</v>
      </c>
      <c r="B586" s="62">
        <v>10010</v>
      </c>
      <c r="C586" s="62">
        <v>15</v>
      </c>
      <c r="D586" s="62">
        <v>7.1863999999999999</v>
      </c>
      <c r="E586" s="62">
        <v>279.14010000000002</v>
      </c>
      <c r="F586" s="62">
        <v>14.285</v>
      </c>
      <c r="G586" s="62">
        <v>95.236000000000004</v>
      </c>
      <c r="H586" s="62">
        <v>107.8301</v>
      </c>
    </row>
    <row r="587" spans="1:8" x14ac:dyDescent="0.15">
      <c r="A587" s="62" t="s">
        <v>11</v>
      </c>
      <c r="B587" s="62">
        <v>10010</v>
      </c>
      <c r="C587" s="62">
        <v>15</v>
      </c>
      <c r="D587" s="62">
        <v>7.1863000000000001</v>
      </c>
      <c r="E587" s="62">
        <v>279.14249999999998</v>
      </c>
      <c r="F587" s="62">
        <v>14.286</v>
      </c>
      <c r="G587" s="62">
        <v>95.236800000000002</v>
      </c>
      <c r="H587" s="62">
        <v>107.8198</v>
      </c>
    </row>
    <row r="588" spans="1:8" x14ac:dyDescent="0.15">
      <c r="A588" s="62" t="s">
        <v>11</v>
      </c>
      <c r="B588" s="62">
        <v>10010</v>
      </c>
      <c r="C588" s="62">
        <v>15</v>
      </c>
      <c r="D588" s="62">
        <v>7.1862000000000004</v>
      </c>
      <c r="E588" s="62">
        <v>279.14819999999997</v>
      </c>
      <c r="F588" s="62">
        <v>14.286</v>
      </c>
      <c r="G588" s="62">
        <v>95.238799999999998</v>
      </c>
      <c r="H588" s="62">
        <v>107.8301</v>
      </c>
    </row>
    <row r="589" spans="1:8" x14ac:dyDescent="0.15">
      <c r="A589" s="62" t="s">
        <v>11</v>
      </c>
      <c r="B589" s="62">
        <v>10010</v>
      </c>
      <c r="C589" s="62">
        <v>15</v>
      </c>
      <c r="D589" s="62">
        <v>7.1863999999999999</v>
      </c>
      <c r="E589" s="62">
        <v>279.13889999999998</v>
      </c>
      <c r="F589" s="62">
        <v>14.285</v>
      </c>
      <c r="G589" s="62">
        <v>95.235600000000005</v>
      </c>
      <c r="H589" s="62">
        <v>107.8301</v>
      </c>
    </row>
    <row r="590" spans="1:8" x14ac:dyDescent="0.15">
      <c r="A590" s="62" t="s">
        <v>11</v>
      </c>
      <c r="B590" s="62">
        <v>10010</v>
      </c>
      <c r="C590" s="62">
        <v>15</v>
      </c>
      <c r="D590" s="62">
        <v>7.1860999999999997</v>
      </c>
      <c r="E590" s="62">
        <v>279.15170000000001</v>
      </c>
      <c r="F590" s="62">
        <v>14.286</v>
      </c>
      <c r="G590" s="62">
        <v>95.24</v>
      </c>
      <c r="H590" s="62">
        <v>107.8398</v>
      </c>
    </row>
    <row r="591" spans="1:8" x14ac:dyDescent="0.15">
      <c r="A591" s="62" t="s">
        <v>11</v>
      </c>
      <c r="B591" s="62">
        <v>10010</v>
      </c>
      <c r="C591" s="62">
        <v>15</v>
      </c>
      <c r="D591" s="62">
        <v>7.1741999999999999</v>
      </c>
      <c r="E591" s="62">
        <v>279.61559999999997</v>
      </c>
      <c r="F591" s="62">
        <v>14.31</v>
      </c>
      <c r="G591" s="62">
        <v>95.398200000000003</v>
      </c>
      <c r="H591" s="62">
        <v>107.5703</v>
      </c>
    </row>
    <row r="592" spans="1:8" x14ac:dyDescent="0.15">
      <c r="A592" s="62" t="s">
        <v>11</v>
      </c>
      <c r="B592" s="62">
        <v>10010</v>
      </c>
      <c r="C592" s="62">
        <v>15</v>
      </c>
      <c r="D592" s="62">
        <v>7.1825000000000001</v>
      </c>
      <c r="E592" s="62">
        <v>279.28949999999998</v>
      </c>
      <c r="F592" s="62">
        <v>14.292999999999999</v>
      </c>
      <c r="G592" s="62">
        <v>95.287000000000006</v>
      </c>
      <c r="H592" s="62">
        <v>107.69970000000001</v>
      </c>
    </row>
    <row r="593" spans="1:8" x14ac:dyDescent="0.15">
      <c r="A593" s="62" t="s">
        <v>11</v>
      </c>
      <c r="B593" s="62">
        <v>10010</v>
      </c>
      <c r="C593" s="62">
        <v>15</v>
      </c>
      <c r="D593" s="62">
        <v>7.1863999999999999</v>
      </c>
      <c r="E593" s="62">
        <v>279.14069999999998</v>
      </c>
      <c r="F593" s="62">
        <v>14.285</v>
      </c>
      <c r="G593" s="62">
        <v>95.236199999999997</v>
      </c>
      <c r="H593" s="62">
        <v>107.8301</v>
      </c>
    </row>
    <row r="594" spans="1:8" x14ac:dyDescent="0.15">
      <c r="A594" s="62" t="s">
        <v>11</v>
      </c>
      <c r="B594" s="62">
        <v>10010</v>
      </c>
      <c r="C594" s="62">
        <v>15</v>
      </c>
      <c r="D594" s="62">
        <v>7.1863999999999999</v>
      </c>
      <c r="E594" s="62">
        <v>279.14049999999997</v>
      </c>
      <c r="F594" s="62">
        <v>14.285</v>
      </c>
      <c r="G594" s="62">
        <v>95.236099999999993</v>
      </c>
      <c r="H594" s="62">
        <v>107.8403</v>
      </c>
    </row>
    <row r="595" spans="1:8" x14ac:dyDescent="0.15">
      <c r="A595" s="62" t="s">
        <v>11</v>
      </c>
      <c r="B595" s="62">
        <v>10010</v>
      </c>
      <c r="C595" s="62">
        <v>15</v>
      </c>
      <c r="D595" s="62">
        <v>7.1877000000000004</v>
      </c>
      <c r="E595" s="62">
        <v>279.08699999999999</v>
      </c>
      <c r="F595" s="62">
        <v>14.282999999999999</v>
      </c>
      <c r="G595" s="62">
        <v>95.2179</v>
      </c>
      <c r="H595" s="62">
        <v>107.78959999999999</v>
      </c>
    </row>
    <row r="596" spans="1:8" x14ac:dyDescent="0.15">
      <c r="A596" s="62" t="s">
        <v>11</v>
      </c>
      <c r="B596" s="62">
        <v>10010</v>
      </c>
      <c r="C596" s="62">
        <v>15</v>
      </c>
      <c r="D596" s="62">
        <v>7.2145000000000001</v>
      </c>
      <c r="E596" s="62">
        <v>278.05270000000002</v>
      </c>
      <c r="F596" s="62">
        <v>14.23</v>
      </c>
      <c r="G596" s="62">
        <v>94.864999999999995</v>
      </c>
      <c r="H596" s="62">
        <v>108.1602</v>
      </c>
    </row>
    <row r="597" spans="1:8" x14ac:dyDescent="0.15">
      <c r="A597" s="62" t="s">
        <v>11</v>
      </c>
      <c r="B597" s="62">
        <v>10010</v>
      </c>
      <c r="C597" s="62">
        <v>15</v>
      </c>
      <c r="D597" s="62">
        <v>7.1864999999999997</v>
      </c>
      <c r="E597" s="62">
        <v>279.13529999999997</v>
      </c>
      <c r="F597" s="62">
        <v>14.285</v>
      </c>
      <c r="G597" s="62">
        <v>95.234399999999994</v>
      </c>
      <c r="H597" s="62">
        <v>107.8301</v>
      </c>
    </row>
    <row r="598" spans="1:8" x14ac:dyDescent="0.15">
      <c r="A598" s="62" t="s">
        <v>11</v>
      </c>
      <c r="B598" s="62">
        <v>10010</v>
      </c>
      <c r="C598" s="62">
        <v>15</v>
      </c>
      <c r="D598" s="62">
        <v>7.1858000000000004</v>
      </c>
      <c r="E598" s="62">
        <v>279.16120000000001</v>
      </c>
      <c r="F598" s="62">
        <v>14.286</v>
      </c>
      <c r="G598" s="62">
        <v>95.243200000000002</v>
      </c>
      <c r="H598" s="62">
        <v>107.8198</v>
      </c>
    </row>
    <row r="599" spans="1:8" x14ac:dyDescent="0.15">
      <c r="A599" s="62" t="s">
        <v>11</v>
      </c>
      <c r="B599" s="62">
        <v>10010</v>
      </c>
      <c r="C599" s="62">
        <v>15</v>
      </c>
      <c r="D599" s="62">
        <v>7.1749000000000001</v>
      </c>
      <c r="E599" s="62">
        <v>279.58749999999998</v>
      </c>
      <c r="F599" s="62">
        <v>14.308</v>
      </c>
      <c r="G599" s="62">
        <v>95.388599999999997</v>
      </c>
      <c r="H599" s="62">
        <v>107.6401</v>
      </c>
    </row>
    <row r="600" spans="1:8" x14ac:dyDescent="0.15">
      <c r="A600" s="62" t="s">
        <v>11</v>
      </c>
      <c r="B600" s="62">
        <v>10010</v>
      </c>
      <c r="C600" s="62">
        <v>15</v>
      </c>
      <c r="D600" s="62">
        <v>7.1928000000000001</v>
      </c>
      <c r="E600" s="62">
        <v>278.892</v>
      </c>
      <c r="F600" s="62">
        <v>14.273</v>
      </c>
      <c r="G600" s="62">
        <v>95.151399999999995</v>
      </c>
      <c r="H600" s="62">
        <v>107.8301</v>
      </c>
    </row>
    <row r="601" spans="1:8" x14ac:dyDescent="0.15">
      <c r="A601" s="62" t="s">
        <v>11</v>
      </c>
      <c r="B601" s="62">
        <v>10010</v>
      </c>
      <c r="C601" s="62">
        <v>15</v>
      </c>
      <c r="D601" s="62">
        <v>7.1862000000000004</v>
      </c>
      <c r="E601" s="62">
        <v>279.14659999999998</v>
      </c>
      <c r="F601" s="62">
        <v>14.286</v>
      </c>
      <c r="G601" s="62">
        <v>95.238200000000006</v>
      </c>
      <c r="H601" s="62">
        <v>107.8301</v>
      </c>
    </row>
    <row r="602" spans="1:8" x14ac:dyDescent="0.15">
      <c r="A602" s="62" t="s">
        <v>11</v>
      </c>
      <c r="B602" s="62">
        <v>10010</v>
      </c>
      <c r="C602" s="62">
        <v>15</v>
      </c>
      <c r="D602" s="62">
        <v>7.1864999999999997</v>
      </c>
      <c r="E602" s="62">
        <v>279.13459999999998</v>
      </c>
      <c r="F602" s="62">
        <v>14.285</v>
      </c>
      <c r="G602" s="62">
        <v>95.234099999999998</v>
      </c>
      <c r="H602" s="62">
        <v>107.8398</v>
      </c>
    </row>
    <row r="603" spans="1:8" x14ac:dyDescent="0.15">
      <c r="A603" s="62" t="s">
        <v>11</v>
      </c>
      <c r="B603" s="62">
        <v>10010</v>
      </c>
      <c r="C603" s="62">
        <v>15</v>
      </c>
      <c r="D603" s="62">
        <v>7.1863000000000001</v>
      </c>
      <c r="E603" s="62">
        <v>279.14440000000002</v>
      </c>
      <c r="F603" s="62">
        <v>14.286</v>
      </c>
      <c r="G603" s="62">
        <v>95.237499999999997</v>
      </c>
      <c r="H603" s="62">
        <v>107.8301</v>
      </c>
    </row>
    <row r="604" spans="1:8" x14ac:dyDescent="0.15">
      <c r="A604" s="62" t="s">
        <v>11</v>
      </c>
      <c r="B604" s="62">
        <v>10010</v>
      </c>
      <c r="C604" s="62">
        <v>16</v>
      </c>
      <c r="D604" s="62">
        <v>6.8057999999999996</v>
      </c>
      <c r="E604" s="62">
        <v>294.74950000000001</v>
      </c>
      <c r="F604" s="62">
        <v>15.084</v>
      </c>
      <c r="G604" s="62">
        <v>94.276499999999999</v>
      </c>
      <c r="H604" s="62">
        <v>108.73</v>
      </c>
    </row>
    <row r="605" spans="1:8" x14ac:dyDescent="0.15">
      <c r="A605" s="62" t="s">
        <v>11</v>
      </c>
      <c r="B605" s="62">
        <v>10010</v>
      </c>
      <c r="C605" s="62">
        <v>16</v>
      </c>
      <c r="D605" s="62">
        <v>6.8029000000000002</v>
      </c>
      <c r="E605" s="62">
        <v>294.8734</v>
      </c>
      <c r="F605" s="62">
        <v>15.090999999999999</v>
      </c>
      <c r="G605" s="62">
        <v>94.316100000000006</v>
      </c>
      <c r="H605" s="62">
        <v>108.6001</v>
      </c>
    </row>
    <row r="606" spans="1:8" x14ac:dyDescent="0.15">
      <c r="A606" s="62" t="s">
        <v>11</v>
      </c>
      <c r="B606" s="62">
        <v>10010</v>
      </c>
      <c r="C606" s="62">
        <v>16</v>
      </c>
      <c r="D606" s="62">
        <v>6.7729999999999997</v>
      </c>
      <c r="E606" s="62">
        <v>296.178</v>
      </c>
      <c r="F606" s="62">
        <v>15.157</v>
      </c>
      <c r="G606" s="62">
        <v>94.733400000000003</v>
      </c>
      <c r="H606" s="62">
        <v>108.31010000000001</v>
      </c>
    </row>
    <row r="607" spans="1:8" x14ac:dyDescent="0.15">
      <c r="A607" s="62" t="s">
        <v>11</v>
      </c>
      <c r="B607" s="62">
        <v>10010</v>
      </c>
      <c r="C607" s="62">
        <v>16</v>
      </c>
      <c r="D607" s="62">
        <v>6.7744</v>
      </c>
      <c r="E607" s="62">
        <v>296.11649999999997</v>
      </c>
      <c r="F607" s="62">
        <v>15.154</v>
      </c>
      <c r="G607" s="62">
        <v>94.713700000000003</v>
      </c>
      <c r="H607" s="62">
        <v>108.21</v>
      </c>
    </row>
    <row r="608" spans="1:8" x14ac:dyDescent="0.15">
      <c r="A608" s="62" t="s">
        <v>11</v>
      </c>
      <c r="B608" s="62">
        <v>10010</v>
      </c>
      <c r="C608" s="62">
        <v>16</v>
      </c>
      <c r="D608" s="62">
        <v>6.7731000000000003</v>
      </c>
      <c r="E608" s="62">
        <v>296.17380000000003</v>
      </c>
      <c r="F608" s="62">
        <v>15.157</v>
      </c>
      <c r="G608" s="62">
        <v>94.731999999999999</v>
      </c>
      <c r="H608" s="62">
        <v>108.31010000000001</v>
      </c>
    </row>
    <row r="609" spans="1:8" x14ac:dyDescent="0.15">
      <c r="A609" s="62" t="s">
        <v>11</v>
      </c>
      <c r="B609" s="62">
        <v>10010</v>
      </c>
      <c r="C609" s="62">
        <v>16</v>
      </c>
      <c r="D609" s="62">
        <v>6.7862999999999998</v>
      </c>
      <c r="E609" s="62">
        <v>295.59480000000002</v>
      </c>
      <c r="F609" s="62">
        <v>15.127000000000001</v>
      </c>
      <c r="G609" s="62">
        <v>94.546800000000005</v>
      </c>
      <c r="H609" s="62">
        <v>108.4097</v>
      </c>
    </row>
    <row r="610" spans="1:8" x14ac:dyDescent="0.15">
      <c r="A610" s="62" t="s">
        <v>11</v>
      </c>
      <c r="B610" s="62">
        <v>10010</v>
      </c>
      <c r="C610" s="62">
        <v>16</v>
      </c>
      <c r="D610" s="62">
        <v>6.7789999999999999</v>
      </c>
      <c r="E610" s="62">
        <v>295.91550000000001</v>
      </c>
      <c r="F610" s="62">
        <v>15.144</v>
      </c>
      <c r="G610" s="62">
        <v>94.6494</v>
      </c>
      <c r="H610" s="62">
        <v>108.29</v>
      </c>
    </row>
    <row r="611" spans="1:8" x14ac:dyDescent="0.15">
      <c r="A611" s="62" t="s">
        <v>11</v>
      </c>
      <c r="B611" s="62">
        <v>10010</v>
      </c>
      <c r="C611" s="62">
        <v>16</v>
      </c>
      <c r="D611" s="62">
        <v>6.7731000000000003</v>
      </c>
      <c r="E611" s="62">
        <v>296.17340000000002</v>
      </c>
      <c r="F611" s="62">
        <v>15.157</v>
      </c>
      <c r="G611" s="62">
        <v>94.731899999999996</v>
      </c>
      <c r="H611" s="62">
        <v>108.31010000000001</v>
      </c>
    </row>
    <row r="612" spans="1:8" x14ac:dyDescent="0.15">
      <c r="A612" s="62" t="s">
        <v>11</v>
      </c>
      <c r="B612" s="62">
        <v>10010</v>
      </c>
      <c r="C612" s="62">
        <v>16</v>
      </c>
      <c r="D612" s="62">
        <v>6.7793999999999999</v>
      </c>
      <c r="E612" s="62">
        <v>295.89839999999998</v>
      </c>
      <c r="F612" s="62">
        <v>15.143000000000001</v>
      </c>
      <c r="G612" s="62">
        <v>94.643900000000002</v>
      </c>
      <c r="H612" s="62">
        <v>108.29</v>
      </c>
    </row>
    <row r="613" spans="1:8" x14ac:dyDescent="0.15">
      <c r="A613" s="62" t="s">
        <v>11</v>
      </c>
      <c r="B613" s="62">
        <v>10010</v>
      </c>
      <c r="C613" s="62">
        <v>16</v>
      </c>
      <c r="D613" s="62">
        <v>6.7728999999999999</v>
      </c>
      <c r="E613" s="62">
        <v>296.1798</v>
      </c>
      <c r="F613" s="62">
        <v>15.157</v>
      </c>
      <c r="G613" s="62">
        <v>94.733900000000006</v>
      </c>
      <c r="H613" s="62">
        <v>108.27979999999999</v>
      </c>
    </row>
    <row r="614" spans="1:8" x14ac:dyDescent="0.15">
      <c r="A614" s="62" t="s">
        <v>11</v>
      </c>
      <c r="B614" s="62">
        <v>10010</v>
      </c>
      <c r="C614" s="62">
        <v>16</v>
      </c>
      <c r="D614" s="62">
        <v>6.8082000000000003</v>
      </c>
      <c r="E614" s="62">
        <v>294.64760000000001</v>
      </c>
      <c r="F614" s="62">
        <v>15.079000000000001</v>
      </c>
      <c r="G614" s="62">
        <v>94.243899999999996</v>
      </c>
      <c r="H614" s="62">
        <v>108.6602</v>
      </c>
    </row>
    <row r="615" spans="1:8" x14ac:dyDescent="0.15">
      <c r="A615" s="62" t="s">
        <v>11</v>
      </c>
      <c r="B615" s="62">
        <v>10010</v>
      </c>
      <c r="C615" s="62">
        <v>16</v>
      </c>
      <c r="D615" s="62">
        <v>6.7746000000000004</v>
      </c>
      <c r="E615" s="62">
        <v>296.10849999999999</v>
      </c>
      <c r="F615" s="62">
        <v>15.154</v>
      </c>
      <c r="G615" s="62">
        <v>94.711100000000002</v>
      </c>
      <c r="H615" s="62">
        <v>108.22020000000001</v>
      </c>
    </row>
    <row r="616" spans="1:8" x14ac:dyDescent="0.15">
      <c r="A616" s="62" t="s">
        <v>11</v>
      </c>
      <c r="B616" s="62">
        <v>10010</v>
      </c>
      <c r="C616" s="62">
        <v>16</v>
      </c>
      <c r="D616" s="62">
        <v>6.8169000000000004</v>
      </c>
      <c r="E616" s="62">
        <v>294.26839999999999</v>
      </c>
      <c r="F616" s="62">
        <v>15.06</v>
      </c>
      <c r="G616" s="62">
        <v>94.122600000000006</v>
      </c>
      <c r="H616" s="62">
        <v>108.86960000000001</v>
      </c>
    </row>
    <row r="617" spans="1:8" x14ac:dyDescent="0.15">
      <c r="A617" s="62" t="s">
        <v>11</v>
      </c>
      <c r="B617" s="62">
        <v>10010</v>
      </c>
      <c r="C617" s="62">
        <v>16</v>
      </c>
      <c r="D617" s="62">
        <v>6.7820999999999998</v>
      </c>
      <c r="E617" s="62">
        <v>295.77960000000002</v>
      </c>
      <c r="F617" s="62">
        <v>15.137</v>
      </c>
      <c r="G617" s="62">
        <v>94.605900000000005</v>
      </c>
      <c r="H617" s="62">
        <v>108.3403</v>
      </c>
    </row>
    <row r="618" spans="1:8" x14ac:dyDescent="0.15">
      <c r="A618" s="62" t="s">
        <v>11</v>
      </c>
      <c r="B618" s="62">
        <v>10010</v>
      </c>
      <c r="C618" s="62">
        <v>16</v>
      </c>
      <c r="D618" s="62">
        <v>6.7729999999999997</v>
      </c>
      <c r="E618" s="62">
        <v>296.17849999999999</v>
      </c>
      <c r="F618" s="62">
        <v>15.157</v>
      </c>
      <c r="G618" s="62">
        <v>94.733500000000006</v>
      </c>
      <c r="H618" s="62">
        <v>108.3198</v>
      </c>
    </row>
    <row r="619" spans="1:8" x14ac:dyDescent="0.15">
      <c r="A619" s="62" t="s">
        <v>11</v>
      </c>
      <c r="B619" s="62">
        <v>10010</v>
      </c>
      <c r="C619" s="62">
        <v>16</v>
      </c>
      <c r="D619" s="62">
        <v>6.7786999999999997</v>
      </c>
      <c r="E619" s="62">
        <v>295.92759999999998</v>
      </c>
      <c r="F619" s="62">
        <v>15.145</v>
      </c>
      <c r="G619" s="62">
        <v>94.653300000000002</v>
      </c>
      <c r="H619" s="62">
        <v>108.2803</v>
      </c>
    </row>
    <row r="620" spans="1:8" x14ac:dyDescent="0.15">
      <c r="A620" s="62" t="s">
        <v>11</v>
      </c>
      <c r="B620" s="62">
        <v>10010</v>
      </c>
      <c r="C620" s="62">
        <v>16</v>
      </c>
      <c r="D620" s="62">
        <v>6.7735000000000003</v>
      </c>
      <c r="E620" s="62">
        <v>296.15710000000001</v>
      </c>
      <c r="F620" s="62">
        <v>15.156000000000001</v>
      </c>
      <c r="G620" s="62">
        <v>94.726699999999994</v>
      </c>
      <c r="H620" s="62">
        <v>108.3198</v>
      </c>
    </row>
    <row r="621" spans="1:8" x14ac:dyDescent="0.15">
      <c r="A621" s="62" t="s">
        <v>11</v>
      </c>
      <c r="B621" s="62">
        <v>10010</v>
      </c>
      <c r="C621" s="62">
        <v>16</v>
      </c>
      <c r="D621" s="62">
        <v>6.7908999999999997</v>
      </c>
      <c r="E621" s="62">
        <v>295.39490000000001</v>
      </c>
      <c r="F621" s="62">
        <v>15.117000000000001</v>
      </c>
      <c r="G621" s="62">
        <v>94.482900000000001</v>
      </c>
      <c r="H621" s="62">
        <v>108.4697</v>
      </c>
    </row>
    <row r="622" spans="1:8" x14ac:dyDescent="0.15">
      <c r="A622" s="62" t="s">
        <v>11</v>
      </c>
      <c r="B622" s="62">
        <v>10010</v>
      </c>
      <c r="C622" s="62">
        <v>16</v>
      </c>
      <c r="D622" s="62">
        <v>6.7887000000000004</v>
      </c>
      <c r="E622" s="62">
        <v>295.49079999999998</v>
      </c>
      <c r="F622" s="62">
        <v>15.122</v>
      </c>
      <c r="G622" s="62">
        <v>94.513599999999997</v>
      </c>
      <c r="H622" s="62">
        <v>108.4502</v>
      </c>
    </row>
    <row r="623" spans="1:8" x14ac:dyDescent="0.15">
      <c r="A623" s="62" t="s">
        <v>11</v>
      </c>
      <c r="B623" s="62">
        <v>10010</v>
      </c>
      <c r="C623" s="62">
        <v>16</v>
      </c>
      <c r="D623" s="62">
        <v>6.7742000000000004</v>
      </c>
      <c r="E623" s="62">
        <v>296.1223</v>
      </c>
      <c r="F623" s="62">
        <v>15.154</v>
      </c>
      <c r="G623" s="62">
        <v>94.715599999999995</v>
      </c>
      <c r="H623" s="62">
        <v>108.2505</v>
      </c>
    </row>
    <row r="624" spans="1:8" x14ac:dyDescent="0.15">
      <c r="A624" s="62" t="s">
        <v>11</v>
      </c>
      <c r="B624" s="62">
        <v>10010</v>
      </c>
      <c r="C624" s="62">
        <v>16</v>
      </c>
      <c r="D624" s="62">
        <v>11.683199999999999</v>
      </c>
      <c r="E624" s="62">
        <v>171.70050000000001</v>
      </c>
      <c r="F624" s="62">
        <v>8.7870000000000008</v>
      </c>
      <c r="G624" s="62">
        <v>54.918900000000001</v>
      </c>
      <c r="H624" s="62">
        <v>176.41990000000001</v>
      </c>
    </row>
    <row r="625" spans="1:8" x14ac:dyDescent="0.15">
      <c r="A625" s="62" t="s">
        <v>11</v>
      </c>
      <c r="B625" s="62">
        <v>10010</v>
      </c>
      <c r="C625" s="62">
        <v>16</v>
      </c>
      <c r="D625" s="62">
        <v>10.272</v>
      </c>
      <c r="E625" s="62">
        <v>195.2884</v>
      </c>
      <c r="F625" s="62">
        <v>9.9939999999999998</v>
      </c>
      <c r="G625" s="62">
        <v>62.4636</v>
      </c>
      <c r="H625" s="62">
        <v>156.44919999999999</v>
      </c>
    </row>
    <row r="626" spans="1:8" x14ac:dyDescent="0.15">
      <c r="A626" s="62" t="s">
        <v>11</v>
      </c>
      <c r="B626" s="62">
        <v>10010</v>
      </c>
      <c r="C626" s="62">
        <v>16</v>
      </c>
      <c r="D626" s="62">
        <v>6.8010999999999999</v>
      </c>
      <c r="E626" s="62">
        <v>294.95389999999998</v>
      </c>
      <c r="F626" s="62">
        <v>15.095000000000001</v>
      </c>
      <c r="G626" s="62">
        <v>94.341800000000006</v>
      </c>
      <c r="H626" s="62">
        <v>108.6904</v>
      </c>
    </row>
    <row r="627" spans="1:8" x14ac:dyDescent="0.15">
      <c r="A627" s="62" t="s">
        <v>11</v>
      </c>
      <c r="B627" s="62">
        <v>10010</v>
      </c>
      <c r="C627" s="62">
        <v>16</v>
      </c>
      <c r="D627" s="62">
        <v>6.7742000000000004</v>
      </c>
      <c r="E627" s="62">
        <v>296.12619999999998</v>
      </c>
      <c r="F627" s="62">
        <v>15.154999999999999</v>
      </c>
      <c r="G627" s="62">
        <v>94.716800000000006</v>
      </c>
      <c r="H627" s="62">
        <v>108.1396</v>
      </c>
    </row>
    <row r="628" spans="1:8" x14ac:dyDescent="0.15">
      <c r="A628" s="62" t="s">
        <v>11</v>
      </c>
      <c r="B628" s="62">
        <v>10010</v>
      </c>
      <c r="C628" s="62">
        <v>16</v>
      </c>
      <c r="D628" s="62">
        <v>6.7939999999999996</v>
      </c>
      <c r="E628" s="62">
        <v>295.2593</v>
      </c>
      <c r="F628" s="62">
        <v>15.11</v>
      </c>
      <c r="G628" s="62">
        <v>94.439499999999995</v>
      </c>
      <c r="H628" s="62">
        <v>108.5303</v>
      </c>
    </row>
    <row r="629" spans="1:8" x14ac:dyDescent="0.15">
      <c r="A629" s="62" t="s">
        <v>11</v>
      </c>
      <c r="B629" s="62">
        <v>10010</v>
      </c>
      <c r="C629" s="62">
        <v>16</v>
      </c>
      <c r="D629" s="62">
        <v>6.7743000000000002</v>
      </c>
      <c r="E629" s="62">
        <v>296.12130000000002</v>
      </c>
      <c r="F629" s="62">
        <v>15.154</v>
      </c>
      <c r="G629" s="62">
        <v>94.715199999999996</v>
      </c>
      <c r="H629" s="62">
        <v>108.2998</v>
      </c>
    </row>
    <row r="630" spans="1:8" x14ac:dyDescent="0.15">
      <c r="A630" s="62" t="s">
        <v>11</v>
      </c>
      <c r="B630" s="62">
        <v>10010</v>
      </c>
      <c r="C630" s="62">
        <v>16</v>
      </c>
      <c r="D630" s="62">
        <v>6.7758000000000003</v>
      </c>
      <c r="E630" s="62">
        <v>296.05270000000002</v>
      </c>
      <c r="F630" s="62">
        <v>15.151</v>
      </c>
      <c r="G630" s="62">
        <v>94.693299999999994</v>
      </c>
      <c r="H630" s="62">
        <v>108.23050000000001</v>
      </c>
    </row>
    <row r="631" spans="1:8" x14ac:dyDescent="0.15">
      <c r="A631" s="62" t="s">
        <v>11</v>
      </c>
      <c r="B631" s="62">
        <v>10010</v>
      </c>
      <c r="C631" s="62">
        <v>16</v>
      </c>
      <c r="D631" s="62">
        <v>6.7735000000000003</v>
      </c>
      <c r="E631" s="62">
        <v>296.15499999999997</v>
      </c>
      <c r="F631" s="62">
        <v>15.156000000000001</v>
      </c>
      <c r="G631" s="62">
        <v>94.725999999999999</v>
      </c>
      <c r="H631" s="62">
        <v>108.3193</v>
      </c>
    </row>
    <row r="632" spans="1:8" x14ac:dyDescent="0.15">
      <c r="A632" s="62" t="s">
        <v>11</v>
      </c>
      <c r="B632" s="62">
        <v>10010</v>
      </c>
      <c r="C632" s="62">
        <v>16</v>
      </c>
      <c r="D632" s="62">
        <v>6.7759999999999998</v>
      </c>
      <c r="E632" s="62">
        <v>296.04739999999998</v>
      </c>
      <c r="F632" s="62">
        <v>15.151</v>
      </c>
      <c r="G632" s="62">
        <v>94.691599999999994</v>
      </c>
      <c r="H632" s="62">
        <v>108.2402</v>
      </c>
    </row>
    <row r="633" spans="1:8" x14ac:dyDescent="0.15">
      <c r="A633" s="62" t="s">
        <v>11</v>
      </c>
      <c r="B633" s="62">
        <v>10010</v>
      </c>
      <c r="C633" s="62">
        <v>16</v>
      </c>
      <c r="D633" s="62">
        <v>6.7733999999999996</v>
      </c>
      <c r="E633" s="62">
        <v>296.16149999999999</v>
      </c>
      <c r="F633" s="62">
        <v>15.156000000000001</v>
      </c>
      <c r="G633" s="62">
        <v>94.728099999999998</v>
      </c>
      <c r="H633" s="62">
        <v>108.2705</v>
      </c>
    </row>
    <row r="634" spans="1:8" x14ac:dyDescent="0.15">
      <c r="A634" s="62" t="s">
        <v>11</v>
      </c>
      <c r="B634" s="62">
        <v>10010</v>
      </c>
      <c r="C634" s="62">
        <v>16</v>
      </c>
      <c r="D634" s="62">
        <v>6.7750000000000004</v>
      </c>
      <c r="E634" s="62">
        <v>296.08920000000001</v>
      </c>
      <c r="F634" s="62">
        <v>15.153</v>
      </c>
      <c r="G634" s="62">
        <v>94.704999999999998</v>
      </c>
      <c r="H634" s="62">
        <v>108.2598</v>
      </c>
    </row>
    <row r="635" spans="1:8" x14ac:dyDescent="0.15">
      <c r="A635" s="62" t="s">
        <v>11</v>
      </c>
      <c r="B635" s="62">
        <v>10010</v>
      </c>
      <c r="C635" s="62">
        <v>16</v>
      </c>
      <c r="D635" s="62">
        <v>6.7929000000000004</v>
      </c>
      <c r="E635" s="62">
        <v>295.30849999999998</v>
      </c>
      <c r="F635" s="62">
        <v>15.113</v>
      </c>
      <c r="G635" s="62">
        <v>94.455299999999994</v>
      </c>
      <c r="H635" s="62">
        <v>108.5098</v>
      </c>
    </row>
    <row r="636" spans="1:8" x14ac:dyDescent="0.15">
      <c r="A636" s="62" t="s">
        <v>11</v>
      </c>
      <c r="B636" s="62">
        <v>10010</v>
      </c>
      <c r="C636" s="62">
        <v>16</v>
      </c>
      <c r="D636" s="62">
        <v>6.7740999999999998</v>
      </c>
      <c r="E636" s="62">
        <v>296.13060000000002</v>
      </c>
      <c r="F636" s="62">
        <v>15.154999999999999</v>
      </c>
      <c r="G636" s="62">
        <v>94.718199999999996</v>
      </c>
      <c r="H636" s="62">
        <v>108.3301</v>
      </c>
    </row>
    <row r="637" spans="1:8" x14ac:dyDescent="0.15">
      <c r="A637" s="62" t="s">
        <v>11</v>
      </c>
      <c r="B637" s="62">
        <v>10010</v>
      </c>
      <c r="C637" s="62">
        <v>16</v>
      </c>
      <c r="D637" s="62">
        <v>6.7755000000000001</v>
      </c>
      <c r="E637" s="62">
        <v>296.06939999999997</v>
      </c>
      <c r="F637" s="62">
        <v>15.151999999999999</v>
      </c>
      <c r="G637" s="62">
        <v>94.698599999999999</v>
      </c>
      <c r="H637" s="62">
        <v>108.23050000000001</v>
      </c>
    </row>
    <row r="638" spans="1:8" x14ac:dyDescent="0.15">
      <c r="A638" s="62" t="s">
        <v>11</v>
      </c>
      <c r="B638" s="62">
        <v>10010</v>
      </c>
      <c r="C638" s="62">
        <v>16</v>
      </c>
      <c r="D638" s="62">
        <v>6.7750000000000004</v>
      </c>
      <c r="E638" s="62">
        <v>296.09089999999998</v>
      </c>
      <c r="F638" s="62">
        <v>15.153</v>
      </c>
      <c r="G638" s="62">
        <v>94.705500000000001</v>
      </c>
      <c r="H638" s="62">
        <v>108.3096</v>
      </c>
    </row>
    <row r="639" spans="1:8" x14ac:dyDescent="0.15">
      <c r="A639" s="62" t="s">
        <v>11</v>
      </c>
      <c r="B639" s="62">
        <v>10010</v>
      </c>
      <c r="C639" s="62">
        <v>16</v>
      </c>
      <c r="D639" s="62">
        <v>6.7960000000000003</v>
      </c>
      <c r="E639" s="62">
        <v>295.17410000000001</v>
      </c>
      <c r="F639" s="62">
        <v>15.106</v>
      </c>
      <c r="G639" s="62">
        <v>94.412300000000002</v>
      </c>
      <c r="H639" s="62">
        <v>108.5098</v>
      </c>
    </row>
    <row r="640" spans="1:8" x14ac:dyDescent="0.15">
      <c r="A640" s="62" t="s">
        <v>11</v>
      </c>
      <c r="B640" s="62">
        <v>10010</v>
      </c>
      <c r="C640" s="62">
        <v>16</v>
      </c>
      <c r="D640" s="62">
        <v>6.8030999999999997</v>
      </c>
      <c r="E640" s="62">
        <v>294.86630000000002</v>
      </c>
      <c r="F640" s="62">
        <v>15.09</v>
      </c>
      <c r="G640" s="62">
        <v>94.313800000000001</v>
      </c>
      <c r="H640" s="62">
        <v>108.6807</v>
      </c>
    </row>
    <row r="641" spans="1:8" x14ac:dyDescent="0.15">
      <c r="A641" s="62" t="s">
        <v>11</v>
      </c>
      <c r="B641" s="62">
        <v>10010</v>
      </c>
      <c r="C641" s="62">
        <v>16</v>
      </c>
      <c r="D641" s="62">
        <v>6.7736999999999998</v>
      </c>
      <c r="E641" s="62">
        <v>296.14780000000002</v>
      </c>
      <c r="F641" s="62">
        <v>15.156000000000001</v>
      </c>
      <c r="G641" s="62">
        <v>94.723699999999994</v>
      </c>
      <c r="H641" s="62">
        <v>108.3193</v>
      </c>
    </row>
    <row r="642" spans="1:8" x14ac:dyDescent="0.15">
      <c r="A642" s="62" t="s">
        <v>11</v>
      </c>
      <c r="B642" s="62">
        <v>10010</v>
      </c>
      <c r="C642" s="62">
        <v>16</v>
      </c>
      <c r="D642" s="62">
        <v>6.7838000000000003</v>
      </c>
      <c r="E642" s="62">
        <v>295.70600000000002</v>
      </c>
      <c r="F642" s="62">
        <v>15.132999999999999</v>
      </c>
      <c r="G642" s="62">
        <v>94.582400000000007</v>
      </c>
      <c r="H642" s="62">
        <v>108.3604</v>
      </c>
    </row>
    <row r="643" spans="1:8" x14ac:dyDescent="0.15">
      <c r="A643" s="62" t="s">
        <v>11</v>
      </c>
      <c r="B643" s="62">
        <v>10010</v>
      </c>
      <c r="C643" s="62">
        <v>16</v>
      </c>
      <c r="D643" s="62">
        <v>6.7733999999999996</v>
      </c>
      <c r="E643" s="62">
        <v>296.1585</v>
      </c>
      <c r="F643" s="62">
        <v>15.156000000000001</v>
      </c>
      <c r="G643" s="62">
        <v>94.727099999999993</v>
      </c>
      <c r="H643" s="62">
        <v>108.3203</v>
      </c>
    </row>
    <row r="644" spans="1:8" x14ac:dyDescent="0.15">
      <c r="A644" s="62" t="s">
        <v>11</v>
      </c>
      <c r="B644" s="62">
        <v>10010</v>
      </c>
      <c r="C644" s="62">
        <v>16</v>
      </c>
      <c r="D644" s="62">
        <v>6.7754000000000003</v>
      </c>
      <c r="E644" s="62">
        <v>296.07220000000001</v>
      </c>
      <c r="F644" s="62">
        <v>15.151999999999999</v>
      </c>
      <c r="G644" s="62">
        <v>94.6995</v>
      </c>
      <c r="H644" s="62">
        <v>108.2295</v>
      </c>
    </row>
    <row r="645" spans="1:8" x14ac:dyDescent="0.15">
      <c r="A645" s="62" t="s">
        <v>11</v>
      </c>
      <c r="B645" s="62">
        <v>10010</v>
      </c>
      <c r="C645" s="62">
        <v>16</v>
      </c>
      <c r="D645" s="62">
        <v>6.7864000000000004</v>
      </c>
      <c r="E645" s="62">
        <v>295.59190000000001</v>
      </c>
      <c r="F645" s="62">
        <v>15.127000000000001</v>
      </c>
      <c r="G645" s="62">
        <v>94.545900000000003</v>
      </c>
      <c r="H645" s="62">
        <v>108.4102</v>
      </c>
    </row>
    <row r="646" spans="1:8" x14ac:dyDescent="0.15">
      <c r="A646" s="62" t="s">
        <v>11</v>
      </c>
      <c r="B646" s="62">
        <v>10010</v>
      </c>
      <c r="C646" s="62">
        <v>16</v>
      </c>
      <c r="D646" s="62">
        <v>6.7751999999999999</v>
      </c>
      <c r="E646" s="62">
        <v>296.08269999999999</v>
      </c>
      <c r="F646" s="62">
        <v>15.151999999999999</v>
      </c>
      <c r="G646" s="62">
        <v>94.7029</v>
      </c>
      <c r="H646" s="62">
        <v>108.2998</v>
      </c>
    </row>
    <row r="647" spans="1:8" x14ac:dyDescent="0.15">
      <c r="A647" s="62" t="s">
        <v>11</v>
      </c>
      <c r="B647" s="62">
        <v>10010</v>
      </c>
      <c r="C647" s="62">
        <v>16</v>
      </c>
      <c r="D647" s="62">
        <v>6.7843999999999998</v>
      </c>
      <c r="E647" s="62">
        <v>295.68110000000001</v>
      </c>
      <c r="F647" s="62">
        <v>15.132</v>
      </c>
      <c r="G647" s="62">
        <v>94.574399999999997</v>
      </c>
      <c r="H647" s="62">
        <v>108.37009999999999</v>
      </c>
    </row>
    <row r="648" spans="1:8" x14ac:dyDescent="0.15">
      <c r="A648" s="62" t="s">
        <v>11</v>
      </c>
      <c r="B648" s="62">
        <v>10010</v>
      </c>
      <c r="C648" s="62">
        <v>16</v>
      </c>
      <c r="D648" s="62">
        <v>6.7733999999999996</v>
      </c>
      <c r="E648" s="62">
        <v>296.16149999999999</v>
      </c>
      <c r="F648" s="62">
        <v>15.156000000000001</v>
      </c>
      <c r="G648" s="62">
        <v>94.728099999999998</v>
      </c>
      <c r="H648" s="62">
        <v>108.3203</v>
      </c>
    </row>
    <row r="649" spans="1:8" x14ac:dyDescent="0.15">
      <c r="A649" s="62" t="s">
        <v>11</v>
      </c>
      <c r="B649" s="62">
        <v>10010</v>
      </c>
      <c r="C649" s="62">
        <v>16</v>
      </c>
      <c r="D649" s="62">
        <v>6.7807000000000004</v>
      </c>
      <c r="E649" s="62">
        <v>295.8424</v>
      </c>
      <c r="F649" s="62">
        <v>15.14</v>
      </c>
      <c r="G649" s="62">
        <v>94.626000000000005</v>
      </c>
      <c r="H649" s="62">
        <v>108.3193</v>
      </c>
    </row>
    <row r="650" spans="1:8" x14ac:dyDescent="0.15">
      <c r="A650" s="62" t="s">
        <v>11</v>
      </c>
      <c r="B650" s="62">
        <v>10010</v>
      </c>
      <c r="C650" s="62">
        <v>16</v>
      </c>
      <c r="D650" s="62">
        <v>6.7732999999999999</v>
      </c>
      <c r="E650" s="62">
        <v>296.16230000000002</v>
      </c>
      <c r="F650" s="62">
        <v>15.157</v>
      </c>
      <c r="G650" s="62">
        <v>94.728399999999993</v>
      </c>
      <c r="H650" s="62">
        <v>108.2705</v>
      </c>
    </row>
    <row r="651" spans="1:8" x14ac:dyDescent="0.15">
      <c r="A651" s="62" t="s">
        <v>11</v>
      </c>
      <c r="B651" s="62">
        <v>10010</v>
      </c>
      <c r="C651" s="62">
        <v>16</v>
      </c>
      <c r="D651" s="62">
        <v>6.7747000000000002</v>
      </c>
      <c r="E651" s="62">
        <v>296.10160000000002</v>
      </c>
      <c r="F651" s="62">
        <v>15.153</v>
      </c>
      <c r="G651" s="62">
        <v>94.7089</v>
      </c>
      <c r="H651" s="62">
        <v>108.26949999999999</v>
      </c>
    </row>
    <row r="652" spans="1:8" x14ac:dyDescent="0.15">
      <c r="A652" s="62" t="s">
        <v>11</v>
      </c>
      <c r="B652" s="62">
        <v>10010</v>
      </c>
      <c r="C652" s="62">
        <v>16</v>
      </c>
      <c r="D652" s="62">
        <v>6.7736000000000001</v>
      </c>
      <c r="E652" s="62">
        <v>296.1499</v>
      </c>
      <c r="F652" s="62">
        <v>15.156000000000001</v>
      </c>
      <c r="G652" s="62">
        <v>94.724400000000003</v>
      </c>
      <c r="H652" s="62">
        <v>108.2803</v>
      </c>
    </row>
    <row r="653" spans="1:8" x14ac:dyDescent="0.15">
      <c r="A653" s="62" t="s">
        <v>11</v>
      </c>
      <c r="B653" s="62">
        <v>10010</v>
      </c>
      <c r="C653" s="62">
        <v>16</v>
      </c>
      <c r="D653" s="62">
        <v>6.7762000000000002</v>
      </c>
      <c r="E653" s="62">
        <v>296.03859999999997</v>
      </c>
      <c r="F653" s="62">
        <v>15.15</v>
      </c>
      <c r="G653" s="62">
        <v>94.688800000000001</v>
      </c>
      <c r="H653" s="62">
        <v>108.2705</v>
      </c>
    </row>
    <row r="654" spans="1:8" x14ac:dyDescent="0.15">
      <c r="A654" s="62" t="s">
        <v>11</v>
      </c>
      <c r="B654" s="62">
        <v>10010</v>
      </c>
      <c r="C654" s="62">
        <v>16</v>
      </c>
      <c r="D654" s="62">
        <v>6.7948000000000004</v>
      </c>
      <c r="E654" s="62">
        <v>295.22789999999998</v>
      </c>
      <c r="F654" s="62">
        <v>15.109</v>
      </c>
      <c r="G654" s="62">
        <v>94.429500000000004</v>
      </c>
      <c r="H654" s="62">
        <v>108.54</v>
      </c>
    </row>
    <row r="655" spans="1:8" x14ac:dyDescent="0.15">
      <c r="A655" s="62"/>
      <c r="B655" s="62"/>
      <c r="C655" s="62"/>
      <c r="D655" s="62"/>
      <c r="E655" s="62"/>
      <c r="F655" s="62"/>
      <c r="G655" s="62"/>
      <c r="H655" s="62"/>
    </row>
    <row r="656" spans="1:8" x14ac:dyDescent="0.15">
      <c r="A656" s="62" t="s">
        <v>12</v>
      </c>
      <c r="B656" s="62"/>
      <c r="C656" s="62"/>
      <c r="D656" s="62"/>
      <c r="E656" s="62"/>
      <c r="F656" s="62"/>
      <c r="G656" s="62"/>
      <c r="H656" s="62"/>
    </row>
    <row r="657" spans="1:8" x14ac:dyDescent="0.15">
      <c r="A657" s="62"/>
      <c r="B657" s="62"/>
      <c r="C657" s="62"/>
      <c r="D657" s="62"/>
      <c r="E657" s="62"/>
      <c r="F657" s="62"/>
      <c r="G657" s="62"/>
      <c r="H657" s="62"/>
    </row>
    <row r="658" spans="1:8" x14ac:dyDescent="0.15">
      <c r="A658" s="62" t="s">
        <v>3</v>
      </c>
      <c r="B658" s="62" t="s">
        <v>4</v>
      </c>
      <c r="C658" s="62" t="s">
        <v>5</v>
      </c>
      <c r="D658" s="62" t="s">
        <v>6</v>
      </c>
      <c r="E658" s="62" t="s">
        <v>7</v>
      </c>
      <c r="F658" s="62" t="s">
        <v>8</v>
      </c>
      <c r="G658" s="62" t="s">
        <v>9</v>
      </c>
      <c r="H658" s="62" t="s">
        <v>10</v>
      </c>
    </row>
    <row r="659" spans="1:8" x14ac:dyDescent="0.15">
      <c r="A659" s="62" t="s">
        <v>13</v>
      </c>
      <c r="B659" s="62">
        <v>2500</v>
      </c>
      <c r="C659" s="62">
        <v>1</v>
      </c>
      <c r="D659" s="62">
        <v>1.839</v>
      </c>
      <c r="E659" s="62">
        <v>16.992599999999999</v>
      </c>
      <c r="F659" s="62">
        <v>1</v>
      </c>
      <c r="G659" s="62">
        <v>100</v>
      </c>
      <c r="H659" s="62">
        <v>7.12</v>
      </c>
    </row>
    <row r="660" spans="1:8" x14ac:dyDescent="0.15">
      <c r="A660" s="62" t="s">
        <v>13</v>
      </c>
      <c r="B660" s="62">
        <v>2500</v>
      </c>
      <c r="C660" s="62">
        <v>1</v>
      </c>
      <c r="D660" s="62">
        <v>1.6034999999999999</v>
      </c>
      <c r="E660" s="62">
        <v>19.488</v>
      </c>
      <c r="F660" s="62">
        <v>1.147</v>
      </c>
      <c r="G660" s="62">
        <v>114.6857</v>
      </c>
      <c r="H660" s="62">
        <v>1.6</v>
      </c>
    </row>
    <row r="661" spans="1:8" x14ac:dyDescent="0.15">
      <c r="A661" s="62" t="s">
        <v>13</v>
      </c>
      <c r="B661" s="62">
        <v>2500</v>
      </c>
      <c r="C661" s="62">
        <v>1</v>
      </c>
      <c r="D661" s="62">
        <v>1.6033999999999999</v>
      </c>
      <c r="E661" s="62">
        <v>19.4895</v>
      </c>
      <c r="F661" s="62">
        <v>1.147</v>
      </c>
      <c r="G661" s="62">
        <v>114.6942</v>
      </c>
      <c r="H661" s="62">
        <v>1.61</v>
      </c>
    </row>
    <row r="662" spans="1:8" x14ac:dyDescent="0.15">
      <c r="A662" s="62" t="s">
        <v>13</v>
      </c>
      <c r="B662" s="62">
        <v>2500</v>
      </c>
      <c r="C662" s="62">
        <v>1</v>
      </c>
      <c r="D662" s="62">
        <v>1.6034999999999999</v>
      </c>
      <c r="E662" s="62">
        <v>19.488900000000001</v>
      </c>
      <c r="F662" s="62">
        <v>1.147</v>
      </c>
      <c r="G662" s="62">
        <v>114.691</v>
      </c>
      <c r="H662" s="62">
        <v>1.6</v>
      </c>
    </row>
    <row r="663" spans="1:8" x14ac:dyDescent="0.15">
      <c r="A663" s="62" t="s">
        <v>13</v>
      </c>
      <c r="B663" s="62">
        <v>2500</v>
      </c>
      <c r="C663" s="62">
        <v>1</v>
      </c>
      <c r="D663" s="62">
        <v>1.6034999999999999</v>
      </c>
      <c r="E663" s="62">
        <v>19.489100000000001</v>
      </c>
      <c r="F663" s="62">
        <v>1.147</v>
      </c>
      <c r="G663" s="62">
        <v>114.6923</v>
      </c>
      <c r="H663" s="62">
        <v>1.6</v>
      </c>
    </row>
    <row r="664" spans="1:8" x14ac:dyDescent="0.15">
      <c r="A664" s="62" t="s">
        <v>13</v>
      </c>
      <c r="B664" s="62">
        <v>2500</v>
      </c>
      <c r="C664" s="62">
        <v>1</v>
      </c>
      <c r="D664" s="62">
        <v>1.6033999999999999</v>
      </c>
      <c r="E664" s="62">
        <v>19.489899999999999</v>
      </c>
      <c r="F664" s="62">
        <v>1.147</v>
      </c>
      <c r="G664" s="62">
        <v>114.69670000000001</v>
      </c>
      <c r="H664" s="62">
        <v>1.61</v>
      </c>
    </row>
    <row r="665" spans="1:8" x14ac:dyDescent="0.15">
      <c r="A665" s="62" t="s">
        <v>13</v>
      </c>
      <c r="B665" s="62">
        <v>2500</v>
      </c>
      <c r="C665" s="62">
        <v>15</v>
      </c>
      <c r="D665" s="62">
        <v>0.1258</v>
      </c>
      <c r="E665" s="62">
        <v>248.47540000000001</v>
      </c>
      <c r="F665" s="62">
        <v>14.622999999999999</v>
      </c>
      <c r="G665" s="62">
        <v>97.483999999999995</v>
      </c>
      <c r="H665" s="62">
        <v>1.88</v>
      </c>
    </row>
    <row r="666" spans="1:8" x14ac:dyDescent="0.15">
      <c r="A666" s="62" t="s">
        <v>13</v>
      </c>
      <c r="B666" s="62">
        <v>2500</v>
      </c>
      <c r="C666" s="62">
        <v>15</v>
      </c>
      <c r="D666" s="62">
        <v>0.124</v>
      </c>
      <c r="E666" s="62">
        <v>251.9836</v>
      </c>
      <c r="F666" s="62">
        <v>14.829000000000001</v>
      </c>
      <c r="G666" s="62">
        <v>98.860399999999998</v>
      </c>
      <c r="H666" s="62">
        <v>1.85</v>
      </c>
    </row>
    <row r="667" spans="1:8" x14ac:dyDescent="0.15">
      <c r="A667" s="62" t="s">
        <v>13</v>
      </c>
      <c r="B667" s="62">
        <v>2500</v>
      </c>
      <c r="C667" s="62">
        <v>15</v>
      </c>
      <c r="D667" s="62">
        <v>0.1241</v>
      </c>
      <c r="E667" s="62">
        <v>251.89830000000001</v>
      </c>
      <c r="F667" s="62">
        <v>14.824</v>
      </c>
      <c r="G667" s="62">
        <v>98.826899999999995</v>
      </c>
      <c r="H667" s="62">
        <v>1.85</v>
      </c>
    </row>
    <row r="668" spans="1:8" x14ac:dyDescent="0.15">
      <c r="A668" s="62" t="s">
        <v>13</v>
      </c>
      <c r="B668" s="62">
        <v>2500</v>
      </c>
      <c r="C668" s="62">
        <v>15</v>
      </c>
      <c r="D668" s="62">
        <v>0.1241</v>
      </c>
      <c r="E668" s="62">
        <v>251.7988</v>
      </c>
      <c r="F668" s="62">
        <v>14.818</v>
      </c>
      <c r="G668" s="62">
        <v>98.787899999999993</v>
      </c>
      <c r="H668" s="62">
        <v>1.86</v>
      </c>
    </row>
    <row r="669" spans="1:8" x14ac:dyDescent="0.15">
      <c r="A669" s="62" t="s">
        <v>13</v>
      </c>
      <c r="B669" s="62">
        <v>2500</v>
      </c>
      <c r="C669" s="62">
        <v>15</v>
      </c>
      <c r="D669" s="62">
        <v>0.124</v>
      </c>
      <c r="E669" s="62">
        <v>251.9308</v>
      </c>
      <c r="F669" s="62">
        <v>14.826000000000001</v>
      </c>
      <c r="G669" s="62">
        <v>98.839699999999993</v>
      </c>
      <c r="H669" s="62">
        <v>1.86</v>
      </c>
    </row>
    <row r="670" spans="1:8" x14ac:dyDescent="0.15">
      <c r="A670" s="62" t="s">
        <v>13</v>
      </c>
      <c r="B670" s="62">
        <v>2500</v>
      </c>
      <c r="C670" s="62">
        <v>15</v>
      </c>
      <c r="D670" s="62">
        <v>0.124</v>
      </c>
      <c r="E670" s="62">
        <v>252.03039999999999</v>
      </c>
      <c r="F670" s="62">
        <v>14.832000000000001</v>
      </c>
      <c r="G670" s="62">
        <v>98.878799999999998</v>
      </c>
      <c r="H670" s="62">
        <v>1.85</v>
      </c>
    </row>
    <row r="671" spans="1:8" x14ac:dyDescent="0.15">
      <c r="A671" s="62" t="s">
        <v>13</v>
      </c>
      <c r="B671" s="62">
        <v>2500</v>
      </c>
      <c r="C671" s="62">
        <v>15</v>
      </c>
      <c r="D671" s="62">
        <v>0.1241</v>
      </c>
      <c r="E671" s="62">
        <v>251.88210000000001</v>
      </c>
      <c r="F671" s="62">
        <v>14.823</v>
      </c>
      <c r="G671" s="62">
        <v>98.820599999999999</v>
      </c>
      <c r="H671" s="62">
        <v>1.86</v>
      </c>
    </row>
    <row r="672" spans="1:8" x14ac:dyDescent="0.15">
      <c r="A672" s="62" t="s">
        <v>13</v>
      </c>
      <c r="B672" s="62">
        <v>2500</v>
      </c>
      <c r="C672" s="62">
        <v>15</v>
      </c>
      <c r="D672" s="62">
        <v>0.1241</v>
      </c>
      <c r="E672" s="62">
        <v>251.89830000000001</v>
      </c>
      <c r="F672" s="62">
        <v>14.824</v>
      </c>
      <c r="G672" s="62">
        <v>98.826899999999995</v>
      </c>
      <c r="H672" s="62">
        <v>1.85</v>
      </c>
    </row>
    <row r="673" spans="1:8" x14ac:dyDescent="0.15">
      <c r="A673" s="62" t="s">
        <v>13</v>
      </c>
      <c r="B673" s="62">
        <v>2500</v>
      </c>
      <c r="C673" s="62">
        <v>15</v>
      </c>
      <c r="D673" s="62">
        <v>0.1241</v>
      </c>
      <c r="E673" s="62">
        <v>251.876</v>
      </c>
      <c r="F673" s="62">
        <v>14.823</v>
      </c>
      <c r="G673" s="62">
        <v>98.818200000000004</v>
      </c>
      <c r="H673" s="62">
        <v>1.83</v>
      </c>
    </row>
    <row r="674" spans="1:8" x14ac:dyDescent="0.15">
      <c r="A674" s="62" t="s">
        <v>13</v>
      </c>
      <c r="B674" s="62">
        <v>2500</v>
      </c>
      <c r="C674" s="62">
        <v>15</v>
      </c>
      <c r="D674" s="62">
        <v>0.1241</v>
      </c>
      <c r="E674" s="62">
        <v>251.8922</v>
      </c>
      <c r="F674" s="62">
        <v>14.824</v>
      </c>
      <c r="G674" s="62">
        <v>98.824600000000004</v>
      </c>
      <c r="H674" s="62">
        <v>1.8</v>
      </c>
    </row>
    <row r="675" spans="1:8" x14ac:dyDescent="0.15">
      <c r="A675" s="62" t="s">
        <v>13</v>
      </c>
      <c r="B675" s="62">
        <v>2500</v>
      </c>
      <c r="C675" s="62">
        <v>15</v>
      </c>
      <c r="D675" s="62">
        <v>0.1241</v>
      </c>
      <c r="E675" s="62">
        <v>251.90029999999999</v>
      </c>
      <c r="F675" s="62">
        <v>14.824</v>
      </c>
      <c r="G675" s="62">
        <v>98.827699999999993</v>
      </c>
      <c r="H675" s="62">
        <v>1.94</v>
      </c>
    </row>
    <row r="676" spans="1:8" x14ac:dyDescent="0.15">
      <c r="A676" s="62" t="s">
        <v>13</v>
      </c>
      <c r="B676" s="62">
        <v>2500</v>
      </c>
      <c r="C676" s="62">
        <v>15</v>
      </c>
      <c r="D676" s="62">
        <v>0.124</v>
      </c>
      <c r="E676" s="62">
        <v>252.03039999999999</v>
      </c>
      <c r="F676" s="62">
        <v>14.832000000000001</v>
      </c>
      <c r="G676" s="62">
        <v>98.878799999999998</v>
      </c>
      <c r="H676" s="62">
        <v>1.86</v>
      </c>
    </row>
    <row r="677" spans="1:8" x14ac:dyDescent="0.15">
      <c r="A677" s="62" t="s">
        <v>13</v>
      </c>
      <c r="B677" s="62">
        <v>2500</v>
      </c>
      <c r="C677" s="62">
        <v>15</v>
      </c>
      <c r="D677" s="62">
        <v>0.124</v>
      </c>
      <c r="E677" s="62">
        <v>251.92670000000001</v>
      </c>
      <c r="F677" s="62">
        <v>14.826000000000001</v>
      </c>
      <c r="G677" s="62">
        <v>98.838099999999997</v>
      </c>
      <c r="H677" s="62">
        <v>1.86</v>
      </c>
    </row>
    <row r="678" spans="1:8" x14ac:dyDescent="0.15">
      <c r="A678" s="62" t="s">
        <v>13</v>
      </c>
      <c r="B678" s="62">
        <v>2500</v>
      </c>
      <c r="C678" s="62">
        <v>15</v>
      </c>
      <c r="D678" s="62">
        <v>0.124</v>
      </c>
      <c r="E678" s="62">
        <v>252.006</v>
      </c>
      <c r="F678" s="62">
        <v>14.83</v>
      </c>
      <c r="G678" s="62">
        <v>98.869200000000006</v>
      </c>
      <c r="H678" s="62">
        <v>1.86</v>
      </c>
    </row>
    <row r="679" spans="1:8" x14ac:dyDescent="0.15">
      <c r="A679" s="62" t="s">
        <v>13</v>
      </c>
      <c r="B679" s="62">
        <v>2500</v>
      </c>
      <c r="C679" s="62">
        <v>15</v>
      </c>
      <c r="D679" s="62">
        <v>0.1241</v>
      </c>
      <c r="E679" s="62">
        <v>251.7928</v>
      </c>
      <c r="F679" s="62">
        <v>14.818</v>
      </c>
      <c r="G679" s="62">
        <v>98.785499999999999</v>
      </c>
      <c r="H679" s="62">
        <v>1.85</v>
      </c>
    </row>
    <row r="680" spans="1:8" x14ac:dyDescent="0.15">
      <c r="A680" s="62" t="s">
        <v>13</v>
      </c>
      <c r="B680" s="62">
        <v>2500</v>
      </c>
      <c r="C680" s="62">
        <v>15</v>
      </c>
      <c r="D680" s="62">
        <v>0.1241</v>
      </c>
      <c r="E680" s="62">
        <v>251.8374</v>
      </c>
      <c r="F680" s="62">
        <v>14.82</v>
      </c>
      <c r="G680" s="62">
        <v>98.803100000000001</v>
      </c>
      <c r="H680" s="62">
        <v>1.86</v>
      </c>
    </row>
    <row r="681" spans="1:8" x14ac:dyDescent="0.15">
      <c r="A681" s="62" t="s">
        <v>13</v>
      </c>
      <c r="B681" s="62">
        <v>2500</v>
      </c>
      <c r="C681" s="62">
        <v>15</v>
      </c>
      <c r="D681" s="62">
        <v>0.1241</v>
      </c>
      <c r="E681" s="62">
        <v>251.85570000000001</v>
      </c>
      <c r="F681" s="62">
        <v>14.821999999999999</v>
      </c>
      <c r="G681" s="62">
        <v>98.810199999999995</v>
      </c>
      <c r="H681" s="62">
        <v>1.86</v>
      </c>
    </row>
    <row r="682" spans="1:8" x14ac:dyDescent="0.15">
      <c r="A682" s="62" t="s">
        <v>13</v>
      </c>
      <c r="B682" s="62">
        <v>2500</v>
      </c>
      <c r="C682" s="62">
        <v>15</v>
      </c>
      <c r="D682" s="62">
        <v>0.1241</v>
      </c>
      <c r="E682" s="62">
        <v>251.7157</v>
      </c>
      <c r="F682" s="62">
        <v>14.813000000000001</v>
      </c>
      <c r="G682" s="62">
        <v>98.755300000000005</v>
      </c>
      <c r="H682" s="62">
        <v>1.86</v>
      </c>
    </row>
    <row r="683" spans="1:8" x14ac:dyDescent="0.15">
      <c r="A683" s="62" t="s">
        <v>13</v>
      </c>
      <c r="B683" s="62">
        <v>2500</v>
      </c>
      <c r="C683" s="62">
        <v>15</v>
      </c>
      <c r="D683" s="62">
        <v>0.1241</v>
      </c>
      <c r="E683" s="62">
        <v>251.85769999999999</v>
      </c>
      <c r="F683" s="62">
        <v>14.821999999999999</v>
      </c>
      <c r="G683" s="62">
        <v>98.811000000000007</v>
      </c>
      <c r="H683" s="62">
        <v>1.86</v>
      </c>
    </row>
    <row r="684" spans="1:8" x14ac:dyDescent="0.15">
      <c r="A684" s="62" t="s">
        <v>13</v>
      </c>
      <c r="B684" s="62">
        <v>2500</v>
      </c>
      <c r="C684" s="62">
        <v>15</v>
      </c>
      <c r="D684" s="62">
        <v>0.1241</v>
      </c>
      <c r="E684" s="62">
        <v>251.86580000000001</v>
      </c>
      <c r="F684" s="62">
        <v>14.821999999999999</v>
      </c>
      <c r="G684" s="62">
        <v>98.8142</v>
      </c>
      <c r="H684" s="62">
        <v>1.85</v>
      </c>
    </row>
    <row r="685" spans="1:8" x14ac:dyDescent="0.15">
      <c r="A685" s="62" t="s">
        <v>13</v>
      </c>
      <c r="B685" s="62">
        <v>2500</v>
      </c>
      <c r="C685" s="62">
        <v>15</v>
      </c>
      <c r="D685" s="62">
        <v>0.1241</v>
      </c>
      <c r="E685" s="62">
        <v>251.8374</v>
      </c>
      <c r="F685" s="62">
        <v>14.82</v>
      </c>
      <c r="G685" s="62">
        <v>98.803100000000001</v>
      </c>
      <c r="H685" s="62">
        <v>1.86</v>
      </c>
    </row>
    <row r="686" spans="1:8" x14ac:dyDescent="0.15">
      <c r="A686" s="62" t="s">
        <v>13</v>
      </c>
      <c r="B686" s="62">
        <v>2500</v>
      </c>
      <c r="C686" s="62">
        <v>15</v>
      </c>
      <c r="D686" s="62">
        <v>0.124</v>
      </c>
      <c r="E686" s="62">
        <v>251.9288</v>
      </c>
      <c r="F686" s="62">
        <v>14.826000000000001</v>
      </c>
      <c r="G686" s="62">
        <v>98.838899999999995</v>
      </c>
      <c r="H686" s="62">
        <v>1.86</v>
      </c>
    </row>
    <row r="687" spans="1:8" x14ac:dyDescent="0.15">
      <c r="A687" s="62" t="s">
        <v>13</v>
      </c>
      <c r="B687" s="62">
        <v>2500</v>
      </c>
      <c r="C687" s="62">
        <v>15</v>
      </c>
      <c r="D687" s="62">
        <v>0.1241</v>
      </c>
      <c r="E687" s="62">
        <v>251.86789999999999</v>
      </c>
      <c r="F687" s="62">
        <v>14.821999999999999</v>
      </c>
      <c r="G687" s="62">
        <v>98.814999999999998</v>
      </c>
      <c r="H687" s="62">
        <v>1.86</v>
      </c>
    </row>
    <row r="688" spans="1:8" x14ac:dyDescent="0.15">
      <c r="A688" s="62" t="s">
        <v>13</v>
      </c>
      <c r="B688" s="62">
        <v>2500</v>
      </c>
      <c r="C688" s="62">
        <v>15</v>
      </c>
      <c r="D688" s="62">
        <v>0.1241</v>
      </c>
      <c r="E688" s="62">
        <v>251.80090000000001</v>
      </c>
      <c r="F688" s="62">
        <v>14.818</v>
      </c>
      <c r="G688" s="62">
        <v>98.788700000000006</v>
      </c>
      <c r="H688" s="62">
        <v>1.86</v>
      </c>
    </row>
    <row r="689" spans="1:8" x14ac:dyDescent="0.15">
      <c r="A689" s="62" t="s">
        <v>13</v>
      </c>
      <c r="B689" s="62">
        <v>2500</v>
      </c>
      <c r="C689" s="62">
        <v>15</v>
      </c>
      <c r="D689" s="62">
        <v>0.124</v>
      </c>
      <c r="E689" s="62">
        <v>251.97749999999999</v>
      </c>
      <c r="F689" s="62">
        <v>14.829000000000001</v>
      </c>
      <c r="G689" s="62">
        <v>98.858000000000004</v>
      </c>
      <c r="H689" s="62">
        <v>1.85</v>
      </c>
    </row>
    <row r="690" spans="1:8" x14ac:dyDescent="0.15">
      <c r="A690" s="62" t="s">
        <v>13</v>
      </c>
      <c r="B690" s="62">
        <v>2500</v>
      </c>
      <c r="C690" s="62">
        <v>15</v>
      </c>
      <c r="D690" s="62">
        <v>0.1241</v>
      </c>
      <c r="E690" s="62">
        <v>251.8536</v>
      </c>
      <c r="F690" s="62">
        <v>14.821</v>
      </c>
      <c r="G690" s="62">
        <v>98.809399999999997</v>
      </c>
      <c r="H690" s="62">
        <v>1.86</v>
      </c>
    </row>
    <row r="691" spans="1:8" x14ac:dyDescent="0.15">
      <c r="A691" s="62" t="s">
        <v>13</v>
      </c>
      <c r="B691" s="62">
        <v>2500</v>
      </c>
      <c r="C691" s="62">
        <v>15</v>
      </c>
      <c r="D691" s="62">
        <v>0.1241</v>
      </c>
      <c r="E691" s="62">
        <v>251.83330000000001</v>
      </c>
      <c r="F691" s="62">
        <v>14.82</v>
      </c>
      <c r="G691" s="62">
        <v>98.801500000000004</v>
      </c>
      <c r="H691" s="62">
        <v>1.78</v>
      </c>
    </row>
    <row r="692" spans="1:8" x14ac:dyDescent="0.15">
      <c r="A692" s="62" t="s">
        <v>13</v>
      </c>
      <c r="B692" s="62">
        <v>2500</v>
      </c>
      <c r="C692" s="62">
        <v>15</v>
      </c>
      <c r="D692" s="62">
        <v>0.1241</v>
      </c>
      <c r="E692" s="62">
        <v>251.84350000000001</v>
      </c>
      <c r="F692" s="62">
        <v>14.821</v>
      </c>
      <c r="G692" s="62">
        <v>98.805400000000006</v>
      </c>
      <c r="H692" s="62">
        <v>1.83</v>
      </c>
    </row>
    <row r="693" spans="1:8" x14ac:dyDescent="0.15">
      <c r="A693" s="62" t="s">
        <v>13</v>
      </c>
      <c r="B693" s="62">
        <v>2500</v>
      </c>
      <c r="C693" s="62">
        <v>15</v>
      </c>
      <c r="D693" s="62">
        <v>0.1241</v>
      </c>
      <c r="E693" s="62">
        <v>251.81710000000001</v>
      </c>
      <c r="F693" s="62">
        <v>14.819000000000001</v>
      </c>
      <c r="G693" s="62">
        <v>98.795100000000005</v>
      </c>
      <c r="H693" s="62">
        <v>1.98</v>
      </c>
    </row>
    <row r="694" spans="1:8" x14ac:dyDescent="0.15">
      <c r="A694" s="62" t="s">
        <v>13</v>
      </c>
      <c r="B694" s="62">
        <v>2500</v>
      </c>
      <c r="C694" s="62">
        <v>15</v>
      </c>
      <c r="D694" s="62">
        <v>0.1241</v>
      </c>
      <c r="E694" s="62">
        <v>251.8597</v>
      </c>
      <c r="F694" s="62">
        <v>14.821999999999999</v>
      </c>
      <c r="G694" s="62">
        <v>98.811800000000005</v>
      </c>
      <c r="H694" s="62">
        <v>1.85</v>
      </c>
    </row>
    <row r="695" spans="1:8" x14ac:dyDescent="0.15">
      <c r="A695" s="62" t="s">
        <v>13</v>
      </c>
      <c r="B695" s="62">
        <v>2500</v>
      </c>
      <c r="C695" s="62">
        <v>15</v>
      </c>
      <c r="D695" s="62">
        <v>0.124</v>
      </c>
      <c r="E695" s="62">
        <v>251.9349</v>
      </c>
      <c r="F695" s="62">
        <v>14.826000000000001</v>
      </c>
      <c r="G695" s="62">
        <v>98.841300000000004</v>
      </c>
      <c r="H695" s="62">
        <v>1.86</v>
      </c>
    </row>
    <row r="696" spans="1:8" x14ac:dyDescent="0.15">
      <c r="A696" s="62" t="s">
        <v>13</v>
      </c>
      <c r="B696" s="62">
        <v>2500</v>
      </c>
      <c r="C696" s="62">
        <v>15</v>
      </c>
      <c r="D696" s="62">
        <v>0.124</v>
      </c>
      <c r="E696" s="62">
        <v>251.9674</v>
      </c>
      <c r="F696" s="62">
        <v>14.827999999999999</v>
      </c>
      <c r="G696" s="62">
        <v>98.853999999999999</v>
      </c>
      <c r="H696" s="62">
        <v>1.86</v>
      </c>
    </row>
    <row r="697" spans="1:8" x14ac:dyDescent="0.15">
      <c r="A697" s="62" t="s">
        <v>13</v>
      </c>
      <c r="B697" s="62">
        <v>2500</v>
      </c>
      <c r="C697" s="62">
        <v>15</v>
      </c>
      <c r="D697" s="62">
        <v>0.1241</v>
      </c>
      <c r="E697" s="62">
        <v>251.73599999999999</v>
      </c>
      <c r="F697" s="62">
        <v>14.814</v>
      </c>
      <c r="G697" s="62">
        <v>98.763300000000001</v>
      </c>
      <c r="H697" s="62">
        <v>1.86</v>
      </c>
    </row>
    <row r="698" spans="1:8" x14ac:dyDescent="0.15">
      <c r="A698" s="62" t="s">
        <v>13</v>
      </c>
      <c r="B698" s="62">
        <v>2500</v>
      </c>
      <c r="C698" s="62">
        <v>15</v>
      </c>
      <c r="D698" s="62">
        <v>0.1241</v>
      </c>
      <c r="E698" s="62">
        <v>251.81909999999999</v>
      </c>
      <c r="F698" s="62">
        <v>14.819000000000001</v>
      </c>
      <c r="G698" s="62">
        <v>98.795900000000003</v>
      </c>
      <c r="H698" s="62">
        <v>1.86</v>
      </c>
    </row>
    <row r="699" spans="1:8" x14ac:dyDescent="0.15">
      <c r="A699" s="62" t="s">
        <v>13</v>
      </c>
      <c r="B699" s="62">
        <v>2500</v>
      </c>
      <c r="C699" s="62">
        <v>15</v>
      </c>
      <c r="D699" s="62">
        <v>0.1241</v>
      </c>
      <c r="E699" s="62">
        <v>251.8638</v>
      </c>
      <c r="F699" s="62">
        <v>14.821999999999999</v>
      </c>
      <c r="G699" s="62">
        <v>98.813400000000001</v>
      </c>
      <c r="H699" s="62">
        <v>1.85</v>
      </c>
    </row>
    <row r="700" spans="1:8" x14ac:dyDescent="0.15">
      <c r="A700" s="62" t="s">
        <v>13</v>
      </c>
      <c r="B700" s="62">
        <v>2500</v>
      </c>
      <c r="C700" s="62">
        <v>15</v>
      </c>
      <c r="D700" s="62">
        <v>0.124</v>
      </c>
      <c r="E700" s="62">
        <v>251.9674</v>
      </c>
      <c r="F700" s="62">
        <v>14.827999999999999</v>
      </c>
      <c r="G700" s="62">
        <v>98.853999999999999</v>
      </c>
      <c r="H700" s="62">
        <v>1.86</v>
      </c>
    </row>
    <row r="701" spans="1:8" x14ac:dyDescent="0.15">
      <c r="A701" s="62" t="s">
        <v>13</v>
      </c>
      <c r="B701" s="62">
        <v>2500</v>
      </c>
      <c r="C701" s="62">
        <v>15</v>
      </c>
      <c r="D701" s="62">
        <v>0.1241</v>
      </c>
      <c r="E701" s="62">
        <v>251.80090000000001</v>
      </c>
      <c r="F701" s="62">
        <v>14.818</v>
      </c>
      <c r="G701" s="62">
        <v>98.788700000000006</v>
      </c>
      <c r="H701" s="62">
        <v>1.86</v>
      </c>
    </row>
    <row r="702" spans="1:8" x14ac:dyDescent="0.15">
      <c r="A702" s="62" t="s">
        <v>13</v>
      </c>
      <c r="B702" s="62">
        <v>2500</v>
      </c>
      <c r="C702" s="62">
        <v>15</v>
      </c>
      <c r="D702" s="62">
        <v>0.1241</v>
      </c>
      <c r="E702" s="62">
        <v>251.91249999999999</v>
      </c>
      <c r="F702" s="62">
        <v>14.824999999999999</v>
      </c>
      <c r="G702" s="62">
        <v>98.832499999999996</v>
      </c>
      <c r="H702" s="62">
        <v>1.87</v>
      </c>
    </row>
    <row r="703" spans="1:8" x14ac:dyDescent="0.15">
      <c r="A703" s="62" t="s">
        <v>13</v>
      </c>
      <c r="B703" s="62">
        <v>2500</v>
      </c>
      <c r="C703" s="62">
        <v>15</v>
      </c>
      <c r="D703" s="62">
        <v>0.1241</v>
      </c>
      <c r="E703" s="62">
        <v>251.8252</v>
      </c>
      <c r="F703" s="62">
        <v>14.82</v>
      </c>
      <c r="G703" s="62">
        <v>98.798299999999998</v>
      </c>
      <c r="H703" s="62">
        <v>1.85</v>
      </c>
    </row>
    <row r="704" spans="1:8" x14ac:dyDescent="0.15">
      <c r="A704" s="62" t="s">
        <v>13</v>
      </c>
      <c r="B704" s="62">
        <v>2500</v>
      </c>
      <c r="C704" s="62">
        <v>15</v>
      </c>
      <c r="D704" s="62">
        <v>0.1241</v>
      </c>
      <c r="E704" s="62">
        <v>251.8049</v>
      </c>
      <c r="F704" s="62">
        <v>14.819000000000001</v>
      </c>
      <c r="G704" s="62">
        <v>98.790300000000002</v>
      </c>
      <c r="H704" s="62">
        <v>1.85</v>
      </c>
    </row>
    <row r="705" spans="1:8" x14ac:dyDescent="0.15">
      <c r="A705" s="62" t="s">
        <v>13</v>
      </c>
      <c r="B705" s="62">
        <v>2500</v>
      </c>
      <c r="C705" s="62">
        <v>15</v>
      </c>
      <c r="D705" s="62">
        <v>0.1241</v>
      </c>
      <c r="E705" s="62">
        <v>251.85159999999999</v>
      </c>
      <c r="F705" s="62">
        <v>14.821</v>
      </c>
      <c r="G705" s="62">
        <v>98.808599999999998</v>
      </c>
      <c r="H705" s="62">
        <v>1.86</v>
      </c>
    </row>
    <row r="706" spans="1:8" x14ac:dyDescent="0.15">
      <c r="A706" s="62" t="s">
        <v>13</v>
      </c>
      <c r="B706" s="62">
        <v>2500</v>
      </c>
      <c r="C706" s="62">
        <v>15</v>
      </c>
      <c r="D706" s="62">
        <v>0.124</v>
      </c>
      <c r="E706" s="62">
        <v>251.97139999999999</v>
      </c>
      <c r="F706" s="62">
        <v>14.827999999999999</v>
      </c>
      <c r="G706" s="62">
        <v>98.855599999999995</v>
      </c>
      <c r="H706" s="62">
        <v>1.86</v>
      </c>
    </row>
    <row r="707" spans="1:8" x14ac:dyDescent="0.15">
      <c r="A707" s="62" t="s">
        <v>13</v>
      </c>
      <c r="B707" s="62">
        <v>2500</v>
      </c>
      <c r="C707" s="62">
        <v>15</v>
      </c>
      <c r="D707" s="62">
        <v>0.1242</v>
      </c>
      <c r="E707" s="62">
        <v>251.65889999999999</v>
      </c>
      <c r="F707" s="62">
        <v>14.81</v>
      </c>
      <c r="G707" s="62">
        <v>98.733000000000004</v>
      </c>
      <c r="H707" s="62">
        <v>1.87</v>
      </c>
    </row>
    <row r="708" spans="1:8" x14ac:dyDescent="0.15">
      <c r="A708" s="62" t="s">
        <v>13</v>
      </c>
      <c r="B708" s="62">
        <v>2500</v>
      </c>
      <c r="C708" s="62">
        <v>15</v>
      </c>
      <c r="D708" s="62">
        <v>0.124</v>
      </c>
      <c r="E708" s="62">
        <v>251.96530000000001</v>
      </c>
      <c r="F708" s="62">
        <v>14.827999999999999</v>
      </c>
      <c r="G708" s="62">
        <v>98.853200000000001</v>
      </c>
      <c r="H708" s="62">
        <v>1.85</v>
      </c>
    </row>
    <row r="709" spans="1:8" x14ac:dyDescent="0.15">
      <c r="A709" s="62" t="s">
        <v>13</v>
      </c>
      <c r="B709" s="62">
        <v>2500</v>
      </c>
      <c r="C709" s="62">
        <v>15</v>
      </c>
      <c r="D709" s="62">
        <v>0.124</v>
      </c>
      <c r="E709" s="62">
        <v>251.92060000000001</v>
      </c>
      <c r="F709" s="62">
        <v>14.824999999999999</v>
      </c>
      <c r="G709" s="62">
        <v>98.835700000000003</v>
      </c>
      <c r="H709" s="62">
        <v>1.72</v>
      </c>
    </row>
    <row r="710" spans="1:8" x14ac:dyDescent="0.15">
      <c r="A710" s="62" t="s">
        <v>13</v>
      </c>
      <c r="B710" s="62">
        <v>2500</v>
      </c>
      <c r="C710" s="62">
        <v>15</v>
      </c>
      <c r="D710" s="62">
        <v>0.12429999999999999</v>
      </c>
      <c r="E710" s="62">
        <v>251.39779999999999</v>
      </c>
      <c r="F710" s="62">
        <v>14.795</v>
      </c>
      <c r="G710" s="62">
        <v>98.630600000000001</v>
      </c>
      <c r="H710" s="62">
        <v>1.95</v>
      </c>
    </row>
    <row r="711" spans="1:8" x14ac:dyDescent="0.15">
      <c r="A711" s="62" t="s">
        <v>13</v>
      </c>
      <c r="B711" s="62">
        <v>2500</v>
      </c>
      <c r="C711" s="62">
        <v>15</v>
      </c>
      <c r="D711" s="62">
        <v>0.1241</v>
      </c>
      <c r="E711" s="62">
        <v>251.90639999999999</v>
      </c>
      <c r="F711" s="62">
        <v>14.824999999999999</v>
      </c>
      <c r="G711" s="62">
        <v>98.830100000000002</v>
      </c>
      <c r="H711" s="62">
        <v>1.9</v>
      </c>
    </row>
    <row r="712" spans="1:8" x14ac:dyDescent="0.15">
      <c r="A712" s="62" t="s">
        <v>13</v>
      </c>
      <c r="B712" s="62">
        <v>2500</v>
      </c>
      <c r="C712" s="62">
        <v>15</v>
      </c>
      <c r="D712" s="62">
        <v>0.1241</v>
      </c>
      <c r="E712" s="62">
        <v>251.85570000000001</v>
      </c>
      <c r="F712" s="62">
        <v>14.821999999999999</v>
      </c>
      <c r="G712" s="62">
        <v>98.810199999999995</v>
      </c>
      <c r="H712" s="62">
        <v>1.86</v>
      </c>
    </row>
    <row r="713" spans="1:8" x14ac:dyDescent="0.15">
      <c r="A713" s="62" t="s">
        <v>13</v>
      </c>
      <c r="B713" s="62">
        <v>2500</v>
      </c>
      <c r="C713" s="62">
        <v>15</v>
      </c>
      <c r="D713" s="62">
        <v>0.1241</v>
      </c>
      <c r="E713" s="62">
        <v>251.88210000000001</v>
      </c>
      <c r="F713" s="62">
        <v>14.823</v>
      </c>
      <c r="G713" s="62">
        <v>98.820599999999999</v>
      </c>
      <c r="H713" s="62">
        <v>1.86</v>
      </c>
    </row>
    <row r="714" spans="1:8" x14ac:dyDescent="0.15">
      <c r="A714" s="62" t="s">
        <v>13</v>
      </c>
      <c r="B714" s="62">
        <v>2500</v>
      </c>
      <c r="C714" s="62">
        <v>15</v>
      </c>
      <c r="D714" s="62">
        <v>0.1241</v>
      </c>
      <c r="E714" s="62">
        <v>251.80289999999999</v>
      </c>
      <c r="F714" s="62">
        <v>14.818</v>
      </c>
      <c r="G714" s="62">
        <v>98.789500000000004</v>
      </c>
      <c r="H714" s="62">
        <v>1.85</v>
      </c>
    </row>
    <row r="715" spans="1:8" x14ac:dyDescent="0.15">
      <c r="A715" s="62" t="s">
        <v>13</v>
      </c>
      <c r="B715" s="62">
        <v>2500</v>
      </c>
      <c r="C715" s="62">
        <v>15</v>
      </c>
      <c r="D715" s="62">
        <v>0.1241</v>
      </c>
      <c r="E715" s="62">
        <v>251.79069999999999</v>
      </c>
      <c r="F715" s="62">
        <v>14.818</v>
      </c>
      <c r="G715" s="62">
        <v>98.784700000000001</v>
      </c>
      <c r="H715" s="62">
        <v>1.86</v>
      </c>
    </row>
    <row r="716" spans="1:8" x14ac:dyDescent="0.15">
      <c r="A716" s="62" t="s">
        <v>13</v>
      </c>
      <c r="B716" s="62">
        <v>2500</v>
      </c>
      <c r="C716" s="62">
        <v>16</v>
      </c>
      <c r="D716" s="62">
        <v>0.113</v>
      </c>
      <c r="E716" s="62">
        <v>276.56580000000002</v>
      </c>
      <c r="F716" s="62">
        <v>16.276</v>
      </c>
      <c r="G716" s="62">
        <v>101.72320000000001</v>
      </c>
      <c r="H716" s="62">
        <v>1.79</v>
      </c>
    </row>
    <row r="717" spans="1:8" x14ac:dyDescent="0.15">
      <c r="A717" s="62" t="s">
        <v>13</v>
      </c>
      <c r="B717" s="62">
        <v>2500</v>
      </c>
      <c r="C717" s="62">
        <v>16</v>
      </c>
      <c r="D717" s="62">
        <v>0.10970000000000001</v>
      </c>
      <c r="E717" s="62">
        <v>284.79509999999999</v>
      </c>
      <c r="F717" s="62">
        <v>16.760000000000002</v>
      </c>
      <c r="G717" s="62">
        <v>104.75</v>
      </c>
      <c r="H717" s="62">
        <v>1.75</v>
      </c>
    </row>
    <row r="718" spans="1:8" x14ac:dyDescent="0.15">
      <c r="A718" s="62" t="s">
        <v>13</v>
      </c>
      <c r="B718" s="62">
        <v>2500</v>
      </c>
      <c r="C718" s="62">
        <v>16</v>
      </c>
      <c r="D718" s="62">
        <v>0.1109</v>
      </c>
      <c r="E718" s="62">
        <v>281.83620000000002</v>
      </c>
      <c r="F718" s="62">
        <v>16.585999999999999</v>
      </c>
      <c r="G718" s="62">
        <v>103.6617</v>
      </c>
      <c r="H718" s="62">
        <v>1.77</v>
      </c>
    </row>
    <row r="719" spans="1:8" x14ac:dyDescent="0.15">
      <c r="A719" s="62" t="s">
        <v>13</v>
      </c>
      <c r="B719" s="62">
        <v>2500</v>
      </c>
      <c r="C719" s="62">
        <v>16</v>
      </c>
      <c r="D719" s="62">
        <v>0.11210000000000001</v>
      </c>
      <c r="E719" s="62">
        <v>278.89080000000001</v>
      </c>
      <c r="F719" s="62">
        <v>16.413</v>
      </c>
      <c r="G719" s="62">
        <v>102.5783</v>
      </c>
      <c r="H719" s="62">
        <v>1.79</v>
      </c>
    </row>
    <row r="720" spans="1:8" x14ac:dyDescent="0.15">
      <c r="A720" s="62" t="s">
        <v>13</v>
      </c>
      <c r="B720" s="62">
        <v>2500</v>
      </c>
      <c r="C720" s="62">
        <v>16</v>
      </c>
      <c r="D720" s="62">
        <v>0.1105</v>
      </c>
      <c r="E720" s="62">
        <v>282.70819999999998</v>
      </c>
      <c r="F720" s="62">
        <v>16.637</v>
      </c>
      <c r="G720" s="62">
        <v>103.9824</v>
      </c>
      <c r="H720" s="62">
        <v>1.77</v>
      </c>
    </row>
    <row r="721" spans="1:8" x14ac:dyDescent="0.15">
      <c r="A721" s="62" t="s">
        <v>13</v>
      </c>
      <c r="B721" s="62">
        <v>2500</v>
      </c>
      <c r="C721" s="62">
        <v>16</v>
      </c>
      <c r="D721" s="62">
        <v>0.1125</v>
      </c>
      <c r="E721" s="62">
        <v>277.83949999999999</v>
      </c>
      <c r="F721" s="62">
        <v>16.350999999999999</v>
      </c>
      <c r="G721" s="62">
        <v>102.1917</v>
      </c>
      <c r="H721" s="62">
        <v>1.8</v>
      </c>
    </row>
    <row r="722" spans="1:8" x14ac:dyDescent="0.15">
      <c r="A722" s="62" t="s">
        <v>13</v>
      </c>
      <c r="B722" s="62">
        <v>2500</v>
      </c>
      <c r="C722" s="62">
        <v>16</v>
      </c>
      <c r="D722" s="62">
        <v>0.11219999999999999</v>
      </c>
      <c r="E722" s="62">
        <v>278.48329999999999</v>
      </c>
      <c r="F722" s="62">
        <v>16.388999999999999</v>
      </c>
      <c r="G722" s="62">
        <v>102.4284</v>
      </c>
      <c r="H722" s="62">
        <v>1.79</v>
      </c>
    </row>
    <row r="723" spans="1:8" x14ac:dyDescent="0.15">
      <c r="A723" s="62" t="s">
        <v>13</v>
      </c>
      <c r="B723" s="62">
        <v>2500</v>
      </c>
      <c r="C723" s="62">
        <v>16</v>
      </c>
      <c r="D723" s="62">
        <v>0.1123</v>
      </c>
      <c r="E723" s="62">
        <v>278.21050000000002</v>
      </c>
      <c r="F723" s="62">
        <v>16.372</v>
      </c>
      <c r="G723" s="62">
        <v>102.32810000000001</v>
      </c>
      <c r="H723" s="62">
        <v>1.8</v>
      </c>
    </row>
    <row r="724" spans="1:8" x14ac:dyDescent="0.15">
      <c r="A724" s="62" t="s">
        <v>13</v>
      </c>
      <c r="B724" s="62">
        <v>2500</v>
      </c>
      <c r="C724" s="62">
        <v>16</v>
      </c>
      <c r="D724" s="62">
        <v>0.11070000000000001</v>
      </c>
      <c r="E724" s="62">
        <v>282.23840000000001</v>
      </c>
      <c r="F724" s="62">
        <v>16.61</v>
      </c>
      <c r="G724" s="62">
        <v>103.8096</v>
      </c>
      <c r="H724" s="62">
        <v>1.77</v>
      </c>
    </row>
    <row r="725" spans="1:8" x14ac:dyDescent="0.15">
      <c r="A725" s="62" t="s">
        <v>13</v>
      </c>
      <c r="B725" s="62">
        <v>2500</v>
      </c>
      <c r="C725" s="62">
        <v>16</v>
      </c>
      <c r="D725" s="62">
        <v>0.1104</v>
      </c>
      <c r="E725" s="62">
        <v>283.15390000000002</v>
      </c>
      <c r="F725" s="62">
        <v>16.663</v>
      </c>
      <c r="G725" s="62">
        <v>104.1463</v>
      </c>
      <c r="H725" s="62">
        <v>1.76</v>
      </c>
    </row>
    <row r="726" spans="1:8" x14ac:dyDescent="0.15">
      <c r="A726" s="62" t="s">
        <v>13</v>
      </c>
      <c r="B726" s="62">
        <v>2500</v>
      </c>
      <c r="C726" s="62">
        <v>16</v>
      </c>
      <c r="D726" s="62">
        <v>0.1111</v>
      </c>
      <c r="E726" s="62">
        <v>281.2022</v>
      </c>
      <c r="F726" s="62">
        <v>16.548999999999999</v>
      </c>
      <c r="G726" s="62">
        <v>103.4285</v>
      </c>
      <c r="H726" s="62">
        <v>1.77</v>
      </c>
    </row>
    <row r="727" spans="1:8" x14ac:dyDescent="0.15">
      <c r="A727" s="62" t="s">
        <v>13</v>
      </c>
      <c r="B727" s="62">
        <v>2500</v>
      </c>
      <c r="C727" s="62">
        <v>16</v>
      </c>
      <c r="D727" s="62">
        <v>0.11360000000000001</v>
      </c>
      <c r="E727" s="62">
        <v>275.07830000000001</v>
      </c>
      <c r="F727" s="62">
        <v>16.187999999999999</v>
      </c>
      <c r="G727" s="62">
        <v>101.17610000000001</v>
      </c>
      <c r="H727" s="62">
        <v>1.82</v>
      </c>
    </row>
    <row r="728" spans="1:8" x14ac:dyDescent="0.15">
      <c r="A728" s="62" t="s">
        <v>13</v>
      </c>
      <c r="B728" s="62">
        <v>2500</v>
      </c>
      <c r="C728" s="62">
        <v>16</v>
      </c>
      <c r="D728" s="62">
        <v>0.1116</v>
      </c>
      <c r="E728" s="62">
        <v>279.97030000000001</v>
      </c>
      <c r="F728" s="62">
        <v>16.475999999999999</v>
      </c>
      <c r="G728" s="62">
        <v>102.97539999999999</v>
      </c>
      <c r="H728" s="62">
        <v>1.71</v>
      </c>
    </row>
    <row r="729" spans="1:8" x14ac:dyDescent="0.15">
      <c r="A729" s="62" t="s">
        <v>13</v>
      </c>
      <c r="B729" s="62">
        <v>2500</v>
      </c>
      <c r="C729" s="62">
        <v>16</v>
      </c>
      <c r="D729" s="62">
        <v>0.11020000000000001</v>
      </c>
      <c r="E729" s="62">
        <v>283.64479999999998</v>
      </c>
      <c r="F729" s="62">
        <v>16.692</v>
      </c>
      <c r="G729" s="62">
        <v>104.32689999999999</v>
      </c>
      <c r="H729" s="62">
        <v>1.76</v>
      </c>
    </row>
    <row r="730" spans="1:8" x14ac:dyDescent="0.15">
      <c r="A730" s="62" t="s">
        <v>13</v>
      </c>
      <c r="B730" s="62">
        <v>2500</v>
      </c>
      <c r="C730" s="62">
        <v>16</v>
      </c>
      <c r="D730" s="62">
        <v>0.1109</v>
      </c>
      <c r="E730" s="62">
        <v>281.9074</v>
      </c>
      <c r="F730" s="62">
        <v>16.59</v>
      </c>
      <c r="G730" s="62">
        <v>103.6879</v>
      </c>
      <c r="H730" s="62">
        <v>1.85</v>
      </c>
    </row>
    <row r="731" spans="1:8" x14ac:dyDescent="0.15">
      <c r="A731" s="62" t="s">
        <v>13</v>
      </c>
      <c r="B731" s="62">
        <v>2500</v>
      </c>
      <c r="C731" s="62">
        <v>16</v>
      </c>
      <c r="D731" s="62">
        <v>0.1114</v>
      </c>
      <c r="E731" s="62">
        <v>280.61380000000003</v>
      </c>
      <c r="F731" s="62">
        <v>16.513999999999999</v>
      </c>
      <c r="G731" s="62">
        <v>103.21210000000001</v>
      </c>
      <c r="H731" s="62">
        <v>1.78</v>
      </c>
    </row>
    <row r="732" spans="1:8" x14ac:dyDescent="0.15">
      <c r="A732" s="62" t="s">
        <v>13</v>
      </c>
      <c r="B732" s="62">
        <v>2500</v>
      </c>
      <c r="C732" s="62">
        <v>16</v>
      </c>
      <c r="D732" s="62">
        <v>0.11020000000000001</v>
      </c>
      <c r="E732" s="62">
        <v>283.5779</v>
      </c>
      <c r="F732" s="62">
        <v>16.687999999999999</v>
      </c>
      <c r="G732" s="62">
        <v>104.3023</v>
      </c>
      <c r="H732" s="62">
        <v>1.77</v>
      </c>
    </row>
    <row r="733" spans="1:8" x14ac:dyDescent="0.15">
      <c r="A733" s="62" t="s">
        <v>13</v>
      </c>
      <c r="B733" s="62">
        <v>2500</v>
      </c>
      <c r="C733" s="62">
        <v>16</v>
      </c>
      <c r="D733" s="62">
        <v>0.1104</v>
      </c>
      <c r="E733" s="62">
        <v>283.16419999999999</v>
      </c>
      <c r="F733" s="62">
        <v>16.664000000000001</v>
      </c>
      <c r="G733" s="62">
        <v>104.15009999999999</v>
      </c>
      <c r="H733" s="62">
        <v>1.76</v>
      </c>
    </row>
    <row r="734" spans="1:8" x14ac:dyDescent="0.15">
      <c r="A734" s="62" t="s">
        <v>13</v>
      </c>
      <c r="B734" s="62">
        <v>2500</v>
      </c>
      <c r="C734" s="62">
        <v>16</v>
      </c>
      <c r="D734" s="62">
        <v>0.1114</v>
      </c>
      <c r="E734" s="62">
        <v>280.58609999999999</v>
      </c>
      <c r="F734" s="62">
        <v>16.512</v>
      </c>
      <c r="G734" s="62">
        <v>103.20189999999999</v>
      </c>
      <c r="H734" s="62">
        <v>1.78</v>
      </c>
    </row>
    <row r="735" spans="1:8" x14ac:dyDescent="0.15">
      <c r="A735" s="62" t="s">
        <v>13</v>
      </c>
      <c r="B735" s="62">
        <v>2500</v>
      </c>
      <c r="C735" s="62">
        <v>16</v>
      </c>
      <c r="D735" s="62">
        <v>0.1108</v>
      </c>
      <c r="E735" s="62">
        <v>281.95069999999998</v>
      </c>
      <c r="F735" s="62">
        <v>16.593</v>
      </c>
      <c r="G735" s="62">
        <v>103.7038</v>
      </c>
      <c r="H735" s="62">
        <v>1.78</v>
      </c>
    </row>
    <row r="736" spans="1:8" x14ac:dyDescent="0.15">
      <c r="A736" s="62" t="s">
        <v>13</v>
      </c>
      <c r="B736" s="62">
        <v>2500</v>
      </c>
      <c r="C736" s="62">
        <v>16</v>
      </c>
      <c r="D736" s="62">
        <v>0.1123</v>
      </c>
      <c r="E736" s="62">
        <v>278.26749999999998</v>
      </c>
      <c r="F736" s="62">
        <v>16.376000000000001</v>
      </c>
      <c r="G736" s="62">
        <v>102.34910000000001</v>
      </c>
      <c r="H736" s="62">
        <v>1.79</v>
      </c>
    </row>
    <row r="737" spans="1:8" x14ac:dyDescent="0.15">
      <c r="A737" s="62" t="s">
        <v>13</v>
      </c>
      <c r="B737" s="62">
        <v>2500</v>
      </c>
      <c r="C737" s="62">
        <v>16</v>
      </c>
      <c r="D737" s="62">
        <v>0.1123</v>
      </c>
      <c r="E737" s="62">
        <v>278.2081</v>
      </c>
      <c r="F737" s="62">
        <v>16.372</v>
      </c>
      <c r="G737" s="62">
        <v>102.3272</v>
      </c>
      <c r="H737" s="62">
        <v>1.8</v>
      </c>
    </row>
    <row r="738" spans="1:8" x14ac:dyDescent="0.15">
      <c r="A738" s="62" t="s">
        <v>13</v>
      </c>
      <c r="B738" s="62">
        <v>2500</v>
      </c>
      <c r="C738" s="62">
        <v>16</v>
      </c>
      <c r="D738" s="62">
        <v>0.1101</v>
      </c>
      <c r="E738" s="62">
        <v>283.77100000000002</v>
      </c>
      <c r="F738" s="62">
        <v>16.7</v>
      </c>
      <c r="G738" s="62">
        <v>104.3733</v>
      </c>
      <c r="H738" s="62">
        <v>1.76</v>
      </c>
    </row>
    <row r="739" spans="1:8" x14ac:dyDescent="0.15">
      <c r="A739" s="62" t="s">
        <v>13</v>
      </c>
      <c r="B739" s="62">
        <v>2500</v>
      </c>
      <c r="C739" s="62">
        <v>16</v>
      </c>
      <c r="D739" s="62">
        <v>0.10970000000000001</v>
      </c>
      <c r="E739" s="62">
        <v>284.95100000000002</v>
      </c>
      <c r="F739" s="62">
        <v>16.768999999999998</v>
      </c>
      <c r="G739" s="62">
        <v>104.8073</v>
      </c>
      <c r="H739" s="62">
        <v>1.75</v>
      </c>
    </row>
    <row r="740" spans="1:8" x14ac:dyDescent="0.15">
      <c r="A740" s="62" t="s">
        <v>13</v>
      </c>
      <c r="B740" s="62">
        <v>2500</v>
      </c>
      <c r="C740" s="62">
        <v>16</v>
      </c>
      <c r="D740" s="62">
        <v>0.1099</v>
      </c>
      <c r="E740" s="62">
        <v>284.24340000000001</v>
      </c>
      <c r="F740" s="62">
        <v>16.728000000000002</v>
      </c>
      <c r="G740" s="62">
        <v>104.547</v>
      </c>
      <c r="H740" s="62">
        <v>1.76</v>
      </c>
    </row>
    <row r="741" spans="1:8" x14ac:dyDescent="0.15">
      <c r="A741" s="62" t="s">
        <v>13</v>
      </c>
      <c r="B741" s="62">
        <v>2500</v>
      </c>
      <c r="C741" s="62">
        <v>16</v>
      </c>
      <c r="D741" s="62">
        <v>0.11</v>
      </c>
      <c r="E741" s="62">
        <v>284.10899999999998</v>
      </c>
      <c r="F741" s="62">
        <v>16.72</v>
      </c>
      <c r="G741" s="62">
        <v>104.49760000000001</v>
      </c>
      <c r="H741" s="62">
        <v>1.76</v>
      </c>
    </row>
    <row r="742" spans="1:8" x14ac:dyDescent="0.15">
      <c r="A742" s="62" t="s">
        <v>13</v>
      </c>
      <c r="B742" s="62">
        <v>2500</v>
      </c>
      <c r="C742" s="62">
        <v>16</v>
      </c>
      <c r="D742" s="62">
        <v>0.1115</v>
      </c>
      <c r="E742" s="62">
        <v>280.19619999999998</v>
      </c>
      <c r="F742" s="62">
        <v>16.489000000000001</v>
      </c>
      <c r="G742" s="62">
        <v>103.0585</v>
      </c>
      <c r="H742" s="62">
        <v>1.78</v>
      </c>
    </row>
    <row r="743" spans="1:8" x14ac:dyDescent="0.15">
      <c r="A743" s="62" t="s">
        <v>13</v>
      </c>
      <c r="B743" s="62">
        <v>2500</v>
      </c>
      <c r="C743" s="62">
        <v>16</v>
      </c>
      <c r="D743" s="62">
        <v>0.1111</v>
      </c>
      <c r="E743" s="62">
        <v>281.24009999999998</v>
      </c>
      <c r="F743" s="62">
        <v>16.550999999999998</v>
      </c>
      <c r="G743" s="62">
        <v>103.44240000000001</v>
      </c>
      <c r="H743" s="62">
        <v>1.77</v>
      </c>
    </row>
    <row r="744" spans="1:8" x14ac:dyDescent="0.15">
      <c r="A744" s="62" t="s">
        <v>13</v>
      </c>
      <c r="B744" s="62">
        <v>2500</v>
      </c>
      <c r="C744" s="62">
        <v>16</v>
      </c>
      <c r="D744" s="62">
        <v>0.11210000000000001</v>
      </c>
      <c r="E744" s="62">
        <v>278.86849999999998</v>
      </c>
      <c r="F744" s="62">
        <v>16.411000000000001</v>
      </c>
      <c r="G744" s="62">
        <v>102.5701</v>
      </c>
      <c r="H744" s="62">
        <v>1.79</v>
      </c>
    </row>
    <row r="745" spans="1:8" x14ac:dyDescent="0.15">
      <c r="A745" s="62" t="s">
        <v>13</v>
      </c>
      <c r="B745" s="62">
        <v>2500</v>
      </c>
      <c r="C745" s="62">
        <v>16</v>
      </c>
      <c r="D745" s="62">
        <v>0.11169999999999999</v>
      </c>
      <c r="E745" s="62">
        <v>279.77980000000002</v>
      </c>
      <c r="F745" s="62">
        <v>16.465</v>
      </c>
      <c r="G745" s="62">
        <v>102.9053</v>
      </c>
      <c r="H745" s="62">
        <v>1.78</v>
      </c>
    </row>
    <row r="746" spans="1:8" x14ac:dyDescent="0.15">
      <c r="A746" s="62" t="s">
        <v>13</v>
      </c>
      <c r="B746" s="62">
        <v>2500</v>
      </c>
      <c r="C746" s="62">
        <v>16</v>
      </c>
      <c r="D746" s="62">
        <v>0.1116</v>
      </c>
      <c r="E746" s="62">
        <v>279.9427</v>
      </c>
      <c r="F746" s="62">
        <v>16.474</v>
      </c>
      <c r="G746" s="62">
        <v>102.9652</v>
      </c>
      <c r="H746" s="62">
        <v>1.79</v>
      </c>
    </row>
    <row r="747" spans="1:8" x14ac:dyDescent="0.15">
      <c r="A747" s="62" t="s">
        <v>13</v>
      </c>
      <c r="B747" s="62">
        <v>2500</v>
      </c>
      <c r="C747" s="62">
        <v>16</v>
      </c>
      <c r="D747" s="62">
        <v>0.1119</v>
      </c>
      <c r="E747" s="62">
        <v>279.22980000000001</v>
      </c>
      <c r="F747" s="62">
        <v>16.431999999999999</v>
      </c>
      <c r="G747" s="62">
        <v>102.703</v>
      </c>
      <c r="H747" s="62">
        <v>1.79</v>
      </c>
    </row>
    <row r="748" spans="1:8" x14ac:dyDescent="0.15">
      <c r="A748" s="62" t="s">
        <v>13</v>
      </c>
      <c r="B748" s="62">
        <v>2500</v>
      </c>
      <c r="C748" s="62">
        <v>16</v>
      </c>
      <c r="D748" s="62">
        <v>0.1109</v>
      </c>
      <c r="E748" s="62">
        <v>281.67619999999999</v>
      </c>
      <c r="F748" s="62">
        <v>16.576000000000001</v>
      </c>
      <c r="G748" s="62">
        <v>103.6028</v>
      </c>
      <c r="H748" s="62">
        <v>1.69</v>
      </c>
    </row>
    <row r="749" spans="1:8" x14ac:dyDescent="0.15">
      <c r="A749" s="62" t="s">
        <v>13</v>
      </c>
      <c r="B749" s="62">
        <v>2500</v>
      </c>
      <c r="C749" s="62">
        <v>16</v>
      </c>
      <c r="D749" s="62">
        <v>0.1111</v>
      </c>
      <c r="E749" s="62">
        <v>281.18450000000001</v>
      </c>
      <c r="F749" s="62">
        <v>16.547999999999998</v>
      </c>
      <c r="G749" s="62">
        <v>103.422</v>
      </c>
      <c r="H749" s="62">
        <v>1.76</v>
      </c>
    </row>
    <row r="750" spans="1:8" x14ac:dyDescent="0.15">
      <c r="A750" s="62" t="s">
        <v>13</v>
      </c>
      <c r="B750" s="62">
        <v>2500</v>
      </c>
      <c r="C750" s="62">
        <v>16</v>
      </c>
      <c r="D750" s="62">
        <v>0.111</v>
      </c>
      <c r="E750" s="62">
        <v>281.40980000000002</v>
      </c>
      <c r="F750" s="62">
        <v>16.561</v>
      </c>
      <c r="G750" s="62">
        <v>103.5048</v>
      </c>
      <c r="H750" s="62">
        <v>1.88</v>
      </c>
    </row>
    <row r="751" spans="1:8" x14ac:dyDescent="0.15">
      <c r="A751" s="62" t="s">
        <v>13</v>
      </c>
      <c r="B751" s="62">
        <v>2500</v>
      </c>
      <c r="C751" s="62">
        <v>16</v>
      </c>
      <c r="D751" s="62">
        <v>0.1116</v>
      </c>
      <c r="E751" s="62">
        <v>279.95269999999999</v>
      </c>
      <c r="F751" s="62">
        <v>16.475000000000001</v>
      </c>
      <c r="G751" s="62">
        <v>102.9689</v>
      </c>
      <c r="H751" s="62">
        <v>1.78</v>
      </c>
    </row>
    <row r="752" spans="1:8" x14ac:dyDescent="0.15">
      <c r="A752" s="62" t="s">
        <v>13</v>
      </c>
      <c r="B752" s="62">
        <v>2500</v>
      </c>
      <c r="C752" s="62">
        <v>16</v>
      </c>
      <c r="D752" s="62">
        <v>0.1106</v>
      </c>
      <c r="E752" s="62">
        <v>282.64429999999999</v>
      </c>
      <c r="F752" s="62">
        <v>16.632999999999999</v>
      </c>
      <c r="G752" s="62">
        <v>103.9589</v>
      </c>
      <c r="H752" s="62">
        <v>1.77</v>
      </c>
    </row>
    <row r="753" spans="1:8" x14ac:dyDescent="0.15">
      <c r="A753" s="62" t="s">
        <v>13</v>
      </c>
      <c r="B753" s="62">
        <v>2500</v>
      </c>
      <c r="C753" s="62">
        <v>16</v>
      </c>
      <c r="D753" s="62">
        <v>0.11</v>
      </c>
      <c r="E753" s="62">
        <v>284.0367</v>
      </c>
      <c r="F753" s="62">
        <v>16.715</v>
      </c>
      <c r="G753" s="62">
        <v>104.471</v>
      </c>
      <c r="H753" s="62">
        <v>1.76</v>
      </c>
    </row>
    <row r="754" spans="1:8" x14ac:dyDescent="0.15">
      <c r="A754" s="62" t="s">
        <v>13</v>
      </c>
      <c r="B754" s="62">
        <v>2500</v>
      </c>
      <c r="C754" s="62">
        <v>16</v>
      </c>
      <c r="D754" s="62">
        <v>0.1119</v>
      </c>
      <c r="E754" s="62">
        <v>279.1524</v>
      </c>
      <c r="F754" s="62">
        <v>16.428000000000001</v>
      </c>
      <c r="G754" s="62">
        <v>102.6746</v>
      </c>
      <c r="H754" s="62">
        <v>1.79</v>
      </c>
    </row>
    <row r="755" spans="1:8" x14ac:dyDescent="0.15">
      <c r="A755" s="62" t="s">
        <v>13</v>
      </c>
      <c r="B755" s="62">
        <v>2500</v>
      </c>
      <c r="C755" s="62">
        <v>16</v>
      </c>
      <c r="D755" s="62">
        <v>0.1113</v>
      </c>
      <c r="E755" s="62">
        <v>280.8888</v>
      </c>
      <c r="F755" s="62">
        <v>16.53</v>
      </c>
      <c r="G755" s="62">
        <v>103.31319999999999</v>
      </c>
      <c r="H755" s="62">
        <v>1.78</v>
      </c>
    </row>
    <row r="756" spans="1:8" x14ac:dyDescent="0.15">
      <c r="A756" s="62" t="s">
        <v>13</v>
      </c>
      <c r="B756" s="62">
        <v>2500</v>
      </c>
      <c r="C756" s="62">
        <v>16</v>
      </c>
      <c r="D756" s="62">
        <v>0.1099</v>
      </c>
      <c r="E756" s="62">
        <v>284.28469999999999</v>
      </c>
      <c r="F756" s="62">
        <v>16.73</v>
      </c>
      <c r="G756" s="62">
        <v>104.56229999999999</v>
      </c>
      <c r="H756" s="62">
        <v>1.75</v>
      </c>
    </row>
    <row r="757" spans="1:8" x14ac:dyDescent="0.15">
      <c r="A757" s="62" t="s">
        <v>13</v>
      </c>
      <c r="B757" s="62">
        <v>2500</v>
      </c>
      <c r="C757" s="62">
        <v>16</v>
      </c>
      <c r="D757" s="62">
        <v>0.1111</v>
      </c>
      <c r="E757" s="62">
        <v>281.30599999999998</v>
      </c>
      <c r="F757" s="62">
        <v>16.555</v>
      </c>
      <c r="G757" s="62">
        <v>103.4666</v>
      </c>
      <c r="H757" s="62">
        <v>1.77</v>
      </c>
    </row>
    <row r="758" spans="1:8" x14ac:dyDescent="0.15">
      <c r="A758" s="62" t="s">
        <v>13</v>
      </c>
      <c r="B758" s="62">
        <v>2500</v>
      </c>
      <c r="C758" s="62">
        <v>16</v>
      </c>
      <c r="D758" s="62">
        <v>0.1099</v>
      </c>
      <c r="E758" s="62">
        <v>284.23050000000001</v>
      </c>
      <c r="F758" s="62">
        <v>16.727</v>
      </c>
      <c r="G758" s="62">
        <v>104.5423</v>
      </c>
      <c r="H758" s="62">
        <v>1.75</v>
      </c>
    </row>
    <row r="759" spans="1:8" x14ac:dyDescent="0.15">
      <c r="A759" s="62" t="s">
        <v>13</v>
      </c>
      <c r="B759" s="62">
        <v>2500</v>
      </c>
      <c r="C759" s="62">
        <v>16</v>
      </c>
      <c r="D759" s="62">
        <v>0.1113</v>
      </c>
      <c r="E759" s="62">
        <v>280.73739999999998</v>
      </c>
      <c r="F759" s="62">
        <v>16.521000000000001</v>
      </c>
      <c r="G759" s="62">
        <v>103.25749999999999</v>
      </c>
      <c r="H759" s="62">
        <v>1.78</v>
      </c>
    </row>
    <row r="760" spans="1:8" x14ac:dyDescent="0.15">
      <c r="A760" s="62" t="s">
        <v>13</v>
      </c>
      <c r="B760" s="62">
        <v>2500</v>
      </c>
      <c r="C760" s="62">
        <v>16</v>
      </c>
      <c r="D760" s="62">
        <v>0.1104</v>
      </c>
      <c r="E760" s="62">
        <v>282.99489999999997</v>
      </c>
      <c r="F760" s="62">
        <v>16.654</v>
      </c>
      <c r="G760" s="62">
        <v>104.0879</v>
      </c>
      <c r="H760" s="62">
        <v>1.77</v>
      </c>
    </row>
    <row r="761" spans="1:8" x14ac:dyDescent="0.15">
      <c r="A761" s="62" t="s">
        <v>13</v>
      </c>
      <c r="B761" s="62">
        <v>2500</v>
      </c>
      <c r="C761" s="62">
        <v>16</v>
      </c>
      <c r="D761" s="62">
        <v>0.11020000000000001</v>
      </c>
      <c r="E761" s="62">
        <v>283.69630000000001</v>
      </c>
      <c r="F761" s="62">
        <v>16.695</v>
      </c>
      <c r="G761" s="62">
        <v>104.3458</v>
      </c>
      <c r="H761" s="62">
        <v>1.76</v>
      </c>
    </row>
    <row r="762" spans="1:8" x14ac:dyDescent="0.15">
      <c r="A762" s="62" t="s">
        <v>13</v>
      </c>
      <c r="B762" s="62">
        <v>2500</v>
      </c>
      <c r="C762" s="62">
        <v>16</v>
      </c>
      <c r="D762" s="62">
        <v>0.11</v>
      </c>
      <c r="E762" s="62">
        <v>284.0702</v>
      </c>
      <c r="F762" s="62">
        <v>16.716999999999999</v>
      </c>
      <c r="G762" s="62">
        <v>104.4834</v>
      </c>
      <c r="H762" s="62">
        <v>1.76</v>
      </c>
    </row>
    <row r="763" spans="1:8" x14ac:dyDescent="0.15">
      <c r="A763" s="62" t="s">
        <v>13</v>
      </c>
      <c r="B763" s="62">
        <v>2500</v>
      </c>
      <c r="C763" s="62">
        <v>16</v>
      </c>
      <c r="D763" s="62">
        <v>0.1123</v>
      </c>
      <c r="E763" s="62">
        <v>278.31709999999998</v>
      </c>
      <c r="F763" s="62">
        <v>16.379000000000001</v>
      </c>
      <c r="G763" s="62">
        <v>102.3673</v>
      </c>
      <c r="H763" s="62">
        <v>1.8</v>
      </c>
    </row>
    <row r="764" spans="1:8" x14ac:dyDescent="0.15">
      <c r="A764" s="62" t="s">
        <v>13</v>
      </c>
      <c r="B764" s="62">
        <v>2500</v>
      </c>
      <c r="C764" s="62">
        <v>16</v>
      </c>
      <c r="D764" s="62">
        <v>0.11169999999999999</v>
      </c>
      <c r="E764" s="62">
        <v>279.8349</v>
      </c>
      <c r="F764" s="62">
        <v>16.468</v>
      </c>
      <c r="G764" s="62">
        <v>102.9256</v>
      </c>
      <c r="H764" s="62">
        <v>1.78</v>
      </c>
    </row>
    <row r="765" spans="1:8" x14ac:dyDescent="0.15">
      <c r="A765" s="62" t="s">
        <v>13</v>
      </c>
      <c r="B765" s="62">
        <v>2500</v>
      </c>
      <c r="C765" s="62">
        <v>16</v>
      </c>
      <c r="D765" s="62">
        <v>0.1109</v>
      </c>
      <c r="E765" s="62">
        <v>281.68130000000002</v>
      </c>
      <c r="F765" s="62">
        <v>16.577000000000002</v>
      </c>
      <c r="G765" s="62">
        <v>103.60469999999999</v>
      </c>
      <c r="H765" s="62">
        <v>1.78</v>
      </c>
    </row>
    <row r="766" spans="1:8" x14ac:dyDescent="0.15">
      <c r="A766" s="62" t="s">
        <v>13</v>
      </c>
      <c r="B766" s="62">
        <v>2500</v>
      </c>
      <c r="C766" s="62">
        <v>16</v>
      </c>
      <c r="D766" s="62">
        <v>0.1106</v>
      </c>
      <c r="E766" s="62">
        <v>282.50369999999998</v>
      </c>
      <c r="F766" s="62">
        <v>16.625</v>
      </c>
      <c r="G766" s="62">
        <v>103.9072</v>
      </c>
      <c r="H766" s="62">
        <v>1.77</v>
      </c>
    </row>
    <row r="767" spans="1:8" x14ac:dyDescent="0.15">
      <c r="A767" s="62" t="s">
        <v>13</v>
      </c>
      <c r="B767" s="62">
        <v>2505</v>
      </c>
      <c r="C767" s="62">
        <v>1</v>
      </c>
      <c r="D767" s="62">
        <v>1.9545999999999999</v>
      </c>
      <c r="E767" s="62">
        <v>16.084099999999999</v>
      </c>
      <c r="F767" s="62">
        <v>1</v>
      </c>
      <c r="G767" s="62">
        <v>100</v>
      </c>
      <c r="H767" s="62">
        <v>7.35</v>
      </c>
    </row>
    <row r="768" spans="1:8" x14ac:dyDescent="0.15">
      <c r="A768" s="62" t="s">
        <v>13</v>
      </c>
      <c r="B768" s="62">
        <v>2505</v>
      </c>
      <c r="C768" s="62">
        <v>1</v>
      </c>
      <c r="D768" s="62">
        <v>1.6195999999999999</v>
      </c>
      <c r="E768" s="62">
        <v>19.411100000000001</v>
      </c>
      <c r="F768" s="62">
        <v>1.2070000000000001</v>
      </c>
      <c r="G768" s="62">
        <v>120.6845</v>
      </c>
      <c r="H768" s="62">
        <v>1.62</v>
      </c>
    </row>
    <row r="769" spans="1:8" x14ac:dyDescent="0.15">
      <c r="A769" s="62" t="s">
        <v>13</v>
      </c>
      <c r="B769" s="62">
        <v>2505</v>
      </c>
      <c r="C769" s="62">
        <v>1</v>
      </c>
      <c r="D769" s="62">
        <v>1.6195999999999999</v>
      </c>
      <c r="E769" s="62">
        <v>19.410399999999999</v>
      </c>
      <c r="F769" s="62">
        <v>1.2070000000000001</v>
      </c>
      <c r="G769" s="62">
        <v>120.68040000000001</v>
      </c>
      <c r="H769" s="62">
        <v>1.62</v>
      </c>
    </row>
    <row r="770" spans="1:8" x14ac:dyDescent="0.15">
      <c r="A770" s="62" t="s">
        <v>13</v>
      </c>
      <c r="B770" s="62">
        <v>2505</v>
      </c>
      <c r="C770" s="62">
        <v>1</v>
      </c>
      <c r="D770" s="62">
        <v>1.6194999999999999</v>
      </c>
      <c r="E770" s="62">
        <v>19.412099999999999</v>
      </c>
      <c r="F770" s="62">
        <v>1.2070000000000001</v>
      </c>
      <c r="G770" s="62">
        <v>120.6909</v>
      </c>
      <c r="H770" s="62">
        <v>1.62</v>
      </c>
    </row>
    <row r="771" spans="1:8" x14ac:dyDescent="0.15">
      <c r="A771" s="62" t="s">
        <v>13</v>
      </c>
      <c r="B771" s="62">
        <v>2505</v>
      </c>
      <c r="C771" s="62">
        <v>1</v>
      </c>
      <c r="D771" s="62">
        <v>1.6195999999999999</v>
      </c>
      <c r="E771" s="62">
        <v>19.4114</v>
      </c>
      <c r="F771" s="62">
        <v>1.2070000000000001</v>
      </c>
      <c r="G771" s="62">
        <v>120.68640000000001</v>
      </c>
      <c r="H771" s="62">
        <v>1.62</v>
      </c>
    </row>
    <row r="772" spans="1:8" x14ac:dyDescent="0.15">
      <c r="A772" s="62" t="s">
        <v>13</v>
      </c>
      <c r="B772" s="62">
        <v>2505</v>
      </c>
      <c r="C772" s="62">
        <v>1</v>
      </c>
      <c r="D772" s="62">
        <v>1.6194999999999999</v>
      </c>
      <c r="E772" s="62">
        <v>19.411999999999999</v>
      </c>
      <c r="F772" s="62">
        <v>1.2070000000000001</v>
      </c>
      <c r="G772" s="62">
        <v>120.69</v>
      </c>
      <c r="H772" s="62">
        <v>1.61</v>
      </c>
    </row>
    <row r="773" spans="1:8" x14ac:dyDescent="0.15">
      <c r="A773" s="62" t="s">
        <v>13</v>
      </c>
      <c r="B773" s="62">
        <v>2505</v>
      </c>
      <c r="C773" s="62">
        <v>15</v>
      </c>
      <c r="D773" s="62">
        <v>0.12609999999999999</v>
      </c>
      <c r="E773" s="62">
        <v>249.26169999999999</v>
      </c>
      <c r="F773" s="62">
        <v>15.497</v>
      </c>
      <c r="G773" s="62">
        <v>103.31570000000001</v>
      </c>
      <c r="H773" s="62">
        <v>1.89</v>
      </c>
    </row>
    <row r="774" spans="1:8" x14ac:dyDescent="0.15">
      <c r="A774" s="62" t="s">
        <v>13</v>
      </c>
      <c r="B774" s="62">
        <v>2505</v>
      </c>
      <c r="C774" s="62">
        <v>15</v>
      </c>
      <c r="D774" s="62">
        <v>0.1249</v>
      </c>
      <c r="E774" s="62">
        <v>251.76480000000001</v>
      </c>
      <c r="F774" s="62">
        <v>15.653</v>
      </c>
      <c r="G774" s="62">
        <v>104.3532</v>
      </c>
      <c r="H774" s="62">
        <v>1.87</v>
      </c>
    </row>
    <row r="775" spans="1:8" x14ac:dyDescent="0.15">
      <c r="A775" s="62" t="s">
        <v>13</v>
      </c>
      <c r="B775" s="62">
        <v>2505</v>
      </c>
      <c r="C775" s="62">
        <v>15</v>
      </c>
      <c r="D775" s="62">
        <v>0.12479999999999999</v>
      </c>
      <c r="E775" s="62">
        <v>251.82329999999999</v>
      </c>
      <c r="F775" s="62">
        <v>15.657</v>
      </c>
      <c r="G775" s="62">
        <v>104.3775</v>
      </c>
      <c r="H775" s="62">
        <v>1.86</v>
      </c>
    </row>
    <row r="776" spans="1:8" x14ac:dyDescent="0.15">
      <c r="A776" s="62" t="s">
        <v>13</v>
      </c>
      <c r="B776" s="62">
        <v>2505</v>
      </c>
      <c r="C776" s="62">
        <v>15</v>
      </c>
      <c r="D776" s="62">
        <v>0.12479999999999999</v>
      </c>
      <c r="E776" s="62">
        <v>251.83940000000001</v>
      </c>
      <c r="F776" s="62">
        <v>15.657999999999999</v>
      </c>
      <c r="G776" s="62">
        <v>104.38420000000001</v>
      </c>
      <c r="H776" s="62">
        <v>1.87</v>
      </c>
    </row>
    <row r="777" spans="1:8" x14ac:dyDescent="0.15">
      <c r="A777" s="62" t="s">
        <v>13</v>
      </c>
      <c r="B777" s="62">
        <v>2505</v>
      </c>
      <c r="C777" s="62">
        <v>15</v>
      </c>
      <c r="D777" s="62">
        <v>0.12479999999999999</v>
      </c>
      <c r="E777" s="62">
        <v>251.86170000000001</v>
      </c>
      <c r="F777" s="62">
        <v>15.659000000000001</v>
      </c>
      <c r="G777" s="62">
        <v>104.3934</v>
      </c>
      <c r="H777" s="62">
        <v>1.86</v>
      </c>
    </row>
    <row r="778" spans="1:8" x14ac:dyDescent="0.15">
      <c r="A778" s="62" t="s">
        <v>13</v>
      </c>
      <c r="B778" s="62">
        <v>2505</v>
      </c>
      <c r="C778" s="62">
        <v>15</v>
      </c>
      <c r="D778" s="62">
        <v>0.12479999999999999</v>
      </c>
      <c r="E778" s="62">
        <v>251.86170000000001</v>
      </c>
      <c r="F778" s="62">
        <v>15.659000000000001</v>
      </c>
      <c r="G778" s="62">
        <v>104.3934</v>
      </c>
      <c r="H778" s="62">
        <v>1.87</v>
      </c>
    </row>
    <row r="779" spans="1:8" x14ac:dyDescent="0.15">
      <c r="A779" s="62" t="s">
        <v>13</v>
      </c>
      <c r="B779" s="62">
        <v>2505</v>
      </c>
      <c r="C779" s="62">
        <v>15</v>
      </c>
      <c r="D779" s="62">
        <v>0.12479999999999999</v>
      </c>
      <c r="E779" s="62">
        <v>251.81530000000001</v>
      </c>
      <c r="F779" s="62">
        <v>15.656000000000001</v>
      </c>
      <c r="G779" s="62">
        <v>104.3741</v>
      </c>
      <c r="H779" s="62">
        <v>1.87</v>
      </c>
    </row>
    <row r="780" spans="1:8" x14ac:dyDescent="0.15">
      <c r="A780" s="62" t="s">
        <v>13</v>
      </c>
      <c r="B780" s="62">
        <v>2505</v>
      </c>
      <c r="C780" s="62">
        <v>15</v>
      </c>
      <c r="D780" s="62">
        <v>0.12479999999999999</v>
      </c>
      <c r="E780" s="62">
        <v>251.85159999999999</v>
      </c>
      <c r="F780" s="62">
        <v>15.657999999999999</v>
      </c>
      <c r="G780" s="62">
        <v>104.3892</v>
      </c>
      <c r="H780" s="62">
        <v>1.87</v>
      </c>
    </row>
    <row r="781" spans="1:8" x14ac:dyDescent="0.15">
      <c r="A781" s="62" t="s">
        <v>13</v>
      </c>
      <c r="B781" s="62">
        <v>2505</v>
      </c>
      <c r="C781" s="62">
        <v>15</v>
      </c>
      <c r="D781" s="62">
        <v>0.12479999999999999</v>
      </c>
      <c r="E781" s="62">
        <v>251.86170000000001</v>
      </c>
      <c r="F781" s="62">
        <v>15.659000000000001</v>
      </c>
      <c r="G781" s="62">
        <v>104.3934</v>
      </c>
      <c r="H781" s="62">
        <v>1.87</v>
      </c>
    </row>
    <row r="782" spans="1:8" x14ac:dyDescent="0.15">
      <c r="A782" s="62" t="s">
        <v>13</v>
      </c>
      <c r="B782" s="62">
        <v>2505</v>
      </c>
      <c r="C782" s="62">
        <v>15</v>
      </c>
      <c r="D782" s="62">
        <v>0.1249</v>
      </c>
      <c r="E782" s="62">
        <v>251.7165</v>
      </c>
      <c r="F782" s="62">
        <v>15.65</v>
      </c>
      <c r="G782" s="62">
        <v>104.33320000000001</v>
      </c>
      <c r="H782" s="62">
        <v>1.87</v>
      </c>
    </row>
    <row r="783" spans="1:8" x14ac:dyDescent="0.15">
      <c r="A783" s="62" t="s">
        <v>13</v>
      </c>
      <c r="B783" s="62">
        <v>2505</v>
      </c>
      <c r="C783" s="62">
        <v>15</v>
      </c>
      <c r="D783" s="62">
        <v>0.12479999999999999</v>
      </c>
      <c r="E783" s="62">
        <v>251.82939999999999</v>
      </c>
      <c r="F783" s="62">
        <v>15.657</v>
      </c>
      <c r="G783" s="62">
        <v>104.38</v>
      </c>
      <c r="H783" s="62">
        <v>1.87</v>
      </c>
    </row>
    <row r="784" spans="1:8" x14ac:dyDescent="0.15">
      <c r="A784" s="62" t="s">
        <v>13</v>
      </c>
      <c r="B784" s="62">
        <v>2505</v>
      </c>
      <c r="C784" s="62">
        <v>15</v>
      </c>
      <c r="D784" s="62">
        <v>0.12479999999999999</v>
      </c>
      <c r="E784" s="62">
        <v>251.88990000000001</v>
      </c>
      <c r="F784" s="62">
        <v>15.661</v>
      </c>
      <c r="G784" s="62">
        <v>104.4051</v>
      </c>
      <c r="H784" s="62">
        <v>1.86</v>
      </c>
    </row>
    <row r="785" spans="1:8" x14ac:dyDescent="0.15">
      <c r="A785" s="62" t="s">
        <v>13</v>
      </c>
      <c r="B785" s="62">
        <v>2505</v>
      </c>
      <c r="C785" s="62">
        <v>15</v>
      </c>
      <c r="D785" s="62">
        <v>0.12479999999999999</v>
      </c>
      <c r="E785" s="62">
        <v>251.87379999999999</v>
      </c>
      <c r="F785" s="62">
        <v>15.66</v>
      </c>
      <c r="G785" s="62">
        <v>104.3984</v>
      </c>
      <c r="H785" s="62">
        <v>1.87</v>
      </c>
    </row>
    <row r="786" spans="1:8" x14ac:dyDescent="0.15">
      <c r="A786" s="62" t="s">
        <v>13</v>
      </c>
      <c r="B786" s="62">
        <v>2505</v>
      </c>
      <c r="C786" s="62">
        <v>15</v>
      </c>
      <c r="D786" s="62">
        <v>0.12479999999999999</v>
      </c>
      <c r="E786" s="62">
        <v>251.8717</v>
      </c>
      <c r="F786" s="62">
        <v>15.66</v>
      </c>
      <c r="G786" s="62">
        <v>104.39749999999999</v>
      </c>
      <c r="H786" s="62">
        <v>1.87</v>
      </c>
    </row>
    <row r="787" spans="1:8" x14ac:dyDescent="0.15">
      <c r="A787" s="62" t="s">
        <v>13</v>
      </c>
      <c r="B787" s="62">
        <v>2505</v>
      </c>
      <c r="C787" s="62">
        <v>15</v>
      </c>
      <c r="D787" s="62">
        <v>0.12479999999999999</v>
      </c>
      <c r="E787" s="62">
        <v>251.84950000000001</v>
      </c>
      <c r="F787" s="62">
        <v>15.657999999999999</v>
      </c>
      <c r="G787" s="62">
        <v>104.3883</v>
      </c>
      <c r="H787" s="62">
        <v>1.87</v>
      </c>
    </row>
    <row r="788" spans="1:8" x14ac:dyDescent="0.15">
      <c r="A788" s="62" t="s">
        <v>13</v>
      </c>
      <c r="B788" s="62">
        <v>2505</v>
      </c>
      <c r="C788" s="62">
        <v>15</v>
      </c>
      <c r="D788" s="62">
        <v>0.12479999999999999</v>
      </c>
      <c r="E788" s="62">
        <v>251.898</v>
      </c>
      <c r="F788" s="62">
        <v>15.661</v>
      </c>
      <c r="G788" s="62">
        <v>104.4084</v>
      </c>
      <c r="H788" s="62">
        <v>1.86</v>
      </c>
    </row>
    <row r="789" spans="1:8" x14ac:dyDescent="0.15">
      <c r="A789" s="62" t="s">
        <v>13</v>
      </c>
      <c r="B789" s="62">
        <v>2505</v>
      </c>
      <c r="C789" s="62">
        <v>15</v>
      </c>
      <c r="D789" s="62">
        <v>0.12479999999999999</v>
      </c>
      <c r="E789" s="62">
        <v>251.83539999999999</v>
      </c>
      <c r="F789" s="62">
        <v>15.657</v>
      </c>
      <c r="G789" s="62">
        <v>104.38249999999999</v>
      </c>
      <c r="H789" s="62">
        <v>1.87</v>
      </c>
    </row>
    <row r="790" spans="1:8" x14ac:dyDescent="0.15">
      <c r="A790" s="62" t="s">
        <v>13</v>
      </c>
      <c r="B790" s="62">
        <v>2505</v>
      </c>
      <c r="C790" s="62">
        <v>15</v>
      </c>
      <c r="D790" s="62">
        <v>0.12479999999999999</v>
      </c>
      <c r="E790" s="62">
        <v>251.80719999999999</v>
      </c>
      <c r="F790" s="62">
        <v>15.656000000000001</v>
      </c>
      <c r="G790" s="62">
        <v>104.3708</v>
      </c>
      <c r="H790" s="62">
        <v>1.86</v>
      </c>
    </row>
    <row r="791" spans="1:8" x14ac:dyDescent="0.15">
      <c r="A791" s="62" t="s">
        <v>13</v>
      </c>
      <c r="B791" s="62">
        <v>2505</v>
      </c>
      <c r="C791" s="62">
        <v>15</v>
      </c>
      <c r="D791" s="62">
        <v>0.12479999999999999</v>
      </c>
      <c r="E791" s="62">
        <v>251.89599999999999</v>
      </c>
      <c r="F791" s="62">
        <v>15.661</v>
      </c>
      <c r="G791" s="62">
        <v>104.4076</v>
      </c>
      <c r="H791" s="62">
        <v>1.87</v>
      </c>
    </row>
    <row r="792" spans="1:8" x14ac:dyDescent="0.15">
      <c r="A792" s="62" t="s">
        <v>13</v>
      </c>
      <c r="B792" s="62">
        <v>2505</v>
      </c>
      <c r="C792" s="62">
        <v>15</v>
      </c>
      <c r="D792" s="62">
        <v>0.12479999999999999</v>
      </c>
      <c r="E792" s="62">
        <v>251.9</v>
      </c>
      <c r="F792" s="62">
        <v>15.661</v>
      </c>
      <c r="G792" s="62">
        <v>104.4092</v>
      </c>
      <c r="H792" s="62">
        <v>1.87</v>
      </c>
    </row>
    <row r="793" spans="1:8" x14ac:dyDescent="0.15">
      <c r="A793" s="62" t="s">
        <v>13</v>
      </c>
      <c r="B793" s="62">
        <v>2505</v>
      </c>
      <c r="C793" s="62">
        <v>15</v>
      </c>
      <c r="D793" s="62">
        <v>0.12479999999999999</v>
      </c>
      <c r="E793" s="62">
        <v>251.85759999999999</v>
      </c>
      <c r="F793" s="62">
        <v>15.659000000000001</v>
      </c>
      <c r="G793" s="62">
        <v>104.3917</v>
      </c>
      <c r="H793" s="62">
        <v>1.87</v>
      </c>
    </row>
    <row r="794" spans="1:8" x14ac:dyDescent="0.15">
      <c r="A794" s="62" t="s">
        <v>13</v>
      </c>
      <c r="B794" s="62">
        <v>2505</v>
      </c>
      <c r="C794" s="62">
        <v>15</v>
      </c>
      <c r="D794" s="62">
        <v>0.12479999999999999</v>
      </c>
      <c r="E794" s="62">
        <v>251.83940000000001</v>
      </c>
      <c r="F794" s="62">
        <v>15.657999999999999</v>
      </c>
      <c r="G794" s="62">
        <v>104.38420000000001</v>
      </c>
      <c r="H794" s="62">
        <v>1.87</v>
      </c>
    </row>
    <row r="795" spans="1:8" x14ac:dyDescent="0.15">
      <c r="A795" s="62" t="s">
        <v>13</v>
      </c>
      <c r="B795" s="62">
        <v>2505</v>
      </c>
      <c r="C795" s="62">
        <v>15</v>
      </c>
      <c r="D795" s="62">
        <v>0.12479999999999999</v>
      </c>
      <c r="E795" s="62">
        <v>251.88589999999999</v>
      </c>
      <c r="F795" s="62">
        <v>15.661</v>
      </c>
      <c r="G795" s="62">
        <v>104.4034</v>
      </c>
      <c r="H795" s="62">
        <v>1.86</v>
      </c>
    </row>
    <row r="796" spans="1:8" x14ac:dyDescent="0.15">
      <c r="A796" s="62" t="s">
        <v>13</v>
      </c>
      <c r="B796" s="62">
        <v>2505</v>
      </c>
      <c r="C796" s="62">
        <v>15</v>
      </c>
      <c r="D796" s="62">
        <v>0.12479999999999999</v>
      </c>
      <c r="E796" s="62">
        <v>251.84950000000001</v>
      </c>
      <c r="F796" s="62">
        <v>15.657999999999999</v>
      </c>
      <c r="G796" s="62">
        <v>104.3883</v>
      </c>
      <c r="H796" s="62">
        <v>1.86</v>
      </c>
    </row>
    <row r="797" spans="1:8" x14ac:dyDescent="0.15">
      <c r="A797" s="62" t="s">
        <v>13</v>
      </c>
      <c r="B797" s="62">
        <v>2505</v>
      </c>
      <c r="C797" s="62">
        <v>15</v>
      </c>
      <c r="D797" s="62">
        <v>0.12479999999999999</v>
      </c>
      <c r="E797" s="62">
        <v>251.87979999999999</v>
      </c>
      <c r="F797" s="62">
        <v>15.66</v>
      </c>
      <c r="G797" s="62">
        <v>104.40089999999999</v>
      </c>
      <c r="H797" s="62">
        <v>1.83</v>
      </c>
    </row>
    <row r="798" spans="1:8" x14ac:dyDescent="0.15">
      <c r="A798" s="62" t="s">
        <v>13</v>
      </c>
      <c r="B798" s="62">
        <v>2505</v>
      </c>
      <c r="C798" s="62">
        <v>15</v>
      </c>
      <c r="D798" s="62">
        <v>0.1249</v>
      </c>
      <c r="E798" s="62">
        <v>251.7467</v>
      </c>
      <c r="F798" s="62">
        <v>15.651999999999999</v>
      </c>
      <c r="G798" s="62">
        <v>104.34569999999999</v>
      </c>
      <c r="H798" s="62">
        <v>1.8</v>
      </c>
    </row>
    <row r="799" spans="1:8" x14ac:dyDescent="0.15">
      <c r="A799" s="62" t="s">
        <v>13</v>
      </c>
      <c r="B799" s="62">
        <v>2505</v>
      </c>
      <c r="C799" s="62">
        <v>15</v>
      </c>
      <c r="D799" s="62">
        <v>0.12479999999999999</v>
      </c>
      <c r="E799" s="62">
        <v>251.8818</v>
      </c>
      <c r="F799" s="62">
        <v>15.66</v>
      </c>
      <c r="G799" s="62">
        <v>104.40170000000001</v>
      </c>
      <c r="H799" s="62">
        <v>1.98</v>
      </c>
    </row>
    <row r="800" spans="1:8" x14ac:dyDescent="0.15">
      <c r="A800" s="62" t="s">
        <v>13</v>
      </c>
      <c r="B800" s="62">
        <v>2505</v>
      </c>
      <c r="C800" s="62">
        <v>15</v>
      </c>
      <c r="D800" s="62">
        <v>0.12509999999999999</v>
      </c>
      <c r="E800" s="62">
        <v>251.30600000000001</v>
      </c>
      <c r="F800" s="62">
        <v>15.624000000000001</v>
      </c>
      <c r="G800" s="62">
        <v>104.163</v>
      </c>
      <c r="H800" s="62">
        <v>1.88</v>
      </c>
    </row>
    <row r="801" spans="1:8" x14ac:dyDescent="0.15">
      <c r="A801" s="62" t="s">
        <v>13</v>
      </c>
      <c r="B801" s="62">
        <v>2505</v>
      </c>
      <c r="C801" s="62">
        <v>15</v>
      </c>
      <c r="D801" s="62">
        <v>0.13</v>
      </c>
      <c r="E801" s="62">
        <v>241.76840000000001</v>
      </c>
      <c r="F801" s="62">
        <v>15.031000000000001</v>
      </c>
      <c r="G801" s="62">
        <v>100.2098</v>
      </c>
      <c r="H801" s="62">
        <v>1.94</v>
      </c>
    </row>
    <row r="802" spans="1:8" x14ac:dyDescent="0.15">
      <c r="A802" s="62" t="s">
        <v>13</v>
      </c>
      <c r="B802" s="62">
        <v>2505</v>
      </c>
      <c r="C802" s="62">
        <v>15</v>
      </c>
      <c r="D802" s="62">
        <v>0.12509999999999999</v>
      </c>
      <c r="E802" s="62">
        <v>251.2739</v>
      </c>
      <c r="F802" s="62">
        <v>15.622</v>
      </c>
      <c r="G802" s="62">
        <v>104.1497</v>
      </c>
      <c r="H802" s="62">
        <v>1.87</v>
      </c>
    </row>
    <row r="803" spans="1:8" x14ac:dyDescent="0.15">
      <c r="A803" s="62" t="s">
        <v>13</v>
      </c>
      <c r="B803" s="62">
        <v>2505</v>
      </c>
      <c r="C803" s="62">
        <v>15</v>
      </c>
      <c r="D803" s="62">
        <v>0.12479999999999999</v>
      </c>
      <c r="E803" s="62">
        <v>251.9101</v>
      </c>
      <c r="F803" s="62">
        <v>15.662000000000001</v>
      </c>
      <c r="G803" s="62">
        <v>104.4134</v>
      </c>
      <c r="H803" s="62">
        <v>1.87</v>
      </c>
    </row>
    <row r="804" spans="1:8" x14ac:dyDescent="0.15">
      <c r="A804" s="62" t="s">
        <v>13</v>
      </c>
      <c r="B804" s="62">
        <v>2505</v>
      </c>
      <c r="C804" s="62">
        <v>15</v>
      </c>
      <c r="D804" s="62">
        <v>0.12479999999999999</v>
      </c>
      <c r="E804" s="62">
        <v>251.8818</v>
      </c>
      <c r="F804" s="62">
        <v>15.66</v>
      </c>
      <c r="G804" s="62">
        <v>104.40170000000001</v>
      </c>
      <c r="H804" s="62">
        <v>1.87</v>
      </c>
    </row>
    <row r="805" spans="1:8" x14ac:dyDescent="0.15">
      <c r="A805" s="62" t="s">
        <v>13</v>
      </c>
      <c r="B805" s="62">
        <v>2505</v>
      </c>
      <c r="C805" s="62">
        <v>15</v>
      </c>
      <c r="D805" s="62">
        <v>0.12479999999999999</v>
      </c>
      <c r="E805" s="62">
        <v>251.8939</v>
      </c>
      <c r="F805" s="62">
        <v>15.661</v>
      </c>
      <c r="G805" s="62">
        <v>104.4067</v>
      </c>
      <c r="H805" s="62">
        <v>1.86</v>
      </c>
    </row>
    <row r="806" spans="1:8" x14ac:dyDescent="0.15">
      <c r="A806" s="62" t="s">
        <v>13</v>
      </c>
      <c r="B806" s="62">
        <v>2505</v>
      </c>
      <c r="C806" s="62">
        <v>15</v>
      </c>
      <c r="D806" s="62">
        <v>0.1249</v>
      </c>
      <c r="E806" s="62">
        <v>251.79910000000001</v>
      </c>
      <c r="F806" s="62">
        <v>15.654999999999999</v>
      </c>
      <c r="G806" s="62">
        <v>104.3674</v>
      </c>
      <c r="H806" s="62">
        <v>1.87</v>
      </c>
    </row>
    <row r="807" spans="1:8" x14ac:dyDescent="0.15">
      <c r="A807" s="62" t="s">
        <v>13</v>
      </c>
      <c r="B807" s="62">
        <v>2505</v>
      </c>
      <c r="C807" s="62">
        <v>15</v>
      </c>
      <c r="D807" s="62">
        <v>0.12479999999999999</v>
      </c>
      <c r="E807" s="62">
        <v>251.85759999999999</v>
      </c>
      <c r="F807" s="62">
        <v>15.659000000000001</v>
      </c>
      <c r="G807" s="62">
        <v>104.3917</v>
      </c>
      <c r="H807" s="62">
        <v>1.86</v>
      </c>
    </row>
    <row r="808" spans="1:8" x14ac:dyDescent="0.15">
      <c r="A808" s="62" t="s">
        <v>13</v>
      </c>
      <c r="B808" s="62">
        <v>2505</v>
      </c>
      <c r="C808" s="62">
        <v>15</v>
      </c>
      <c r="D808" s="62">
        <v>0.12479999999999999</v>
      </c>
      <c r="E808" s="62">
        <v>251.83340000000001</v>
      </c>
      <c r="F808" s="62">
        <v>15.657</v>
      </c>
      <c r="G808" s="62">
        <v>104.38160000000001</v>
      </c>
      <c r="H808" s="62">
        <v>1.87</v>
      </c>
    </row>
    <row r="809" spans="1:8" x14ac:dyDescent="0.15">
      <c r="A809" s="62" t="s">
        <v>13</v>
      </c>
      <c r="B809" s="62">
        <v>2505</v>
      </c>
      <c r="C809" s="62">
        <v>15</v>
      </c>
      <c r="D809" s="62">
        <v>0.12479999999999999</v>
      </c>
      <c r="E809" s="62">
        <v>251.86369999999999</v>
      </c>
      <c r="F809" s="62">
        <v>15.659000000000001</v>
      </c>
      <c r="G809" s="62">
        <v>104.3942</v>
      </c>
      <c r="H809" s="62">
        <v>1.87</v>
      </c>
    </row>
    <row r="810" spans="1:8" x14ac:dyDescent="0.15">
      <c r="A810" s="62" t="s">
        <v>13</v>
      </c>
      <c r="B810" s="62">
        <v>2505</v>
      </c>
      <c r="C810" s="62">
        <v>15</v>
      </c>
      <c r="D810" s="62">
        <v>0.12479999999999999</v>
      </c>
      <c r="E810" s="62">
        <v>251.8657</v>
      </c>
      <c r="F810" s="62">
        <v>15.659000000000001</v>
      </c>
      <c r="G810" s="62">
        <v>104.395</v>
      </c>
      <c r="H810" s="62">
        <v>1.87</v>
      </c>
    </row>
    <row r="811" spans="1:8" x14ac:dyDescent="0.15">
      <c r="A811" s="62" t="s">
        <v>13</v>
      </c>
      <c r="B811" s="62">
        <v>2505</v>
      </c>
      <c r="C811" s="62">
        <v>15</v>
      </c>
      <c r="D811" s="62">
        <v>0.12479999999999999</v>
      </c>
      <c r="E811" s="62">
        <v>251.8717</v>
      </c>
      <c r="F811" s="62">
        <v>15.66</v>
      </c>
      <c r="G811" s="62">
        <v>104.39749999999999</v>
      </c>
      <c r="H811" s="62">
        <v>1.87</v>
      </c>
    </row>
    <row r="812" spans="1:8" x14ac:dyDescent="0.15">
      <c r="A812" s="62" t="s">
        <v>13</v>
      </c>
      <c r="B812" s="62">
        <v>2505</v>
      </c>
      <c r="C812" s="62">
        <v>15</v>
      </c>
      <c r="D812" s="62">
        <v>0.12479999999999999</v>
      </c>
      <c r="E812" s="62">
        <v>251.86770000000001</v>
      </c>
      <c r="F812" s="62">
        <v>15.659000000000001</v>
      </c>
      <c r="G812" s="62">
        <v>104.3959</v>
      </c>
      <c r="H812" s="62">
        <v>1.87</v>
      </c>
    </row>
    <row r="813" spans="1:8" x14ac:dyDescent="0.15">
      <c r="A813" s="62" t="s">
        <v>13</v>
      </c>
      <c r="B813" s="62">
        <v>2505</v>
      </c>
      <c r="C813" s="62">
        <v>15</v>
      </c>
      <c r="D813" s="62">
        <v>0.12479999999999999</v>
      </c>
      <c r="E813" s="62">
        <v>251.83940000000001</v>
      </c>
      <c r="F813" s="62">
        <v>15.657999999999999</v>
      </c>
      <c r="G813" s="62">
        <v>104.38420000000001</v>
      </c>
      <c r="H813" s="62">
        <v>1.86</v>
      </c>
    </row>
    <row r="814" spans="1:8" x14ac:dyDescent="0.15">
      <c r="A814" s="62" t="s">
        <v>13</v>
      </c>
      <c r="B814" s="62">
        <v>2505</v>
      </c>
      <c r="C814" s="62">
        <v>15</v>
      </c>
      <c r="D814" s="62">
        <v>0.1249</v>
      </c>
      <c r="E814" s="62">
        <v>251.73660000000001</v>
      </c>
      <c r="F814" s="62">
        <v>15.651</v>
      </c>
      <c r="G814" s="62">
        <v>104.3415</v>
      </c>
      <c r="H814" s="62">
        <v>1.87</v>
      </c>
    </row>
    <row r="815" spans="1:8" x14ac:dyDescent="0.15">
      <c r="A815" s="62" t="s">
        <v>13</v>
      </c>
      <c r="B815" s="62">
        <v>2505</v>
      </c>
      <c r="C815" s="62">
        <v>15</v>
      </c>
      <c r="D815" s="62">
        <v>0.12479999999999999</v>
      </c>
      <c r="E815" s="62">
        <v>251.88380000000001</v>
      </c>
      <c r="F815" s="62">
        <v>15.66</v>
      </c>
      <c r="G815" s="62">
        <v>104.40260000000001</v>
      </c>
      <c r="H815" s="62">
        <v>1.79</v>
      </c>
    </row>
    <row r="816" spans="1:8" x14ac:dyDescent="0.15">
      <c r="A816" s="62" t="s">
        <v>13</v>
      </c>
      <c r="B816" s="62">
        <v>2505</v>
      </c>
      <c r="C816" s="62">
        <v>15</v>
      </c>
      <c r="D816" s="62">
        <v>0.12479999999999999</v>
      </c>
      <c r="E816" s="62">
        <v>251.82939999999999</v>
      </c>
      <c r="F816" s="62">
        <v>15.657</v>
      </c>
      <c r="G816" s="62">
        <v>104.38</v>
      </c>
      <c r="H816" s="62">
        <v>1.94</v>
      </c>
    </row>
    <row r="817" spans="1:8" x14ac:dyDescent="0.15">
      <c r="A817" s="62" t="s">
        <v>13</v>
      </c>
      <c r="B817" s="62">
        <v>2505</v>
      </c>
      <c r="C817" s="62">
        <v>15</v>
      </c>
      <c r="D817" s="62">
        <v>0.12479999999999999</v>
      </c>
      <c r="E817" s="62">
        <v>251.8717</v>
      </c>
      <c r="F817" s="62">
        <v>15.66</v>
      </c>
      <c r="G817" s="62">
        <v>104.39749999999999</v>
      </c>
      <c r="H817" s="62">
        <v>1.88</v>
      </c>
    </row>
    <row r="818" spans="1:8" x14ac:dyDescent="0.15">
      <c r="A818" s="62" t="s">
        <v>13</v>
      </c>
      <c r="B818" s="62">
        <v>2505</v>
      </c>
      <c r="C818" s="62">
        <v>15</v>
      </c>
      <c r="D818" s="62">
        <v>0.12479999999999999</v>
      </c>
      <c r="E818" s="62">
        <v>251.8475</v>
      </c>
      <c r="F818" s="62">
        <v>15.657999999999999</v>
      </c>
      <c r="G818" s="62">
        <v>104.3875</v>
      </c>
      <c r="H818" s="62">
        <v>1.86</v>
      </c>
    </row>
    <row r="819" spans="1:8" x14ac:dyDescent="0.15">
      <c r="A819" s="62" t="s">
        <v>13</v>
      </c>
      <c r="B819" s="62">
        <v>2505</v>
      </c>
      <c r="C819" s="62">
        <v>15</v>
      </c>
      <c r="D819" s="62">
        <v>0.12479999999999999</v>
      </c>
      <c r="E819" s="62">
        <v>251.84950000000001</v>
      </c>
      <c r="F819" s="62">
        <v>15.657999999999999</v>
      </c>
      <c r="G819" s="62">
        <v>104.3883</v>
      </c>
      <c r="H819" s="62">
        <v>1.86</v>
      </c>
    </row>
    <row r="820" spans="1:8" x14ac:dyDescent="0.15">
      <c r="A820" s="62" t="s">
        <v>13</v>
      </c>
      <c r="B820" s="62">
        <v>2505</v>
      </c>
      <c r="C820" s="62">
        <v>15</v>
      </c>
      <c r="D820" s="62">
        <v>0.12479999999999999</v>
      </c>
      <c r="E820" s="62">
        <v>251.85759999999999</v>
      </c>
      <c r="F820" s="62">
        <v>15.659000000000001</v>
      </c>
      <c r="G820" s="62">
        <v>104.3917</v>
      </c>
      <c r="H820" s="62">
        <v>1.86</v>
      </c>
    </row>
    <row r="821" spans="1:8" x14ac:dyDescent="0.15">
      <c r="A821" s="62" t="s">
        <v>13</v>
      </c>
      <c r="B821" s="62">
        <v>2505</v>
      </c>
      <c r="C821" s="62">
        <v>15</v>
      </c>
      <c r="D821" s="62">
        <v>0.12479999999999999</v>
      </c>
      <c r="E821" s="62">
        <v>251.8314</v>
      </c>
      <c r="F821" s="62">
        <v>15.657</v>
      </c>
      <c r="G821" s="62">
        <v>104.38079999999999</v>
      </c>
      <c r="H821" s="62">
        <v>1.87</v>
      </c>
    </row>
    <row r="822" spans="1:8" x14ac:dyDescent="0.15">
      <c r="A822" s="62" t="s">
        <v>13</v>
      </c>
      <c r="B822" s="62">
        <v>2505</v>
      </c>
      <c r="C822" s="62">
        <v>15</v>
      </c>
      <c r="D822" s="62">
        <v>0.12479999999999999</v>
      </c>
      <c r="E822" s="62">
        <v>251.84350000000001</v>
      </c>
      <c r="F822" s="62">
        <v>15.657999999999999</v>
      </c>
      <c r="G822" s="62">
        <v>104.3858</v>
      </c>
      <c r="H822" s="62">
        <v>1.87</v>
      </c>
    </row>
    <row r="823" spans="1:8" x14ac:dyDescent="0.15">
      <c r="A823" s="62" t="s">
        <v>13</v>
      </c>
      <c r="B823" s="62">
        <v>2505</v>
      </c>
      <c r="C823" s="62">
        <v>15</v>
      </c>
      <c r="D823" s="62">
        <v>0.12479999999999999</v>
      </c>
      <c r="E823" s="62">
        <v>251.82740000000001</v>
      </c>
      <c r="F823" s="62">
        <v>15.657</v>
      </c>
      <c r="G823" s="62">
        <v>104.37909999999999</v>
      </c>
      <c r="H823" s="62">
        <v>1.87</v>
      </c>
    </row>
    <row r="824" spans="1:8" x14ac:dyDescent="0.15">
      <c r="A824" s="62" t="s">
        <v>13</v>
      </c>
      <c r="B824" s="62">
        <v>2505</v>
      </c>
      <c r="C824" s="62">
        <v>16</v>
      </c>
      <c r="D824" s="62">
        <v>0.114</v>
      </c>
      <c r="E824" s="62">
        <v>275.65480000000002</v>
      </c>
      <c r="F824" s="62">
        <v>17.138000000000002</v>
      </c>
      <c r="G824" s="62">
        <v>107.1143</v>
      </c>
      <c r="H824" s="62">
        <v>1.8</v>
      </c>
    </row>
    <row r="825" spans="1:8" x14ac:dyDescent="0.15">
      <c r="A825" s="62" t="s">
        <v>13</v>
      </c>
      <c r="B825" s="62">
        <v>2505</v>
      </c>
      <c r="C825" s="62">
        <v>16</v>
      </c>
      <c r="D825" s="62">
        <v>0.1135</v>
      </c>
      <c r="E825" s="62">
        <v>276.9076</v>
      </c>
      <c r="F825" s="62">
        <v>17.216000000000001</v>
      </c>
      <c r="G825" s="62">
        <v>107.60120000000001</v>
      </c>
      <c r="H825" s="62">
        <v>1.82</v>
      </c>
    </row>
    <row r="826" spans="1:8" x14ac:dyDescent="0.15">
      <c r="A826" s="62" t="s">
        <v>13</v>
      </c>
      <c r="B826" s="62">
        <v>2505</v>
      </c>
      <c r="C826" s="62">
        <v>16</v>
      </c>
      <c r="D826" s="62">
        <v>0.11210000000000001</v>
      </c>
      <c r="E826" s="62">
        <v>280.50749999999999</v>
      </c>
      <c r="F826" s="62">
        <v>17.440000000000001</v>
      </c>
      <c r="G826" s="62">
        <v>109</v>
      </c>
      <c r="H826" s="62">
        <v>1.79</v>
      </c>
    </row>
    <row r="827" spans="1:8" x14ac:dyDescent="0.15">
      <c r="A827" s="62" t="s">
        <v>13</v>
      </c>
      <c r="B827" s="62">
        <v>2505</v>
      </c>
      <c r="C827" s="62">
        <v>16</v>
      </c>
      <c r="D827" s="62">
        <v>0.11360000000000001</v>
      </c>
      <c r="E827" s="62">
        <v>276.66640000000001</v>
      </c>
      <c r="F827" s="62">
        <v>17.201000000000001</v>
      </c>
      <c r="G827" s="62">
        <v>107.5074</v>
      </c>
      <c r="H827" s="62">
        <v>1.82</v>
      </c>
    </row>
    <row r="828" spans="1:8" x14ac:dyDescent="0.15">
      <c r="A828" s="62" t="s">
        <v>13</v>
      </c>
      <c r="B828" s="62">
        <v>2505</v>
      </c>
      <c r="C828" s="62">
        <v>16</v>
      </c>
      <c r="D828" s="62">
        <v>0.11360000000000001</v>
      </c>
      <c r="E828" s="62">
        <v>276.63229999999999</v>
      </c>
      <c r="F828" s="62">
        <v>17.199000000000002</v>
      </c>
      <c r="G828" s="62">
        <v>107.49420000000001</v>
      </c>
      <c r="H828" s="62">
        <v>1.82</v>
      </c>
    </row>
    <row r="829" spans="1:8" x14ac:dyDescent="0.15">
      <c r="A829" s="62" t="s">
        <v>13</v>
      </c>
      <c r="B829" s="62">
        <v>2505</v>
      </c>
      <c r="C829" s="62">
        <v>16</v>
      </c>
      <c r="D829" s="62">
        <v>0.1139</v>
      </c>
      <c r="E829" s="62">
        <v>276.06630000000001</v>
      </c>
      <c r="F829" s="62">
        <v>17.164000000000001</v>
      </c>
      <c r="G829" s="62">
        <v>107.27419999999999</v>
      </c>
      <c r="H829" s="62">
        <v>1.82</v>
      </c>
    </row>
    <row r="830" spans="1:8" x14ac:dyDescent="0.15">
      <c r="A830" s="62" t="s">
        <v>13</v>
      </c>
      <c r="B830" s="62">
        <v>2505</v>
      </c>
      <c r="C830" s="62">
        <v>16</v>
      </c>
      <c r="D830" s="62">
        <v>0.1132</v>
      </c>
      <c r="E830" s="62">
        <v>277.65109999999999</v>
      </c>
      <c r="F830" s="62">
        <v>17.262</v>
      </c>
      <c r="G830" s="62">
        <v>107.8901</v>
      </c>
      <c r="H830" s="62">
        <v>1.81</v>
      </c>
    </row>
    <row r="831" spans="1:8" x14ac:dyDescent="0.15">
      <c r="A831" s="62" t="s">
        <v>13</v>
      </c>
      <c r="B831" s="62">
        <v>2505</v>
      </c>
      <c r="C831" s="62">
        <v>16</v>
      </c>
      <c r="D831" s="62">
        <v>0.11210000000000001</v>
      </c>
      <c r="E831" s="62">
        <v>280.52249999999998</v>
      </c>
      <c r="F831" s="62">
        <v>17.440999999999999</v>
      </c>
      <c r="G831" s="62">
        <v>109.00579999999999</v>
      </c>
      <c r="H831" s="62">
        <v>1.79</v>
      </c>
    </row>
    <row r="832" spans="1:8" x14ac:dyDescent="0.15">
      <c r="A832" s="62" t="s">
        <v>13</v>
      </c>
      <c r="B832" s="62">
        <v>2505</v>
      </c>
      <c r="C832" s="62">
        <v>16</v>
      </c>
      <c r="D832" s="62">
        <v>0.1124</v>
      </c>
      <c r="E832" s="62">
        <v>279.60930000000002</v>
      </c>
      <c r="F832" s="62">
        <v>17.384</v>
      </c>
      <c r="G832" s="62">
        <v>108.651</v>
      </c>
      <c r="H832" s="62">
        <v>1.8</v>
      </c>
    </row>
    <row r="833" spans="1:8" x14ac:dyDescent="0.15">
      <c r="A833" s="62" t="s">
        <v>13</v>
      </c>
      <c r="B833" s="62">
        <v>2505</v>
      </c>
      <c r="C833" s="62">
        <v>16</v>
      </c>
      <c r="D833" s="62">
        <v>0.114</v>
      </c>
      <c r="E833" s="62">
        <v>275.79020000000003</v>
      </c>
      <c r="F833" s="62">
        <v>17.146999999999998</v>
      </c>
      <c r="G833" s="62">
        <v>107.167</v>
      </c>
      <c r="H833" s="62">
        <v>1.82</v>
      </c>
    </row>
    <row r="834" spans="1:8" x14ac:dyDescent="0.15">
      <c r="A834" s="62" t="s">
        <v>13</v>
      </c>
      <c r="B834" s="62">
        <v>2505</v>
      </c>
      <c r="C834" s="62">
        <v>16</v>
      </c>
      <c r="D834" s="62">
        <v>0.1129</v>
      </c>
      <c r="E834" s="62">
        <v>278.5342</v>
      </c>
      <c r="F834" s="62">
        <v>17.317</v>
      </c>
      <c r="G834" s="62">
        <v>108.2332</v>
      </c>
      <c r="H834" s="62">
        <v>1.73</v>
      </c>
    </row>
    <row r="835" spans="1:8" x14ac:dyDescent="0.15">
      <c r="A835" s="62" t="s">
        <v>13</v>
      </c>
      <c r="B835" s="62">
        <v>2505</v>
      </c>
      <c r="C835" s="62">
        <v>16</v>
      </c>
      <c r="D835" s="62">
        <v>0.1129</v>
      </c>
      <c r="E835" s="62">
        <v>278.58109999999999</v>
      </c>
      <c r="F835" s="62">
        <v>17.32</v>
      </c>
      <c r="G835" s="62">
        <v>108.2514</v>
      </c>
      <c r="H835" s="62">
        <v>1.88</v>
      </c>
    </row>
    <row r="836" spans="1:8" x14ac:dyDescent="0.15">
      <c r="A836" s="62" t="s">
        <v>13</v>
      </c>
      <c r="B836" s="62">
        <v>2505</v>
      </c>
      <c r="C836" s="62">
        <v>16</v>
      </c>
      <c r="D836" s="62">
        <v>0.1144</v>
      </c>
      <c r="E836" s="62">
        <v>274.8306</v>
      </c>
      <c r="F836" s="62">
        <v>17.087</v>
      </c>
      <c r="G836" s="62">
        <v>106.7941</v>
      </c>
      <c r="H836" s="62">
        <v>1.83</v>
      </c>
    </row>
    <row r="837" spans="1:8" x14ac:dyDescent="0.15">
      <c r="A837" s="62" t="s">
        <v>13</v>
      </c>
      <c r="B837" s="62">
        <v>2505</v>
      </c>
      <c r="C837" s="62">
        <v>16</v>
      </c>
      <c r="D837" s="62">
        <v>0.11219999999999999</v>
      </c>
      <c r="E837" s="62">
        <v>280.11009999999999</v>
      </c>
      <c r="F837" s="62">
        <v>17.414999999999999</v>
      </c>
      <c r="G837" s="62">
        <v>108.8456</v>
      </c>
      <c r="H837" s="62">
        <v>1.8</v>
      </c>
    </row>
    <row r="838" spans="1:8" x14ac:dyDescent="0.15">
      <c r="A838" s="62" t="s">
        <v>13</v>
      </c>
      <c r="B838" s="62">
        <v>2505</v>
      </c>
      <c r="C838" s="62">
        <v>16</v>
      </c>
      <c r="D838" s="62">
        <v>0.1125</v>
      </c>
      <c r="E838" s="62">
        <v>279.36829999999998</v>
      </c>
      <c r="F838" s="62">
        <v>17.369</v>
      </c>
      <c r="G838" s="62">
        <v>108.5573</v>
      </c>
      <c r="H838" s="62">
        <v>1.79</v>
      </c>
    </row>
    <row r="839" spans="1:8" x14ac:dyDescent="0.15">
      <c r="A839" s="62" t="s">
        <v>13</v>
      </c>
      <c r="B839" s="62">
        <v>2505</v>
      </c>
      <c r="C839" s="62">
        <v>16</v>
      </c>
      <c r="D839" s="62">
        <v>0.1125</v>
      </c>
      <c r="E839" s="62">
        <v>279.4975</v>
      </c>
      <c r="F839" s="62">
        <v>17.376999999999999</v>
      </c>
      <c r="G839" s="62">
        <v>108.6075</v>
      </c>
      <c r="H839" s="62">
        <v>1.79</v>
      </c>
    </row>
    <row r="840" spans="1:8" x14ac:dyDescent="0.15">
      <c r="A840" s="62" t="s">
        <v>13</v>
      </c>
      <c r="B840" s="62">
        <v>2505</v>
      </c>
      <c r="C840" s="62">
        <v>16</v>
      </c>
      <c r="D840" s="62">
        <v>0.1125</v>
      </c>
      <c r="E840" s="62">
        <v>279.38819999999998</v>
      </c>
      <c r="F840" s="62">
        <v>17.37</v>
      </c>
      <c r="G840" s="62">
        <v>108.5651</v>
      </c>
      <c r="H840" s="62">
        <v>1.79</v>
      </c>
    </row>
    <row r="841" spans="1:8" x14ac:dyDescent="0.15">
      <c r="A841" s="62" t="s">
        <v>13</v>
      </c>
      <c r="B841" s="62">
        <v>2505</v>
      </c>
      <c r="C841" s="62">
        <v>16</v>
      </c>
      <c r="D841" s="62">
        <v>0.1123</v>
      </c>
      <c r="E841" s="62">
        <v>280.05770000000001</v>
      </c>
      <c r="F841" s="62">
        <v>17.411999999999999</v>
      </c>
      <c r="G841" s="62">
        <v>108.8252</v>
      </c>
      <c r="H841" s="62">
        <v>1.79</v>
      </c>
    </row>
    <row r="842" spans="1:8" x14ac:dyDescent="0.15">
      <c r="A842" s="62" t="s">
        <v>13</v>
      </c>
      <c r="B842" s="62">
        <v>2505</v>
      </c>
      <c r="C842" s="62">
        <v>16</v>
      </c>
      <c r="D842" s="62">
        <v>0.1125</v>
      </c>
      <c r="E842" s="62">
        <v>279.40809999999999</v>
      </c>
      <c r="F842" s="62">
        <v>17.372</v>
      </c>
      <c r="G842" s="62">
        <v>108.5728</v>
      </c>
      <c r="H842" s="62">
        <v>1.8</v>
      </c>
    </row>
    <row r="843" spans="1:8" x14ac:dyDescent="0.15">
      <c r="A843" s="62" t="s">
        <v>13</v>
      </c>
      <c r="B843" s="62">
        <v>2505</v>
      </c>
      <c r="C843" s="62">
        <v>16</v>
      </c>
      <c r="D843" s="62">
        <v>0.1135</v>
      </c>
      <c r="E843" s="62">
        <v>276.91489999999999</v>
      </c>
      <c r="F843" s="62">
        <v>17.216999999999999</v>
      </c>
      <c r="G843" s="62">
        <v>107.604</v>
      </c>
      <c r="H843" s="62">
        <v>1.81</v>
      </c>
    </row>
    <row r="844" spans="1:8" x14ac:dyDescent="0.15">
      <c r="A844" s="62" t="s">
        <v>13</v>
      </c>
      <c r="B844" s="62">
        <v>2505</v>
      </c>
      <c r="C844" s="62">
        <v>16</v>
      </c>
      <c r="D844" s="62">
        <v>0.11260000000000001</v>
      </c>
      <c r="E844" s="62">
        <v>279.22190000000001</v>
      </c>
      <c r="F844" s="62">
        <v>17.36</v>
      </c>
      <c r="G844" s="62">
        <v>108.5005</v>
      </c>
      <c r="H844" s="62">
        <v>1.8</v>
      </c>
    </row>
    <row r="845" spans="1:8" x14ac:dyDescent="0.15">
      <c r="A845" s="62" t="s">
        <v>13</v>
      </c>
      <c r="B845" s="62">
        <v>2505</v>
      </c>
      <c r="C845" s="62">
        <v>16</v>
      </c>
      <c r="D845" s="62">
        <v>0.11269999999999999</v>
      </c>
      <c r="E845" s="62">
        <v>279.0385</v>
      </c>
      <c r="F845" s="62">
        <v>17.349</v>
      </c>
      <c r="G845" s="62">
        <v>108.42919999999999</v>
      </c>
      <c r="H845" s="62">
        <v>1.8</v>
      </c>
    </row>
    <row r="846" spans="1:8" x14ac:dyDescent="0.15">
      <c r="A846" s="62" t="s">
        <v>13</v>
      </c>
      <c r="B846" s="62">
        <v>2505</v>
      </c>
      <c r="C846" s="62">
        <v>16</v>
      </c>
      <c r="D846" s="62">
        <v>0.1125</v>
      </c>
      <c r="E846" s="62">
        <v>279.35340000000002</v>
      </c>
      <c r="F846" s="62">
        <v>17.367999999999999</v>
      </c>
      <c r="G846" s="62">
        <v>108.55159999999999</v>
      </c>
      <c r="H846" s="62">
        <v>1.8</v>
      </c>
    </row>
    <row r="847" spans="1:8" x14ac:dyDescent="0.15">
      <c r="A847" s="62" t="s">
        <v>13</v>
      </c>
      <c r="B847" s="62">
        <v>2505</v>
      </c>
      <c r="C847" s="62">
        <v>16</v>
      </c>
      <c r="D847" s="62">
        <v>0.1124</v>
      </c>
      <c r="E847" s="62">
        <v>279.59690000000001</v>
      </c>
      <c r="F847" s="62">
        <v>17.382999999999999</v>
      </c>
      <c r="G847" s="62">
        <v>108.64619999999999</v>
      </c>
      <c r="H847" s="62">
        <v>1.8</v>
      </c>
    </row>
    <row r="848" spans="1:8" x14ac:dyDescent="0.15">
      <c r="A848" s="62" t="s">
        <v>13</v>
      </c>
      <c r="B848" s="62">
        <v>2505</v>
      </c>
      <c r="C848" s="62">
        <v>16</v>
      </c>
      <c r="D848" s="62">
        <v>0.113</v>
      </c>
      <c r="E848" s="62">
        <v>278.09559999999999</v>
      </c>
      <c r="F848" s="62">
        <v>17.29</v>
      </c>
      <c r="G848" s="62">
        <v>108.0628</v>
      </c>
      <c r="H848" s="62">
        <v>1.8</v>
      </c>
    </row>
    <row r="849" spans="1:8" x14ac:dyDescent="0.15">
      <c r="A849" s="62" t="s">
        <v>13</v>
      </c>
      <c r="B849" s="62">
        <v>2505</v>
      </c>
      <c r="C849" s="62">
        <v>16</v>
      </c>
      <c r="D849" s="62">
        <v>0.1129</v>
      </c>
      <c r="E849" s="62">
        <v>278.40100000000001</v>
      </c>
      <c r="F849" s="62">
        <v>17.309000000000001</v>
      </c>
      <c r="G849" s="62">
        <v>108.1815</v>
      </c>
      <c r="H849" s="62">
        <v>1.8</v>
      </c>
    </row>
    <row r="850" spans="1:8" x14ac:dyDescent="0.15">
      <c r="A850" s="62" t="s">
        <v>13</v>
      </c>
      <c r="B850" s="62">
        <v>2505</v>
      </c>
      <c r="C850" s="62">
        <v>16</v>
      </c>
      <c r="D850" s="62">
        <v>0.1132</v>
      </c>
      <c r="E850" s="62">
        <v>277.8032</v>
      </c>
      <c r="F850" s="62">
        <v>17.271999999999998</v>
      </c>
      <c r="G850" s="62">
        <v>107.9492</v>
      </c>
      <c r="H850" s="62">
        <v>1.81</v>
      </c>
    </row>
    <row r="851" spans="1:8" x14ac:dyDescent="0.15">
      <c r="A851" s="62" t="s">
        <v>13</v>
      </c>
      <c r="B851" s="62">
        <v>2505</v>
      </c>
      <c r="C851" s="62">
        <v>16</v>
      </c>
      <c r="D851" s="62">
        <v>0.1123</v>
      </c>
      <c r="E851" s="62">
        <v>279.84829999999999</v>
      </c>
      <c r="F851" s="62">
        <v>17.399000000000001</v>
      </c>
      <c r="G851" s="62">
        <v>108.7439</v>
      </c>
      <c r="H851" s="62">
        <v>1.8</v>
      </c>
    </row>
    <row r="852" spans="1:8" x14ac:dyDescent="0.15">
      <c r="A852" s="62" t="s">
        <v>13</v>
      </c>
      <c r="B852" s="62">
        <v>2505</v>
      </c>
      <c r="C852" s="62">
        <v>16</v>
      </c>
      <c r="D852" s="62">
        <v>0.1137</v>
      </c>
      <c r="E852" s="62">
        <v>276.52760000000001</v>
      </c>
      <c r="F852" s="62">
        <v>17.193000000000001</v>
      </c>
      <c r="G852" s="62">
        <v>107.45350000000001</v>
      </c>
      <c r="H852" s="62">
        <v>1.81</v>
      </c>
    </row>
    <row r="853" spans="1:8" x14ac:dyDescent="0.15">
      <c r="A853" s="62" t="s">
        <v>13</v>
      </c>
      <c r="B853" s="62">
        <v>2505</v>
      </c>
      <c r="C853" s="62">
        <v>16</v>
      </c>
      <c r="D853" s="62">
        <v>0.1123</v>
      </c>
      <c r="E853" s="62">
        <v>279.9255</v>
      </c>
      <c r="F853" s="62">
        <v>17.404</v>
      </c>
      <c r="G853" s="62">
        <v>108.7739</v>
      </c>
      <c r="H853" s="62">
        <v>1.75</v>
      </c>
    </row>
    <row r="854" spans="1:8" x14ac:dyDescent="0.15">
      <c r="A854" s="62" t="s">
        <v>13</v>
      </c>
      <c r="B854" s="62">
        <v>2505</v>
      </c>
      <c r="C854" s="62">
        <v>16</v>
      </c>
      <c r="D854" s="62">
        <v>0.11269999999999999</v>
      </c>
      <c r="E854" s="62">
        <v>278.96179999999998</v>
      </c>
      <c r="F854" s="62">
        <v>17.344000000000001</v>
      </c>
      <c r="G854" s="62">
        <v>108.3994</v>
      </c>
      <c r="H854" s="62">
        <v>1.75</v>
      </c>
    </row>
    <row r="855" spans="1:8" x14ac:dyDescent="0.15">
      <c r="A855" s="62" t="s">
        <v>13</v>
      </c>
      <c r="B855" s="62">
        <v>2505</v>
      </c>
      <c r="C855" s="62">
        <v>16</v>
      </c>
      <c r="D855" s="62">
        <v>0.1129</v>
      </c>
      <c r="E855" s="62">
        <v>278.48239999999998</v>
      </c>
      <c r="F855" s="62">
        <v>17.314</v>
      </c>
      <c r="G855" s="62">
        <v>108.2131</v>
      </c>
      <c r="H855" s="62">
        <v>1.9</v>
      </c>
    </row>
    <row r="856" spans="1:8" x14ac:dyDescent="0.15">
      <c r="A856" s="62" t="s">
        <v>13</v>
      </c>
      <c r="B856" s="62">
        <v>2505</v>
      </c>
      <c r="C856" s="62">
        <v>16</v>
      </c>
      <c r="D856" s="62">
        <v>0.1119</v>
      </c>
      <c r="E856" s="62">
        <v>280.86579999999998</v>
      </c>
      <c r="F856" s="62">
        <v>17.462</v>
      </c>
      <c r="G856" s="62">
        <v>109.13930000000001</v>
      </c>
      <c r="H856" s="62">
        <v>1.79</v>
      </c>
    </row>
    <row r="857" spans="1:8" x14ac:dyDescent="0.15">
      <c r="A857" s="62" t="s">
        <v>13</v>
      </c>
      <c r="B857" s="62">
        <v>2505</v>
      </c>
      <c r="C857" s="62">
        <v>16</v>
      </c>
      <c r="D857" s="62">
        <v>0.11219999999999999</v>
      </c>
      <c r="E857" s="62">
        <v>280.18</v>
      </c>
      <c r="F857" s="62">
        <v>17.420000000000002</v>
      </c>
      <c r="G857" s="62">
        <v>108.87269999999999</v>
      </c>
      <c r="H857" s="62">
        <v>1.79</v>
      </c>
    </row>
    <row r="858" spans="1:8" x14ac:dyDescent="0.15">
      <c r="A858" s="62" t="s">
        <v>13</v>
      </c>
      <c r="B858" s="62">
        <v>2505</v>
      </c>
      <c r="C858" s="62">
        <v>16</v>
      </c>
      <c r="D858" s="62">
        <v>0.113</v>
      </c>
      <c r="E858" s="62">
        <v>278.32209999999998</v>
      </c>
      <c r="F858" s="62">
        <v>17.303999999999998</v>
      </c>
      <c r="G858" s="62">
        <v>108.1508</v>
      </c>
      <c r="H858" s="62">
        <v>1.8</v>
      </c>
    </row>
    <row r="859" spans="1:8" x14ac:dyDescent="0.15">
      <c r="A859" s="62" t="s">
        <v>13</v>
      </c>
      <c r="B859" s="62">
        <v>2505</v>
      </c>
      <c r="C859" s="62">
        <v>16</v>
      </c>
      <c r="D859" s="62">
        <v>0.11260000000000001</v>
      </c>
      <c r="E859" s="62">
        <v>279.21199999999999</v>
      </c>
      <c r="F859" s="62">
        <v>17.359000000000002</v>
      </c>
      <c r="G859" s="62">
        <v>108.4966</v>
      </c>
      <c r="H859" s="62">
        <v>1.79</v>
      </c>
    </row>
    <row r="860" spans="1:8" x14ac:dyDescent="0.15">
      <c r="A860" s="62" t="s">
        <v>13</v>
      </c>
      <c r="B860" s="62">
        <v>2505</v>
      </c>
      <c r="C860" s="62">
        <v>16</v>
      </c>
      <c r="D860" s="62">
        <v>0.1124</v>
      </c>
      <c r="E860" s="62">
        <v>279.61930000000001</v>
      </c>
      <c r="F860" s="62">
        <v>17.385000000000002</v>
      </c>
      <c r="G860" s="62">
        <v>108.6549</v>
      </c>
      <c r="H860" s="62">
        <v>1.8</v>
      </c>
    </row>
    <row r="861" spans="1:8" x14ac:dyDescent="0.15">
      <c r="A861" s="62" t="s">
        <v>13</v>
      </c>
      <c r="B861" s="62">
        <v>2505</v>
      </c>
      <c r="C861" s="62">
        <v>16</v>
      </c>
      <c r="D861" s="62">
        <v>0.1129</v>
      </c>
      <c r="E861" s="62">
        <v>278.37880000000001</v>
      </c>
      <c r="F861" s="62">
        <v>17.308</v>
      </c>
      <c r="G861" s="62">
        <v>108.1728</v>
      </c>
      <c r="H861" s="62">
        <v>1.81</v>
      </c>
    </row>
    <row r="862" spans="1:8" x14ac:dyDescent="0.15">
      <c r="A862" s="62" t="s">
        <v>13</v>
      </c>
      <c r="B862" s="62">
        <v>2505</v>
      </c>
      <c r="C862" s="62">
        <v>16</v>
      </c>
      <c r="D862" s="62">
        <v>0.1119</v>
      </c>
      <c r="E862" s="62">
        <v>280.98379999999997</v>
      </c>
      <c r="F862" s="62">
        <v>17.47</v>
      </c>
      <c r="G862" s="62">
        <v>109.18510000000001</v>
      </c>
      <c r="H862" s="62">
        <v>1.79</v>
      </c>
    </row>
    <row r="863" spans="1:8" x14ac:dyDescent="0.15">
      <c r="A863" s="62" t="s">
        <v>13</v>
      </c>
      <c r="B863" s="62">
        <v>2505</v>
      </c>
      <c r="C863" s="62">
        <v>16</v>
      </c>
      <c r="D863" s="62">
        <v>0.11269999999999999</v>
      </c>
      <c r="E863" s="62">
        <v>278.9717</v>
      </c>
      <c r="F863" s="62">
        <v>17.344999999999999</v>
      </c>
      <c r="G863" s="62">
        <v>108.4032</v>
      </c>
      <c r="H863" s="62">
        <v>1.8</v>
      </c>
    </row>
    <row r="864" spans="1:8" x14ac:dyDescent="0.15">
      <c r="A864" s="62" t="s">
        <v>13</v>
      </c>
      <c r="B864" s="62">
        <v>2505</v>
      </c>
      <c r="C864" s="62">
        <v>16</v>
      </c>
      <c r="D864" s="62">
        <v>0.11260000000000001</v>
      </c>
      <c r="E864" s="62">
        <v>279.19459999999998</v>
      </c>
      <c r="F864" s="62">
        <v>17.358000000000001</v>
      </c>
      <c r="G864" s="62">
        <v>108.48990000000001</v>
      </c>
      <c r="H864" s="62">
        <v>1.8</v>
      </c>
    </row>
    <row r="865" spans="1:8" x14ac:dyDescent="0.15">
      <c r="A865" s="62" t="s">
        <v>13</v>
      </c>
      <c r="B865" s="62">
        <v>2505</v>
      </c>
      <c r="C865" s="62">
        <v>16</v>
      </c>
      <c r="D865" s="62">
        <v>0.1125</v>
      </c>
      <c r="E865" s="62">
        <v>279.42540000000002</v>
      </c>
      <c r="F865" s="62">
        <v>17.373000000000001</v>
      </c>
      <c r="G865" s="62">
        <v>108.5795</v>
      </c>
      <c r="H865" s="62">
        <v>1.8</v>
      </c>
    </row>
    <row r="866" spans="1:8" x14ac:dyDescent="0.15">
      <c r="A866" s="62" t="s">
        <v>13</v>
      </c>
      <c r="B866" s="62">
        <v>2505</v>
      </c>
      <c r="C866" s="62">
        <v>16</v>
      </c>
      <c r="D866" s="62">
        <v>0.1134</v>
      </c>
      <c r="E866" s="62">
        <v>277.1884</v>
      </c>
      <c r="F866" s="62">
        <v>17.234000000000002</v>
      </c>
      <c r="G866" s="62">
        <v>107.7103</v>
      </c>
      <c r="H866" s="62">
        <v>1.81</v>
      </c>
    </row>
    <row r="867" spans="1:8" x14ac:dyDescent="0.15">
      <c r="A867" s="62" t="s">
        <v>13</v>
      </c>
      <c r="B867" s="62">
        <v>2505</v>
      </c>
      <c r="C867" s="62">
        <v>16</v>
      </c>
      <c r="D867" s="62">
        <v>0.11269999999999999</v>
      </c>
      <c r="E867" s="62">
        <v>278.94690000000003</v>
      </c>
      <c r="F867" s="62">
        <v>17.343</v>
      </c>
      <c r="G867" s="62">
        <v>108.39360000000001</v>
      </c>
      <c r="H867" s="62">
        <v>1.8</v>
      </c>
    </row>
    <row r="868" spans="1:8" x14ac:dyDescent="0.15">
      <c r="A868" s="62" t="s">
        <v>13</v>
      </c>
      <c r="B868" s="62">
        <v>2505</v>
      </c>
      <c r="C868" s="62">
        <v>16</v>
      </c>
      <c r="D868" s="62">
        <v>0.1128</v>
      </c>
      <c r="E868" s="62">
        <v>278.6848</v>
      </c>
      <c r="F868" s="62">
        <v>17.327000000000002</v>
      </c>
      <c r="G868" s="62">
        <v>108.29170000000001</v>
      </c>
      <c r="H868" s="62">
        <v>1.8</v>
      </c>
    </row>
    <row r="869" spans="1:8" x14ac:dyDescent="0.15">
      <c r="A869" s="62" t="s">
        <v>13</v>
      </c>
      <c r="B869" s="62">
        <v>2505</v>
      </c>
      <c r="C869" s="62">
        <v>16</v>
      </c>
      <c r="D869" s="62">
        <v>0.1118</v>
      </c>
      <c r="E869" s="62">
        <v>281.08929999999998</v>
      </c>
      <c r="F869" s="62">
        <v>17.475999999999999</v>
      </c>
      <c r="G869" s="62">
        <v>109.2261</v>
      </c>
      <c r="H869" s="62">
        <v>1.79</v>
      </c>
    </row>
    <row r="870" spans="1:8" x14ac:dyDescent="0.15">
      <c r="A870" s="62" t="s">
        <v>13</v>
      </c>
      <c r="B870" s="62">
        <v>2505</v>
      </c>
      <c r="C870" s="62">
        <v>16</v>
      </c>
      <c r="D870" s="62">
        <v>0.1134</v>
      </c>
      <c r="E870" s="62">
        <v>277.26420000000002</v>
      </c>
      <c r="F870" s="62">
        <v>17.238</v>
      </c>
      <c r="G870" s="62">
        <v>107.7397</v>
      </c>
      <c r="H870" s="62">
        <v>1.82</v>
      </c>
    </row>
    <row r="871" spans="1:8" x14ac:dyDescent="0.15">
      <c r="A871" s="62" t="s">
        <v>13</v>
      </c>
      <c r="B871" s="62">
        <v>2505</v>
      </c>
      <c r="C871" s="62">
        <v>16</v>
      </c>
      <c r="D871" s="62">
        <v>0.1133</v>
      </c>
      <c r="E871" s="62">
        <v>277.52609999999999</v>
      </c>
      <c r="F871" s="62">
        <v>17.254999999999999</v>
      </c>
      <c r="G871" s="62">
        <v>107.8415</v>
      </c>
      <c r="H871" s="62">
        <v>1.81</v>
      </c>
    </row>
    <row r="872" spans="1:8" x14ac:dyDescent="0.15">
      <c r="A872" s="62" t="s">
        <v>13</v>
      </c>
      <c r="B872" s="62">
        <v>2505</v>
      </c>
      <c r="C872" s="62">
        <v>16</v>
      </c>
      <c r="D872" s="62">
        <v>0.1125</v>
      </c>
      <c r="E872" s="62">
        <v>279.52980000000002</v>
      </c>
      <c r="F872" s="62">
        <v>17.379000000000001</v>
      </c>
      <c r="G872" s="62">
        <v>108.62009999999999</v>
      </c>
      <c r="H872" s="62">
        <v>1.79</v>
      </c>
    </row>
    <row r="873" spans="1:8" x14ac:dyDescent="0.15">
      <c r="A873" s="62" t="s">
        <v>13</v>
      </c>
      <c r="B873" s="62">
        <v>2505</v>
      </c>
      <c r="C873" s="62">
        <v>16</v>
      </c>
      <c r="D873" s="62">
        <v>0.1123</v>
      </c>
      <c r="E873" s="62">
        <v>279.96039999999999</v>
      </c>
      <c r="F873" s="62">
        <v>17.405999999999999</v>
      </c>
      <c r="G873" s="62">
        <v>108.78740000000001</v>
      </c>
      <c r="H873" s="62">
        <v>1.7</v>
      </c>
    </row>
    <row r="874" spans="1:8" x14ac:dyDescent="0.15">
      <c r="A874" s="62" t="s">
        <v>13</v>
      </c>
      <c r="B874" s="62">
        <v>2505</v>
      </c>
      <c r="C874" s="62">
        <v>16</v>
      </c>
      <c r="D874" s="62">
        <v>0.11260000000000001</v>
      </c>
      <c r="E874" s="62">
        <v>279.31869999999998</v>
      </c>
      <c r="F874" s="62">
        <v>17.366</v>
      </c>
      <c r="G874" s="62">
        <v>108.5381</v>
      </c>
      <c r="H874" s="62">
        <v>1.89</v>
      </c>
    </row>
    <row r="875" spans="1:8" x14ac:dyDescent="0.15">
      <c r="A875" s="62" t="s">
        <v>13</v>
      </c>
      <c r="B875" s="62">
        <v>2510</v>
      </c>
      <c r="C875" s="62">
        <v>1</v>
      </c>
      <c r="D875" s="62">
        <v>1.7483</v>
      </c>
      <c r="E875" s="62">
        <v>18.089400000000001</v>
      </c>
      <c r="F875" s="62">
        <v>1</v>
      </c>
      <c r="G875" s="62">
        <v>100</v>
      </c>
      <c r="H875" s="62">
        <v>7.6</v>
      </c>
    </row>
    <row r="876" spans="1:8" x14ac:dyDescent="0.15">
      <c r="A876" s="62" t="s">
        <v>13</v>
      </c>
      <c r="B876" s="62">
        <v>2510</v>
      </c>
      <c r="C876" s="62">
        <v>1</v>
      </c>
      <c r="D876" s="62">
        <v>1.6132</v>
      </c>
      <c r="E876" s="62">
        <v>19.604299999999999</v>
      </c>
      <c r="F876" s="62">
        <v>1.0840000000000001</v>
      </c>
      <c r="G876" s="62">
        <v>108.3741</v>
      </c>
      <c r="H876" s="62">
        <v>1.61</v>
      </c>
    </row>
    <row r="877" spans="1:8" x14ac:dyDescent="0.15">
      <c r="A877" s="62" t="s">
        <v>13</v>
      </c>
      <c r="B877" s="62">
        <v>2510</v>
      </c>
      <c r="C877" s="62">
        <v>1</v>
      </c>
      <c r="D877" s="62">
        <v>1.6133</v>
      </c>
      <c r="E877" s="62">
        <v>19.603999999999999</v>
      </c>
      <c r="F877" s="62">
        <v>1.0840000000000001</v>
      </c>
      <c r="G877" s="62">
        <v>108.3725</v>
      </c>
      <c r="H877" s="62">
        <v>1.62</v>
      </c>
    </row>
    <row r="878" spans="1:8" x14ac:dyDescent="0.15">
      <c r="A878" s="62" t="s">
        <v>13</v>
      </c>
      <c r="B878" s="62">
        <v>2510</v>
      </c>
      <c r="C878" s="62">
        <v>1</v>
      </c>
      <c r="D878" s="62">
        <v>1.6133</v>
      </c>
      <c r="E878" s="62">
        <v>19.6035</v>
      </c>
      <c r="F878" s="62">
        <v>1.0840000000000001</v>
      </c>
      <c r="G878" s="62">
        <v>108.3699</v>
      </c>
      <c r="H878" s="62">
        <v>1.61</v>
      </c>
    </row>
    <row r="879" spans="1:8" x14ac:dyDescent="0.15">
      <c r="A879" s="62" t="s">
        <v>13</v>
      </c>
      <c r="B879" s="62">
        <v>2510</v>
      </c>
      <c r="C879" s="62">
        <v>1</v>
      </c>
      <c r="D879" s="62">
        <v>1.6132</v>
      </c>
      <c r="E879" s="62">
        <v>19.604600000000001</v>
      </c>
      <c r="F879" s="62">
        <v>1.0840000000000001</v>
      </c>
      <c r="G879" s="62">
        <v>108.3759</v>
      </c>
      <c r="H879" s="62">
        <v>1.61</v>
      </c>
    </row>
    <row r="880" spans="1:8" x14ac:dyDescent="0.15">
      <c r="A880" s="62" t="s">
        <v>13</v>
      </c>
      <c r="B880" s="62">
        <v>2510</v>
      </c>
      <c r="C880" s="62">
        <v>1</v>
      </c>
      <c r="D880" s="62">
        <v>1.6132</v>
      </c>
      <c r="E880" s="62">
        <v>19.604900000000001</v>
      </c>
      <c r="F880" s="62">
        <v>1.0840000000000001</v>
      </c>
      <c r="G880" s="62">
        <v>108.3776</v>
      </c>
      <c r="H880" s="62">
        <v>1.61</v>
      </c>
    </row>
    <row r="881" spans="1:8" x14ac:dyDescent="0.15">
      <c r="A881" s="62" t="s">
        <v>13</v>
      </c>
      <c r="B881" s="62">
        <v>2510</v>
      </c>
      <c r="C881" s="62">
        <v>15</v>
      </c>
      <c r="D881" s="62">
        <v>0.13059999999999999</v>
      </c>
      <c r="E881" s="62">
        <v>242.15940000000001</v>
      </c>
      <c r="F881" s="62">
        <v>13.387</v>
      </c>
      <c r="G881" s="62">
        <v>89.245199999999997</v>
      </c>
      <c r="H881" s="62">
        <v>1.96</v>
      </c>
    </row>
    <row r="882" spans="1:8" x14ac:dyDescent="0.15">
      <c r="A882" s="62" t="s">
        <v>13</v>
      </c>
      <c r="B882" s="62">
        <v>2510</v>
      </c>
      <c r="C882" s="62">
        <v>15</v>
      </c>
      <c r="D882" s="62">
        <v>0.12939999999999999</v>
      </c>
      <c r="E882" s="62">
        <v>244.4768</v>
      </c>
      <c r="F882" s="62">
        <v>13.515000000000001</v>
      </c>
      <c r="G882" s="62">
        <v>90.099299999999999</v>
      </c>
      <c r="H882" s="62">
        <v>1.94</v>
      </c>
    </row>
    <row r="883" spans="1:8" x14ac:dyDescent="0.15">
      <c r="A883" s="62" t="s">
        <v>13</v>
      </c>
      <c r="B883" s="62">
        <v>2510</v>
      </c>
      <c r="C883" s="62">
        <v>15</v>
      </c>
      <c r="D883" s="62">
        <v>0.12889999999999999</v>
      </c>
      <c r="E883" s="62">
        <v>245.3169</v>
      </c>
      <c r="F883" s="62">
        <v>13.561</v>
      </c>
      <c r="G883" s="62">
        <v>90.408900000000003</v>
      </c>
      <c r="H883" s="62">
        <v>1.93</v>
      </c>
    </row>
    <row r="884" spans="1:8" x14ac:dyDescent="0.15">
      <c r="A884" s="62" t="s">
        <v>13</v>
      </c>
      <c r="B884" s="62">
        <v>2510</v>
      </c>
      <c r="C884" s="62">
        <v>15</v>
      </c>
      <c r="D884" s="62">
        <v>0.1288</v>
      </c>
      <c r="E884" s="62">
        <v>245.45590000000001</v>
      </c>
      <c r="F884" s="62">
        <v>13.569000000000001</v>
      </c>
      <c r="G884" s="62">
        <v>90.460099999999997</v>
      </c>
      <c r="H884" s="62">
        <v>1.93</v>
      </c>
    </row>
    <row r="885" spans="1:8" x14ac:dyDescent="0.15">
      <c r="A885" s="62" t="s">
        <v>13</v>
      </c>
      <c r="B885" s="62">
        <v>2510</v>
      </c>
      <c r="C885" s="62">
        <v>15</v>
      </c>
      <c r="D885" s="62">
        <v>0.1293</v>
      </c>
      <c r="E885" s="62">
        <v>244.5581</v>
      </c>
      <c r="F885" s="62">
        <v>13.519</v>
      </c>
      <c r="G885" s="62">
        <v>90.129199999999997</v>
      </c>
      <c r="H885" s="62">
        <v>1.93</v>
      </c>
    </row>
    <row r="886" spans="1:8" x14ac:dyDescent="0.15">
      <c r="A886" s="62" t="s">
        <v>13</v>
      </c>
      <c r="B886" s="62">
        <v>2510</v>
      </c>
      <c r="C886" s="62">
        <v>15</v>
      </c>
      <c r="D886" s="62">
        <v>0.12959999999999999</v>
      </c>
      <c r="E886" s="62">
        <v>244.1183</v>
      </c>
      <c r="F886" s="62">
        <v>13.494999999999999</v>
      </c>
      <c r="G886" s="62">
        <v>89.967100000000002</v>
      </c>
      <c r="H886" s="62">
        <v>1.94</v>
      </c>
    </row>
    <row r="887" spans="1:8" x14ac:dyDescent="0.15">
      <c r="A887" s="62" t="s">
        <v>13</v>
      </c>
      <c r="B887" s="62">
        <v>2510</v>
      </c>
      <c r="C887" s="62">
        <v>15</v>
      </c>
      <c r="D887" s="62">
        <v>0.129</v>
      </c>
      <c r="E887" s="62">
        <v>245.2465</v>
      </c>
      <c r="F887" s="62">
        <v>13.557</v>
      </c>
      <c r="G887" s="62">
        <v>90.382900000000006</v>
      </c>
      <c r="H887" s="62">
        <v>1.93</v>
      </c>
    </row>
    <row r="888" spans="1:8" x14ac:dyDescent="0.15">
      <c r="A888" s="62" t="s">
        <v>13</v>
      </c>
      <c r="B888" s="62">
        <v>2510</v>
      </c>
      <c r="C888" s="62">
        <v>15</v>
      </c>
      <c r="D888" s="62">
        <v>0.12889999999999999</v>
      </c>
      <c r="E888" s="62">
        <v>245.37209999999999</v>
      </c>
      <c r="F888" s="62">
        <v>13.564</v>
      </c>
      <c r="G888" s="62">
        <v>90.429199999999994</v>
      </c>
      <c r="H888" s="62">
        <v>1.93</v>
      </c>
    </row>
    <row r="889" spans="1:8" x14ac:dyDescent="0.15">
      <c r="A889" s="62" t="s">
        <v>13</v>
      </c>
      <c r="B889" s="62">
        <v>2510</v>
      </c>
      <c r="C889" s="62">
        <v>15</v>
      </c>
      <c r="D889" s="62">
        <v>0.12870000000000001</v>
      </c>
      <c r="E889" s="62">
        <v>245.77250000000001</v>
      </c>
      <c r="F889" s="62">
        <v>13.587</v>
      </c>
      <c r="G889" s="62">
        <v>90.576800000000006</v>
      </c>
      <c r="H889" s="62">
        <v>1.93</v>
      </c>
    </row>
    <row r="890" spans="1:8" x14ac:dyDescent="0.15">
      <c r="A890" s="62" t="s">
        <v>13</v>
      </c>
      <c r="B890" s="62">
        <v>2510</v>
      </c>
      <c r="C890" s="62">
        <v>15</v>
      </c>
      <c r="D890" s="62">
        <v>0.12959999999999999</v>
      </c>
      <c r="E890" s="62">
        <v>244.04300000000001</v>
      </c>
      <c r="F890" s="62">
        <v>13.491</v>
      </c>
      <c r="G890" s="62">
        <v>89.939300000000003</v>
      </c>
      <c r="H890" s="62">
        <v>1.9</v>
      </c>
    </row>
    <row r="891" spans="1:8" x14ac:dyDescent="0.15">
      <c r="A891" s="62" t="s">
        <v>13</v>
      </c>
      <c r="B891" s="62">
        <v>2510</v>
      </c>
      <c r="C891" s="62">
        <v>15</v>
      </c>
      <c r="D891" s="62">
        <v>0.1293</v>
      </c>
      <c r="E891" s="62">
        <v>244.60919999999999</v>
      </c>
      <c r="F891" s="62">
        <v>13.522</v>
      </c>
      <c r="G891" s="62">
        <v>90.147999999999996</v>
      </c>
      <c r="H891" s="62">
        <v>1.99</v>
      </c>
    </row>
    <row r="892" spans="1:8" x14ac:dyDescent="0.15">
      <c r="A892" s="62" t="s">
        <v>13</v>
      </c>
      <c r="B892" s="62">
        <v>2510</v>
      </c>
      <c r="C892" s="62">
        <v>15</v>
      </c>
      <c r="D892" s="62">
        <v>0.12889999999999999</v>
      </c>
      <c r="E892" s="62">
        <v>245.3417</v>
      </c>
      <c r="F892" s="62">
        <v>13.563000000000001</v>
      </c>
      <c r="G892" s="62">
        <v>90.418000000000006</v>
      </c>
      <c r="H892" s="62">
        <v>1.93</v>
      </c>
    </row>
    <row r="893" spans="1:8" x14ac:dyDescent="0.15">
      <c r="A893" s="62" t="s">
        <v>13</v>
      </c>
      <c r="B893" s="62">
        <v>2510</v>
      </c>
      <c r="C893" s="62">
        <v>15</v>
      </c>
      <c r="D893" s="62">
        <v>0.12889999999999999</v>
      </c>
      <c r="E893" s="62">
        <v>245.38159999999999</v>
      </c>
      <c r="F893" s="62">
        <v>13.565</v>
      </c>
      <c r="G893" s="62">
        <v>90.432699999999997</v>
      </c>
      <c r="H893" s="62">
        <v>1.93</v>
      </c>
    </row>
    <row r="894" spans="1:8" x14ac:dyDescent="0.15">
      <c r="A894" s="62" t="s">
        <v>13</v>
      </c>
      <c r="B894" s="62">
        <v>2510</v>
      </c>
      <c r="C894" s="62">
        <v>15</v>
      </c>
      <c r="D894" s="62">
        <v>0.13020000000000001</v>
      </c>
      <c r="E894" s="62">
        <v>242.89590000000001</v>
      </c>
      <c r="F894" s="62">
        <v>13.427</v>
      </c>
      <c r="G894" s="62">
        <v>89.516599999999997</v>
      </c>
      <c r="H894" s="62">
        <v>1.95</v>
      </c>
    </row>
    <row r="895" spans="1:8" x14ac:dyDescent="0.15">
      <c r="A895" s="62" t="s">
        <v>13</v>
      </c>
      <c r="B895" s="62">
        <v>2510</v>
      </c>
      <c r="C895" s="62">
        <v>15</v>
      </c>
      <c r="D895" s="62">
        <v>0.13300000000000001</v>
      </c>
      <c r="E895" s="62">
        <v>237.85589999999999</v>
      </c>
      <c r="F895" s="62">
        <v>13.148999999999999</v>
      </c>
      <c r="G895" s="62">
        <v>87.659199999999998</v>
      </c>
      <c r="H895" s="62">
        <v>1.99</v>
      </c>
    </row>
    <row r="896" spans="1:8" x14ac:dyDescent="0.15">
      <c r="A896" s="62" t="s">
        <v>13</v>
      </c>
      <c r="B896" s="62">
        <v>2510</v>
      </c>
      <c r="C896" s="62">
        <v>15</v>
      </c>
      <c r="D896" s="62">
        <v>0.12939999999999999</v>
      </c>
      <c r="E896" s="62">
        <v>244.47309999999999</v>
      </c>
      <c r="F896" s="62">
        <v>13.515000000000001</v>
      </c>
      <c r="G896" s="62">
        <v>90.097899999999996</v>
      </c>
      <c r="H896" s="62">
        <v>1.94</v>
      </c>
    </row>
    <row r="897" spans="1:8" x14ac:dyDescent="0.15">
      <c r="A897" s="62" t="s">
        <v>13</v>
      </c>
      <c r="B897" s="62">
        <v>2510</v>
      </c>
      <c r="C897" s="62">
        <v>15</v>
      </c>
      <c r="D897" s="62">
        <v>0.1285</v>
      </c>
      <c r="E897" s="62">
        <v>246.1225</v>
      </c>
      <c r="F897" s="62">
        <v>13.606</v>
      </c>
      <c r="G897" s="62">
        <v>90.705799999999996</v>
      </c>
      <c r="H897" s="62">
        <v>1.93</v>
      </c>
    </row>
    <row r="898" spans="1:8" x14ac:dyDescent="0.15">
      <c r="A898" s="62" t="s">
        <v>13</v>
      </c>
      <c r="B898" s="62">
        <v>2510</v>
      </c>
      <c r="C898" s="62">
        <v>15</v>
      </c>
      <c r="D898" s="62">
        <v>0.12770000000000001</v>
      </c>
      <c r="E898" s="62">
        <v>247.56559999999999</v>
      </c>
      <c r="F898" s="62">
        <v>13.686</v>
      </c>
      <c r="G898" s="62">
        <v>91.2376</v>
      </c>
      <c r="H898" s="62">
        <v>1.91</v>
      </c>
    </row>
    <row r="899" spans="1:8" x14ac:dyDescent="0.15">
      <c r="A899" s="62" t="s">
        <v>13</v>
      </c>
      <c r="B899" s="62">
        <v>2510</v>
      </c>
      <c r="C899" s="62">
        <v>15</v>
      </c>
      <c r="D899" s="62">
        <v>0.12759999999999999</v>
      </c>
      <c r="E899" s="62">
        <v>247.7731</v>
      </c>
      <c r="F899" s="62">
        <v>13.696999999999999</v>
      </c>
      <c r="G899" s="62">
        <v>91.314099999999996</v>
      </c>
      <c r="H899" s="62">
        <v>1.91</v>
      </c>
    </row>
    <row r="900" spans="1:8" x14ac:dyDescent="0.15">
      <c r="A900" s="62" t="s">
        <v>13</v>
      </c>
      <c r="B900" s="62">
        <v>2510</v>
      </c>
      <c r="C900" s="62">
        <v>15</v>
      </c>
      <c r="D900" s="62">
        <v>0.12770000000000001</v>
      </c>
      <c r="E900" s="62">
        <v>247.73230000000001</v>
      </c>
      <c r="F900" s="62">
        <v>13.695</v>
      </c>
      <c r="G900" s="62">
        <v>91.299000000000007</v>
      </c>
      <c r="H900" s="62">
        <v>1.91</v>
      </c>
    </row>
    <row r="901" spans="1:8" x14ac:dyDescent="0.15">
      <c r="A901" s="62" t="s">
        <v>13</v>
      </c>
      <c r="B901" s="62">
        <v>2510</v>
      </c>
      <c r="C901" s="62">
        <v>15</v>
      </c>
      <c r="D901" s="62">
        <v>0.12759999999999999</v>
      </c>
      <c r="E901" s="62">
        <v>247.81</v>
      </c>
      <c r="F901" s="62">
        <v>13.699</v>
      </c>
      <c r="G901" s="62">
        <v>91.327600000000004</v>
      </c>
      <c r="H901" s="62">
        <v>1.91</v>
      </c>
    </row>
    <row r="902" spans="1:8" x14ac:dyDescent="0.15">
      <c r="A902" s="62" t="s">
        <v>13</v>
      </c>
      <c r="B902" s="62">
        <v>2510</v>
      </c>
      <c r="C902" s="62">
        <v>15</v>
      </c>
      <c r="D902" s="62">
        <v>0.12770000000000001</v>
      </c>
      <c r="E902" s="62">
        <v>247.74209999999999</v>
      </c>
      <c r="F902" s="62">
        <v>13.695</v>
      </c>
      <c r="G902" s="62">
        <v>91.302599999999998</v>
      </c>
      <c r="H902" s="62">
        <v>1.91</v>
      </c>
    </row>
    <row r="903" spans="1:8" x14ac:dyDescent="0.15">
      <c r="A903" s="62" t="s">
        <v>13</v>
      </c>
      <c r="B903" s="62">
        <v>2510</v>
      </c>
      <c r="C903" s="62">
        <v>15</v>
      </c>
      <c r="D903" s="62">
        <v>0.12770000000000001</v>
      </c>
      <c r="E903" s="62">
        <v>247.71680000000001</v>
      </c>
      <c r="F903" s="62">
        <v>13.694000000000001</v>
      </c>
      <c r="G903" s="62">
        <v>91.293300000000002</v>
      </c>
      <c r="H903" s="62">
        <v>1.91</v>
      </c>
    </row>
    <row r="904" spans="1:8" x14ac:dyDescent="0.15">
      <c r="A904" s="62" t="s">
        <v>13</v>
      </c>
      <c r="B904" s="62">
        <v>2510</v>
      </c>
      <c r="C904" s="62">
        <v>15</v>
      </c>
      <c r="D904" s="62">
        <v>0.12770000000000001</v>
      </c>
      <c r="E904" s="62">
        <v>247.678</v>
      </c>
      <c r="F904" s="62">
        <v>13.692</v>
      </c>
      <c r="G904" s="62">
        <v>91.278999999999996</v>
      </c>
      <c r="H904" s="62">
        <v>1.91</v>
      </c>
    </row>
    <row r="905" spans="1:8" x14ac:dyDescent="0.15">
      <c r="A905" s="62" t="s">
        <v>13</v>
      </c>
      <c r="B905" s="62">
        <v>2510</v>
      </c>
      <c r="C905" s="62">
        <v>15</v>
      </c>
      <c r="D905" s="62">
        <v>0.12859999999999999</v>
      </c>
      <c r="E905" s="62">
        <v>246.023</v>
      </c>
      <c r="F905" s="62">
        <v>13.6</v>
      </c>
      <c r="G905" s="62">
        <v>90.6691</v>
      </c>
      <c r="H905" s="62">
        <v>1.93</v>
      </c>
    </row>
    <row r="906" spans="1:8" x14ac:dyDescent="0.15">
      <c r="A906" s="62" t="s">
        <v>13</v>
      </c>
      <c r="B906" s="62">
        <v>2510</v>
      </c>
      <c r="C906" s="62">
        <v>15</v>
      </c>
      <c r="D906" s="62">
        <v>0.12790000000000001</v>
      </c>
      <c r="E906" s="62">
        <v>247.3526</v>
      </c>
      <c r="F906" s="62">
        <v>13.673999999999999</v>
      </c>
      <c r="G906" s="62">
        <v>91.159099999999995</v>
      </c>
      <c r="H906" s="62">
        <v>1.92</v>
      </c>
    </row>
    <row r="907" spans="1:8" x14ac:dyDescent="0.15">
      <c r="A907" s="62" t="s">
        <v>13</v>
      </c>
      <c r="B907" s="62">
        <v>2510</v>
      </c>
      <c r="C907" s="62">
        <v>15</v>
      </c>
      <c r="D907" s="62">
        <v>0.12759999999999999</v>
      </c>
      <c r="E907" s="62">
        <v>247.79640000000001</v>
      </c>
      <c r="F907" s="62">
        <v>13.698</v>
      </c>
      <c r="G907" s="62">
        <v>91.322599999999994</v>
      </c>
      <c r="H907" s="62">
        <v>1.78</v>
      </c>
    </row>
    <row r="908" spans="1:8" x14ac:dyDescent="0.15">
      <c r="A908" s="62" t="s">
        <v>13</v>
      </c>
      <c r="B908" s="62">
        <v>2510</v>
      </c>
      <c r="C908" s="62">
        <v>15</v>
      </c>
      <c r="D908" s="62">
        <v>0.12770000000000001</v>
      </c>
      <c r="E908" s="62">
        <v>247.60429999999999</v>
      </c>
      <c r="F908" s="62">
        <v>13.688000000000001</v>
      </c>
      <c r="G908" s="62">
        <v>91.251900000000006</v>
      </c>
      <c r="H908" s="62">
        <v>2.0499999999999998</v>
      </c>
    </row>
    <row r="909" spans="1:8" x14ac:dyDescent="0.15">
      <c r="A909" s="62" t="s">
        <v>13</v>
      </c>
      <c r="B909" s="62">
        <v>2510</v>
      </c>
      <c r="C909" s="62">
        <v>15</v>
      </c>
      <c r="D909" s="62">
        <v>0.12770000000000001</v>
      </c>
      <c r="E909" s="62">
        <v>247.67609999999999</v>
      </c>
      <c r="F909" s="62">
        <v>13.692</v>
      </c>
      <c r="G909" s="62">
        <v>91.278300000000002</v>
      </c>
      <c r="H909" s="62">
        <v>1.91</v>
      </c>
    </row>
    <row r="910" spans="1:8" x14ac:dyDescent="0.15">
      <c r="A910" s="62" t="s">
        <v>13</v>
      </c>
      <c r="B910" s="62">
        <v>2510</v>
      </c>
      <c r="C910" s="62">
        <v>15</v>
      </c>
      <c r="D910" s="62">
        <v>0.12770000000000001</v>
      </c>
      <c r="E910" s="62">
        <v>247.6935</v>
      </c>
      <c r="F910" s="62">
        <v>13.693</v>
      </c>
      <c r="G910" s="62">
        <v>91.284700000000001</v>
      </c>
      <c r="H910" s="62">
        <v>1.91</v>
      </c>
    </row>
    <row r="911" spans="1:8" x14ac:dyDescent="0.15">
      <c r="A911" s="62" t="s">
        <v>13</v>
      </c>
      <c r="B911" s="62">
        <v>2510</v>
      </c>
      <c r="C911" s="62">
        <v>15</v>
      </c>
      <c r="D911" s="62">
        <v>0.12759999999999999</v>
      </c>
      <c r="E911" s="62">
        <v>247.76730000000001</v>
      </c>
      <c r="F911" s="62">
        <v>13.696999999999999</v>
      </c>
      <c r="G911" s="62">
        <v>91.311899999999994</v>
      </c>
      <c r="H911" s="62">
        <v>1.9</v>
      </c>
    </row>
    <row r="912" spans="1:8" x14ac:dyDescent="0.15">
      <c r="A912" s="62" t="s">
        <v>13</v>
      </c>
      <c r="B912" s="62">
        <v>2510</v>
      </c>
      <c r="C912" s="62">
        <v>15</v>
      </c>
      <c r="D912" s="62">
        <v>0.12759999999999999</v>
      </c>
      <c r="E912" s="62">
        <v>247.78479999999999</v>
      </c>
      <c r="F912" s="62">
        <v>13.698</v>
      </c>
      <c r="G912" s="62">
        <v>91.318399999999997</v>
      </c>
      <c r="H912" s="62">
        <v>1.91</v>
      </c>
    </row>
    <row r="913" spans="1:8" x14ac:dyDescent="0.15">
      <c r="A913" s="62" t="s">
        <v>13</v>
      </c>
      <c r="B913" s="62">
        <v>2510</v>
      </c>
      <c r="C913" s="62">
        <v>15</v>
      </c>
      <c r="D913" s="62">
        <v>0.129</v>
      </c>
      <c r="E913" s="62">
        <v>245.11160000000001</v>
      </c>
      <c r="F913" s="62">
        <v>13.55</v>
      </c>
      <c r="G913" s="62">
        <v>90.333200000000005</v>
      </c>
      <c r="H913" s="62">
        <v>1.93</v>
      </c>
    </row>
    <row r="914" spans="1:8" x14ac:dyDescent="0.15">
      <c r="A914" s="62" t="s">
        <v>13</v>
      </c>
      <c r="B914" s="62">
        <v>2510</v>
      </c>
      <c r="C914" s="62">
        <v>15</v>
      </c>
      <c r="D914" s="62">
        <v>0.12770000000000001</v>
      </c>
      <c r="E914" s="62">
        <v>247.614</v>
      </c>
      <c r="F914" s="62">
        <v>13.688000000000001</v>
      </c>
      <c r="G914" s="62">
        <v>91.255399999999995</v>
      </c>
      <c r="H914" s="62">
        <v>1.91</v>
      </c>
    </row>
    <row r="915" spans="1:8" x14ac:dyDescent="0.15">
      <c r="A915" s="62" t="s">
        <v>13</v>
      </c>
      <c r="B915" s="62">
        <v>2510</v>
      </c>
      <c r="C915" s="62">
        <v>15</v>
      </c>
      <c r="D915" s="62">
        <v>0.12759999999999999</v>
      </c>
      <c r="E915" s="62">
        <v>247.8158</v>
      </c>
      <c r="F915" s="62">
        <v>13.699</v>
      </c>
      <c r="G915" s="62">
        <v>91.329800000000006</v>
      </c>
      <c r="H915" s="62">
        <v>1.91</v>
      </c>
    </row>
    <row r="916" spans="1:8" x14ac:dyDescent="0.15">
      <c r="A916" s="62" t="s">
        <v>13</v>
      </c>
      <c r="B916" s="62">
        <v>2510</v>
      </c>
      <c r="C916" s="62">
        <v>15</v>
      </c>
      <c r="D916" s="62">
        <v>0.12759999999999999</v>
      </c>
      <c r="E916" s="62">
        <v>247.82159999999999</v>
      </c>
      <c r="F916" s="62">
        <v>13.7</v>
      </c>
      <c r="G916" s="62">
        <v>91.331900000000005</v>
      </c>
      <c r="H916" s="62">
        <v>1.91</v>
      </c>
    </row>
    <row r="917" spans="1:8" x14ac:dyDescent="0.15">
      <c r="A917" s="62" t="s">
        <v>13</v>
      </c>
      <c r="B917" s="62">
        <v>2510</v>
      </c>
      <c r="C917" s="62">
        <v>15</v>
      </c>
      <c r="D917" s="62">
        <v>0.12770000000000001</v>
      </c>
      <c r="E917" s="62">
        <v>247.70320000000001</v>
      </c>
      <c r="F917" s="62">
        <v>13.693</v>
      </c>
      <c r="G917" s="62">
        <v>91.288300000000007</v>
      </c>
      <c r="H917" s="62">
        <v>1.91</v>
      </c>
    </row>
    <row r="918" spans="1:8" x14ac:dyDescent="0.15">
      <c r="A918" s="62" t="s">
        <v>13</v>
      </c>
      <c r="B918" s="62">
        <v>2510</v>
      </c>
      <c r="C918" s="62">
        <v>15</v>
      </c>
      <c r="D918" s="62">
        <v>0.12770000000000001</v>
      </c>
      <c r="E918" s="62">
        <v>247.66640000000001</v>
      </c>
      <c r="F918" s="62">
        <v>13.691000000000001</v>
      </c>
      <c r="G918" s="62">
        <v>91.274699999999996</v>
      </c>
      <c r="H918" s="62">
        <v>1.91</v>
      </c>
    </row>
    <row r="919" spans="1:8" x14ac:dyDescent="0.15">
      <c r="A919" s="62" t="s">
        <v>13</v>
      </c>
      <c r="B919" s="62">
        <v>2510</v>
      </c>
      <c r="C919" s="62">
        <v>15</v>
      </c>
      <c r="D919" s="62">
        <v>0.12759999999999999</v>
      </c>
      <c r="E919" s="62">
        <v>247.82159999999999</v>
      </c>
      <c r="F919" s="62">
        <v>13.7</v>
      </c>
      <c r="G919" s="62">
        <v>91.331900000000005</v>
      </c>
      <c r="H919" s="62">
        <v>1.92</v>
      </c>
    </row>
    <row r="920" spans="1:8" x14ac:dyDescent="0.15">
      <c r="A920" s="62" t="s">
        <v>13</v>
      </c>
      <c r="B920" s="62">
        <v>2510</v>
      </c>
      <c r="C920" s="62">
        <v>15</v>
      </c>
      <c r="D920" s="62">
        <v>0.12770000000000001</v>
      </c>
      <c r="E920" s="62">
        <v>247.69739999999999</v>
      </c>
      <c r="F920" s="62">
        <v>13.693</v>
      </c>
      <c r="G920" s="62">
        <v>91.286199999999994</v>
      </c>
      <c r="H920" s="62">
        <v>1.91</v>
      </c>
    </row>
    <row r="921" spans="1:8" x14ac:dyDescent="0.15">
      <c r="A921" s="62" t="s">
        <v>13</v>
      </c>
      <c r="B921" s="62">
        <v>2510</v>
      </c>
      <c r="C921" s="62">
        <v>15</v>
      </c>
      <c r="D921" s="62">
        <v>0.13239999999999999</v>
      </c>
      <c r="E921" s="62">
        <v>238.84200000000001</v>
      </c>
      <c r="F921" s="62">
        <v>13.202999999999999</v>
      </c>
      <c r="G921" s="62">
        <v>88.022599999999997</v>
      </c>
      <c r="H921" s="62">
        <v>1.99</v>
      </c>
    </row>
    <row r="922" spans="1:8" x14ac:dyDescent="0.15">
      <c r="A922" s="62" t="s">
        <v>13</v>
      </c>
      <c r="B922" s="62">
        <v>2510</v>
      </c>
      <c r="C922" s="62">
        <v>15</v>
      </c>
      <c r="D922" s="62">
        <v>0.12790000000000001</v>
      </c>
      <c r="E922" s="62">
        <v>247.35650000000001</v>
      </c>
      <c r="F922" s="62">
        <v>13.673999999999999</v>
      </c>
      <c r="G922" s="62">
        <v>91.160499999999999</v>
      </c>
      <c r="H922" s="62">
        <v>1.92</v>
      </c>
    </row>
    <row r="923" spans="1:8" x14ac:dyDescent="0.15">
      <c r="A923" s="62" t="s">
        <v>13</v>
      </c>
      <c r="B923" s="62">
        <v>2510</v>
      </c>
      <c r="C923" s="62">
        <v>15</v>
      </c>
      <c r="D923" s="62">
        <v>0.12770000000000001</v>
      </c>
      <c r="E923" s="62">
        <v>247.6412</v>
      </c>
      <c r="F923" s="62">
        <v>13.69</v>
      </c>
      <c r="G923" s="62">
        <v>91.2654</v>
      </c>
      <c r="H923" s="62">
        <v>1.91</v>
      </c>
    </row>
    <row r="924" spans="1:8" x14ac:dyDescent="0.15">
      <c r="A924" s="62" t="s">
        <v>13</v>
      </c>
      <c r="B924" s="62">
        <v>2510</v>
      </c>
      <c r="C924" s="62">
        <v>15</v>
      </c>
      <c r="D924" s="62">
        <v>0.1278</v>
      </c>
      <c r="E924" s="62">
        <v>247.52289999999999</v>
      </c>
      <c r="F924" s="62">
        <v>13.683</v>
      </c>
      <c r="G924" s="62">
        <v>91.221900000000005</v>
      </c>
      <c r="H924" s="62">
        <v>1.83</v>
      </c>
    </row>
    <row r="925" spans="1:8" x14ac:dyDescent="0.15">
      <c r="A925" s="62" t="s">
        <v>13</v>
      </c>
      <c r="B925" s="62">
        <v>2510</v>
      </c>
      <c r="C925" s="62">
        <v>15</v>
      </c>
      <c r="D925" s="62">
        <v>0.1278</v>
      </c>
      <c r="E925" s="62">
        <v>247.47450000000001</v>
      </c>
      <c r="F925" s="62">
        <v>13.680999999999999</v>
      </c>
      <c r="G925" s="62">
        <v>91.203999999999994</v>
      </c>
      <c r="H925" s="62">
        <v>2.0099999999999998</v>
      </c>
    </row>
    <row r="926" spans="1:8" x14ac:dyDescent="0.15">
      <c r="A926" s="62" t="s">
        <v>13</v>
      </c>
      <c r="B926" s="62">
        <v>2510</v>
      </c>
      <c r="C926" s="62">
        <v>15</v>
      </c>
      <c r="D926" s="62">
        <v>0.12770000000000001</v>
      </c>
      <c r="E926" s="62">
        <v>247.73429999999999</v>
      </c>
      <c r="F926" s="62">
        <v>13.695</v>
      </c>
      <c r="G926" s="62">
        <v>91.299800000000005</v>
      </c>
      <c r="H926" s="62">
        <v>1.91</v>
      </c>
    </row>
    <row r="927" spans="1:8" x14ac:dyDescent="0.15">
      <c r="A927" s="62" t="s">
        <v>13</v>
      </c>
      <c r="B927" s="62">
        <v>2510</v>
      </c>
      <c r="C927" s="62">
        <v>15</v>
      </c>
      <c r="D927" s="62">
        <v>0.12770000000000001</v>
      </c>
      <c r="E927" s="62">
        <v>247.72460000000001</v>
      </c>
      <c r="F927" s="62">
        <v>13.694000000000001</v>
      </c>
      <c r="G927" s="62">
        <v>91.296199999999999</v>
      </c>
      <c r="H927" s="62">
        <v>1.9</v>
      </c>
    </row>
    <row r="928" spans="1:8" x14ac:dyDescent="0.15">
      <c r="A928" s="62" t="s">
        <v>13</v>
      </c>
      <c r="B928" s="62">
        <v>2510</v>
      </c>
      <c r="C928" s="62">
        <v>15</v>
      </c>
      <c r="D928" s="62">
        <v>0.12770000000000001</v>
      </c>
      <c r="E928" s="62">
        <v>247.6354</v>
      </c>
      <c r="F928" s="62">
        <v>13.689</v>
      </c>
      <c r="G928" s="62">
        <v>91.263300000000001</v>
      </c>
      <c r="H928" s="62">
        <v>1.91</v>
      </c>
    </row>
    <row r="929" spans="1:8" x14ac:dyDescent="0.15">
      <c r="A929" s="62" t="s">
        <v>13</v>
      </c>
      <c r="B929" s="62">
        <v>2510</v>
      </c>
      <c r="C929" s="62">
        <v>15</v>
      </c>
      <c r="D929" s="62">
        <v>0.12959999999999999</v>
      </c>
      <c r="E929" s="62">
        <v>244.0317</v>
      </c>
      <c r="F929" s="62">
        <v>13.49</v>
      </c>
      <c r="G929" s="62">
        <v>89.935199999999995</v>
      </c>
      <c r="H929" s="62">
        <v>1.94</v>
      </c>
    </row>
    <row r="930" spans="1:8" x14ac:dyDescent="0.15">
      <c r="A930" s="62" t="s">
        <v>13</v>
      </c>
      <c r="B930" s="62">
        <v>2510</v>
      </c>
      <c r="C930" s="62">
        <v>15</v>
      </c>
      <c r="D930" s="62">
        <v>0.12759999999999999</v>
      </c>
      <c r="E930" s="62">
        <v>247.78479999999999</v>
      </c>
      <c r="F930" s="62">
        <v>13.698</v>
      </c>
      <c r="G930" s="62">
        <v>91.318399999999997</v>
      </c>
      <c r="H930" s="62">
        <v>1.91</v>
      </c>
    </row>
    <row r="931" spans="1:8" x14ac:dyDescent="0.15">
      <c r="A931" s="62" t="s">
        <v>13</v>
      </c>
      <c r="B931" s="62">
        <v>2510</v>
      </c>
      <c r="C931" s="62">
        <v>15</v>
      </c>
      <c r="D931" s="62">
        <v>0.12770000000000001</v>
      </c>
      <c r="E931" s="62">
        <v>247.66249999999999</v>
      </c>
      <c r="F931" s="62">
        <v>13.691000000000001</v>
      </c>
      <c r="G931" s="62">
        <v>91.273300000000006</v>
      </c>
      <c r="H931" s="62">
        <v>1.91</v>
      </c>
    </row>
    <row r="932" spans="1:8" x14ac:dyDescent="0.15">
      <c r="A932" s="62" t="s">
        <v>13</v>
      </c>
      <c r="B932" s="62">
        <v>2510</v>
      </c>
      <c r="C932" s="62">
        <v>16</v>
      </c>
      <c r="D932" s="62">
        <v>0.11550000000000001</v>
      </c>
      <c r="E932" s="62">
        <v>273.81779999999998</v>
      </c>
      <c r="F932" s="62">
        <v>15.137</v>
      </c>
      <c r="G932" s="62">
        <v>94.605500000000006</v>
      </c>
      <c r="H932" s="62">
        <v>1.84</v>
      </c>
    </row>
    <row r="933" spans="1:8" x14ac:dyDescent="0.15">
      <c r="A933" s="62" t="s">
        <v>13</v>
      </c>
      <c r="B933" s="62">
        <v>2510</v>
      </c>
      <c r="C933" s="62">
        <v>16</v>
      </c>
      <c r="D933" s="62">
        <v>0.1163</v>
      </c>
      <c r="E933" s="62">
        <v>271.85480000000001</v>
      </c>
      <c r="F933" s="62">
        <v>15.028</v>
      </c>
      <c r="G933" s="62">
        <v>93.927300000000002</v>
      </c>
      <c r="H933" s="62">
        <v>1.86</v>
      </c>
    </row>
    <row r="934" spans="1:8" x14ac:dyDescent="0.15">
      <c r="A934" s="62" t="s">
        <v>13</v>
      </c>
      <c r="B934" s="62">
        <v>2510</v>
      </c>
      <c r="C934" s="62">
        <v>16</v>
      </c>
      <c r="D934" s="62">
        <v>0.1152</v>
      </c>
      <c r="E934" s="62">
        <v>274.61430000000001</v>
      </c>
      <c r="F934" s="62">
        <v>15.180999999999999</v>
      </c>
      <c r="G934" s="62">
        <v>94.880700000000004</v>
      </c>
      <c r="H934" s="62">
        <v>1.84</v>
      </c>
    </row>
    <row r="935" spans="1:8" x14ac:dyDescent="0.15">
      <c r="A935" s="62" t="s">
        <v>13</v>
      </c>
      <c r="B935" s="62">
        <v>2510</v>
      </c>
      <c r="C935" s="62">
        <v>16</v>
      </c>
      <c r="D935" s="62">
        <v>0.11509999999999999</v>
      </c>
      <c r="E935" s="62">
        <v>274.68579999999997</v>
      </c>
      <c r="F935" s="62">
        <v>15.185</v>
      </c>
      <c r="G935" s="62">
        <v>94.9054</v>
      </c>
      <c r="H935" s="62">
        <v>1.84</v>
      </c>
    </row>
    <row r="936" spans="1:8" x14ac:dyDescent="0.15">
      <c r="A936" s="62" t="s">
        <v>13</v>
      </c>
      <c r="B936" s="62">
        <v>2510</v>
      </c>
      <c r="C936" s="62">
        <v>16</v>
      </c>
      <c r="D936" s="62">
        <v>0.1143</v>
      </c>
      <c r="E936" s="62">
        <v>276.74090000000001</v>
      </c>
      <c r="F936" s="62">
        <v>15.298</v>
      </c>
      <c r="G936" s="62">
        <v>95.615499999999997</v>
      </c>
      <c r="H936" s="62">
        <v>1.82</v>
      </c>
    </row>
    <row r="937" spans="1:8" x14ac:dyDescent="0.15">
      <c r="A937" s="62" t="s">
        <v>13</v>
      </c>
      <c r="B937" s="62">
        <v>2510</v>
      </c>
      <c r="C937" s="62">
        <v>16</v>
      </c>
      <c r="D937" s="62">
        <v>0.11559999999999999</v>
      </c>
      <c r="E937" s="62">
        <v>273.50279999999998</v>
      </c>
      <c r="F937" s="62">
        <v>15.119</v>
      </c>
      <c r="G937" s="62">
        <v>94.496700000000004</v>
      </c>
      <c r="H937" s="62">
        <v>1.85</v>
      </c>
    </row>
    <row r="938" spans="1:8" x14ac:dyDescent="0.15">
      <c r="A938" s="62" t="s">
        <v>13</v>
      </c>
      <c r="B938" s="62">
        <v>2510</v>
      </c>
      <c r="C938" s="62">
        <v>16</v>
      </c>
      <c r="D938" s="62">
        <v>0.1154</v>
      </c>
      <c r="E938" s="62">
        <v>274.04790000000003</v>
      </c>
      <c r="F938" s="62">
        <v>15.15</v>
      </c>
      <c r="G938" s="62">
        <v>94.685000000000002</v>
      </c>
      <c r="H938" s="62">
        <v>1.84</v>
      </c>
    </row>
    <row r="939" spans="1:8" x14ac:dyDescent="0.15">
      <c r="A939" s="62" t="s">
        <v>13</v>
      </c>
      <c r="B939" s="62">
        <v>2510</v>
      </c>
      <c r="C939" s="62">
        <v>16</v>
      </c>
      <c r="D939" s="62">
        <v>0.11459999999999999</v>
      </c>
      <c r="E939" s="62">
        <v>275.94409999999999</v>
      </c>
      <c r="F939" s="62">
        <v>15.254</v>
      </c>
      <c r="G939" s="62">
        <v>95.340100000000007</v>
      </c>
      <c r="H939" s="62">
        <v>1.83</v>
      </c>
    </row>
    <row r="940" spans="1:8" x14ac:dyDescent="0.15">
      <c r="A940" s="62" t="s">
        <v>13</v>
      </c>
      <c r="B940" s="62">
        <v>2510</v>
      </c>
      <c r="C940" s="62">
        <v>16</v>
      </c>
      <c r="D940" s="62">
        <v>0.114</v>
      </c>
      <c r="E940" s="62">
        <v>277.51549999999997</v>
      </c>
      <c r="F940" s="62">
        <v>15.340999999999999</v>
      </c>
      <c r="G940" s="62">
        <v>95.883099999999999</v>
      </c>
      <c r="H940" s="62">
        <v>1.82</v>
      </c>
    </row>
    <row r="941" spans="1:8" x14ac:dyDescent="0.15">
      <c r="A941" s="62" t="s">
        <v>13</v>
      </c>
      <c r="B941" s="62">
        <v>2510</v>
      </c>
      <c r="C941" s="62">
        <v>16</v>
      </c>
      <c r="D941" s="62">
        <v>0.1163</v>
      </c>
      <c r="E941" s="62">
        <v>272.0419</v>
      </c>
      <c r="F941" s="62">
        <v>15.039</v>
      </c>
      <c r="G941" s="62">
        <v>93.991900000000001</v>
      </c>
      <c r="H941" s="62">
        <v>1.86</v>
      </c>
    </row>
    <row r="942" spans="1:8" x14ac:dyDescent="0.15">
      <c r="A942" s="62" t="s">
        <v>13</v>
      </c>
      <c r="B942" s="62">
        <v>2510</v>
      </c>
      <c r="C942" s="62">
        <v>16</v>
      </c>
      <c r="D942" s="62">
        <v>0.1149</v>
      </c>
      <c r="E942" s="62">
        <v>275.36750000000001</v>
      </c>
      <c r="F942" s="62">
        <v>15.223000000000001</v>
      </c>
      <c r="G942" s="62">
        <v>95.140900000000002</v>
      </c>
      <c r="H942" s="62">
        <v>1.7</v>
      </c>
    </row>
    <row r="943" spans="1:8" x14ac:dyDescent="0.15">
      <c r="A943" s="62" t="s">
        <v>13</v>
      </c>
      <c r="B943" s="62">
        <v>2510</v>
      </c>
      <c r="C943" s="62">
        <v>16</v>
      </c>
      <c r="D943" s="62">
        <v>0.11559999999999999</v>
      </c>
      <c r="E943" s="62">
        <v>273.48390000000001</v>
      </c>
      <c r="F943" s="62">
        <v>15.118</v>
      </c>
      <c r="G943" s="62">
        <v>94.490200000000002</v>
      </c>
      <c r="H943" s="62">
        <v>1.9</v>
      </c>
    </row>
    <row r="944" spans="1:8" x14ac:dyDescent="0.15">
      <c r="A944" s="62" t="s">
        <v>13</v>
      </c>
      <c r="B944" s="62">
        <v>2510</v>
      </c>
      <c r="C944" s="62">
        <v>16</v>
      </c>
      <c r="D944" s="62">
        <v>0.1142</v>
      </c>
      <c r="E944" s="62">
        <v>276.97109999999998</v>
      </c>
      <c r="F944" s="62">
        <v>15.311</v>
      </c>
      <c r="G944" s="62">
        <v>95.694999999999993</v>
      </c>
      <c r="H944" s="62">
        <v>1.91</v>
      </c>
    </row>
    <row r="945" spans="1:8" x14ac:dyDescent="0.15">
      <c r="A945" s="62" t="s">
        <v>13</v>
      </c>
      <c r="B945" s="62">
        <v>2510</v>
      </c>
      <c r="C945" s="62">
        <v>16</v>
      </c>
      <c r="D945" s="62">
        <v>0.1145</v>
      </c>
      <c r="E945" s="62">
        <v>276.12479999999999</v>
      </c>
      <c r="F945" s="62">
        <v>15.263999999999999</v>
      </c>
      <c r="G945" s="62">
        <v>95.402600000000007</v>
      </c>
      <c r="H945" s="62">
        <v>1.83</v>
      </c>
    </row>
    <row r="946" spans="1:8" x14ac:dyDescent="0.15">
      <c r="A946" s="62" t="s">
        <v>13</v>
      </c>
      <c r="B946" s="62">
        <v>2510</v>
      </c>
      <c r="C946" s="62">
        <v>16</v>
      </c>
      <c r="D946" s="62">
        <v>0.1158</v>
      </c>
      <c r="E946" s="62">
        <v>273.22399999999999</v>
      </c>
      <c r="F946" s="62">
        <v>15.103999999999999</v>
      </c>
      <c r="G946" s="62">
        <v>94.400400000000005</v>
      </c>
      <c r="H946" s="62">
        <v>1.85</v>
      </c>
    </row>
    <row r="947" spans="1:8" x14ac:dyDescent="0.15">
      <c r="A947" s="62" t="s">
        <v>13</v>
      </c>
      <c r="B947" s="62">
        <v>2510</v>
      </c>
      <c r="C947" s="62">
        <v>16</v>
      </c>
      <c r="D947" s="62">
        <v>0.1147</v>
      </c>
      <c r="E947" s="62">
        <v>275.66269999999997</v>
      </c>
      <c r="F947" s="62">
        <v>15.239000000000001</v>
      </c>
      <c r="G947" s="62">
        <v>95.242900000000006</v>
      </c>
      <c r="H947" s="62">
        <v>1.84</v>
      </c>
    </row>
    <row r="948" spans="1:8" x14ac:dyDescent="0.15">
      <c r="A948" s="62" t="s">
        <v>13</v>
      </c>
      <c r="B948" s="62">
        <v>2510</v>
      </c>
      <c r="C948" s="62">
        <v>16</v>
      </c>
      <c r="D948" s="62">
        <v>0.1148</v>
      </c>
      <c r="E948" s="62">
        <v>275.53059999999999</v>
      </c>
      <c r="F948" s="62">
        <v>15.231999999999999</v>
      </c>
      <c r="G948" s="62">
        <v>95.197299999999998</v>
      </c>
      <c r="H948" s="62">
        <v>1.84</v>
      </c>
    </row>
    <row r="949" spans="1:8" x14ac:dyDescent="0.15">
      <c r="A949" s="62" t="s">
        <v>13</v>
      </c>
      <c r="B949" s="62">
        <v>2510</v>
      </c>
      <c r="C949" s="62">
        <v>16</v>
      </c>
      <c r="D949" s="62">
        <v>0.13220000000000001</v>
      </c>
      <c r="E949" s="62">
        <v>239.2431</v>
      </c>
      <c r="F949" s="62">
        <v>13.226000000000001</v>
      </c>
      <c r="G949" s="62">
        <v>82.659800000000004</v>
      </c>
      <c r="H949" s="62">
        <v>2.09</v>
      </c>
    </row>
    <row r="950" spans="1:8" x14ac:dyDescent="0.15">
      <c r="A950" s="62" t="s">
        <v>13</v>
      </c>
      <c r="B950" s="62">
        <v>2510</v>
      </c>
      <c r="C950" s="62">
        <v>16</v>
      </c>
      <c r="D950" s="62">
        <v>0.12559999999999999</v>
      </c>
      <c r="E950" s="62">
        <v>251.7552</v>
      </c>
      <c r="F950" s="62">
        <v>13.917</v>
      </c>
      <c r="G950" s="62">
        <v>86.982799999999997</v>
      </c>
      <c r="H950" s="62">
        <v>1.99</v>
      </c>
    </row>
    <row r="951" spans="1:8" x14ac:dyDescent="0.15">
      <c r="A951" s="62" t="s">
        <v>13</v>
      </c>
      <c r="B951" s="62">
        <v>2510</v>
      </c>
      <c r="C951" s="62">
        <v>16</v>
      </c>
      <c r="D951" s="62">
        <v>0.1171</v>
      </c>
      <c r="E951" s="62">
        <v>270.14800000000002</v>
      </c>
      <c r="F951" s="62">
        <v>14.933999999999999</v>
      </c>
      <c r="G951" s="62">
        <v>93.337599999999995</v>
      </c>
      <c r="H951" s="62">
        <v>1.86</v>
      </c>
    </row>
    <row r="952" spans="1:8" x14ac:dyDescent="0.15">
      <c r="A952" s="62" t="s">
        <v>13</v>
      </c>
      <c r="B952" s="62">
        <v>2510</v>
      </c>
      <c r="C952" s="62">
        <v>16</v>
      </c>
      <c r="D952" s="62">
        <v>0.1137</v>
      </c>
      <c r="E952" s="62">
        <v>278.19170000000003</v>
      </c>
      <c r="F952" s="62">
        <v>15.379</v>
      </c>
      <c r="G952" s="62">
        <v>96.116699999999994</v>
      </c>
      <c r="H952" s="62">
        <v>1.82</v>
      </c>
    </row>
    <row r="953" spans="1:8" x14ac:dyDescent="0.15">
      <c r="A953" s="62" t="s">
        <v>13</v>
      </c>
      <c r="B953" s="62">
        <v>2510</v>
      </c>
      <c r="C953" s="62">
        <v>16</v>
      </c>
      <c r="D953" s="62">
        <v>0.1144</v>
      </c>
      <c r="E953" s="62">
        <v>276.55220000000003</v>
      </c>
      <c r="F953" s="62">
        <v>15.288</v>
      </c>
      <c r="G953" s="62">
        <v>95.550200000000004</v>
      </c>
      <c r="H953" s="62">
        <v>1.83</v>
      </c>
    </row>
    <row r="954" spans="1:8" x14ac:dyDescent="0.15">
      <c r="A954" s="62" t="s">
        <v>13</v>
      </c>
      <c r="B954" s="62">
        <v>2510</v>
      </c>
      <c r="C954" s="62">
        <v>16</v>
      </c>
      <c r="D954" s="62">
        <v>0.1197</v>
      </c>
      <c r="E954" s="62">
        <v>264.31630000000001</v>
      </c>
      <c r="F954" s="62">
        <v>14.612</v>
      </c>
      <c r="G954" s="62">
        <v>91.322699999999998</v>
      </c>
      <c r="H954" s="62">
        <v>1.91</v>
      </c>
    </row>
    <row r="955" spans="1:8" x14ac:dyDescent="0.15">
      <c r="A955" s="62" t="s">
        <v>13</v>
      </c>
      <c r="B955" s="62">
        <v>2510</v>
      </c>
      <c r="C955" s="62">
        <v>16</v>
      </c>
      <c r="D955" s="62">
        <v>0.12720000000000001</v>
      </c>
      <c r="E955" s="62">
        <v>248.56569999999999</v>
      </c>
      <c r="F955" s="62">
        <v>13.741</v>
      </c>
      <c r="G955" s="62">
        <v>85.880799999999994</v>
      </c>
      <c r="H955" s="62">
        <v>2.0099999999999998</v>
      </c>
    </row>
    <row r="956" spans="1:8" x14ac:dyDescent="0.15">
      <c r="A956" s="62" t="s">
        <v>13</v>
      </c>
      <c r="B956" s="62">
        <v>2510</v>
      </c>
      <c r="C956" s="62">
        <v>16</v>
      </c>
      <c r="D956" s="62">
        <v>0.12189999999999999</v>
      </c>
      <c r="E956" s="62">
        <v>259.36540000000002</v>
      </c>
      <c r="F956" s="62">
        <v>14.337999999999999</v>
      </c>
      <c r="G956" s="62">
        <v>89.612099999999998</v>
      </c>
      <c r="H956" s="62">
        <v>1.94</v>
      </c>
    </row>
    <row r="957" spans="1:8" x14ac:dyDescent="0.15">
      <c r="A957" s="62" t="s">
        <v>13</v>
      </c>
      <c r="B957" s="62">
        <v>2510</v>
      </c>
      <c r="C957" s="62">
        <v>16</v>
      </c>
      <c r="D957" s="62">
        <v>0.1143</v>
      </c>
      <c r="E957" s="62">
        <v>276.66579999999999</v>
      </c>
      <c r="F957" s="62">
        <v>15.294</v>
      </c>
      <c r="G957" s="62">
        <v>95.589500000000001</v>
      </c>
      <c r="H957" s="62">
        <v>1.82</v>
      </c>
    </row>
    <row r="958" spans="1:8" x14ac:dyDescent="0.15">
      <c r="A958" s="62" t="s">
        <v>13</v>
      </c>
      <c r="B958" s="62">
        <v>2510</v>
      </c>
      <c r="C958" s="62">
        <v>16</v>
      </c>
      <c r="D958" s="62">
        <v>0.1143</v>
      </c>
      <c r="E958" s="62">
        <v>276.71429999999998</v>
      </c>
      <c r="F958" s="62">
        <v>15.297000000000001</v>
      </c>
      <c r="G958" s="62">
        <v>95.606200000000001</v>
      </c>
      <c r="H958" s="62">
        <v>1.83</v>
      </c>
    </row>
    <row r="959" spans="1:8" x14ac:dyDescent="0.15">
      <c r="A959" s="62" t="s">
        <v>13</v>
      </c>
      <c r="B959" s="62">
        <v>2510</v>
      </c>
      <c r="C959" s="62">
        <v>16</v>
      </c>
      <c r="D959" s="62">
        <v>0.11509999999999999</v>
      </c>
      <c r="E959" s="62">
        <v>274.81950000000001</v>
      </c>
      <c r="F959" s="62">
        <v>15.192</v>
      </c>
      <c r="G959" s="62">
        <v>94.951599999999999</v>
      </c>
      <c r="H959" s="62">
        <v>1.84</v>
      </c>
    </row>
    <row r="960" spans="1:8" x14ac:dyDescent="0.15">
      <c r="A960" s="62" t="s">
        <v>13</v>
      </c>
      <c r="B960" s="62">
        <v>2510</v>
      </c>
      <c r="C960" s="62">
        <v>16</v>
      </c>
      <c r="D960" s="62">
        <v>0.1139</v>
      </c>
      <c r="E960" s="62">
        <v>277.57150000000001</v>
      </c>
      <c r="F960" s="62">
        <v>15.343999999999999</v>
      </c>
      <c r="G960" s="62">
        <v>95.9024</v>
      </c>
      <c r="H960" s="62">
        <v>1.83</v>
      </c>
    </row>
    <row r="961" spans="1:8" x14ac:dyDescent="0.15">
      <c r="A961" s="62" t="s">
        <v>13</v>
      </c>
      <c r="B961" s="62">
        <v>2510</v>
      </c>
      <c r="C961" s="62">
        <v>16</v>
      </c>
      <c r="D961" s="62">
        <v>0.11459999999999999</v>
      </c>
      <c r="E961" s="62">
        <v>276.07420000000002</v>
      </c>
      <c r="F961" s="62">
        <v>15.262</v>
      </c>
      <c r="G961" s="62">
        <v>95.385099999999994</v>
      </c>
      <c r="H961" s="62">
        <v>1.78</v>
      </c>
    </row>
    <row r="962" spans="1:8" x14ac:dyDescent="0.15">
      <c r="A962" s="62" t="s">
        <v>13</v>
      </c>
      <c r="B962" s="62">
        <v>2510</v>
      </c>
      <c r="C962" s="62">
        <v>16</v>
      </c>
      <c r="D962" s="62">
        <v>0.1142</v>
      </c>
      <c r="E962" s="62">
        <v>276.95170000000002</v>
      </c>
      <c r="F962" s="62">
        <v>15.31</v>
      </c>
      <c r="G962" s="62">
        <v>95.688299999999998</v>
      </c>
      <c r="H962" s="62">
        <v>1.76</v>
      </c>
    </row>
    <row r="963" spans="1:8" x14ac:dyDescent="0.15">
      <c r="A963" s="62" t="s">
        <v>13</v>
      </c>
      <c r="B963" s="62">
        <v>2510</v>
      </c>
      <c r="C963" s="62">
        <v>16</v>
      </c>
      <c r="D963" s="62">
        <v>0.1142</v>
      </c>
      <c r="E963" s="62">
        <v>276.83539999999999</v>
      </c>
      <c r="F963" s="62">
        <v>15.304</v>
      </c>
      <c r="G963" s="62">
        <v>95.648099999999999</v>
      </c>
      <c r="H963" s="62">
        <v>1.94</v>
      </c>
    </row>
    <row r="964" spans="1:8" x14ac:dyDescent="0.15">
      <c r="A964" s="62" t="s">
        <v>13</v>
      </c>
      <c r="B964" s="62">
        <v>2510</v>
      </c>
      <c r="C964" s="62">
        <v>16</v>
      </c>
      <c r="D964" s="62">
        <v>0.20799999999999999</v>
      </c>
      <c r="E964" s="62">
        <v>152.0651</v>
      </c>
      <c r="F964" s="62">
        <v>8.4060000000000006</v>
      </c>
      <c r="G964" s="62">
        <v>52.539299999999997</v>
      </c>
      <c r="H964" s="62">
        <v>3.23</v>
      </c>
    </row>
    <row r="965" spans="1:8" x14ac:dyDescent="0.15">
      <c r="A965" s="62" t="s">
        <v>13</v>
      </c>
      <c r="B965" s="62">
        <v>2510</v>
      </c>
      <c r="C965" s="62">
        <v>16</v>
      </c>
      <c r="D965" s="62">
        <v>0.23</v>
      </c>
      <c r="E965" s="62">
        <v>137.5197</v>
      </c>
      <c r="F965" s="62">
        <v>7.6020000000000003</v>
      </c>
      <c r="G965" s="62">
        <v>47.513800000000003</v>
      </c>
      <c r="H965" s="62">
        <v>3.56</v>
      </c>
    </row>
    <row r="966" spans="1:8" x14ac:dyDescent="0.15">
      <c r="A966" s="62" t="s">
        <v>13</v>
      </c>
      <c r="B966" s="62">
        <v>2510</v>
      </c>
      <c r="C966" s="62">
        <v>16</v>
      </c>
      <c r="D966" s="62">
        <v>0.21</v>
      </c>
      <c r="E966" s="62">
        <v>150.61099999999999</v>
      </c>
      <c r="F966" s="62">
        <v>8.3260000000000005</v>
      </c>
      <c r="G966" s="62">
        <v>52.036900000000003</v>
      </c>
      <c r="H966" s="62">
        <v>3.25</v>
      </c>
    </row>
    <row r="967" spans="1:8" x14ac:dyDescent="0.15">
      <c r="A967" s="62" t="s">
        <v>13</v>
      </c>
      <c r="B967" s="62">
        <v>2510</v>
      </c>
      <c r="C967" s="62">
        <v>16</v>
      </c>
      <c r="D967" s="62">
        <v>0.22</v>
      </c>
      <c r="E967" s="62">
        <v>143.76599999999999</v>
      </c>
      <c r="F967" s="62">
        <v>7.9480000000000004</v>
      </c>
      <c r="G967" s="62">
        <v>49.671900000000001</v>
      </c>
      <c r="H967" s="62">
        <v>3.41</v>
      </c>
    </row>
    <row r="968" spans="1:8" x14ac:dyDescent="0.15">
      <c r="A968" s="62" t="s">
        <v>13</v>
      </c>
      <c r="B968" s="62">
        <v>2510</v>
      </c>
      <c r="C968" s="62">
        <v>16</v>
      </c>
      <c r="D968" s="62">
        <v>0.22</v>
      </c>
      <c r="E968" s="62">
        <v>143.76400000000001</v>
      </c>
      <c r="F968" s="62">
        <v>7.9470000000000001</v>
      </c>
      <c r="G968" s="62">
        <v>49.671199999999999</v>
      </c>
      <c r="H968" s="62">
        <v>3.41</v>
      </c>
    </row>
    <row r="969" spans="1:8" x14ac:dyDescent="0.15">
      <c r="A969" s="62" t="s">
        <v>13</v>
      </c>
      <c r="B969" s="62">
        <v>2510</v>
      </c>
      <c r="C969" s="62">
        <v>16</v>
      </c>
      <c r="D969" s="62">
        <v>0.20930000000000001</v>
      </c>
      <c r="E969" s="62">
        <v>151.1335</v>
      </c>
      <c r="F969" s="62">
        <v>8.3550000000000004</v>
      </c>
      <c r="G969" s="62">
        <v>52.217399999999998</v>
      </c>
      <c r="H969" s="62">
        <v>3.24</v>
      </c>
    </row>
    <row r="970" spans="1:8" x14ac:dyDescent="0.15">
      <c r="A970" s="62" t="s">
        <v>13</v>
      </c>
      <c r="B970" s="62">
        <v>2510</v>
      </c>
      <c r="C970" s="62">
        <v>16</v>
      </c>
      <c r="D970" s="62">
        <v>0.22070000000000001</v>
      </c>
      <c r="E970" s="62">
        <v>143.2911</v>
      </c>
      <c r="F970" s="62">
        <v>7.9210000000000003</v>
      </c>
      <c r="G970" s="62">
        <v>49.507800000000003</v>
      </c>
      <c r="H970" s="62">
        <v>3.41</v>
      </c>
    </row>
    <row r="971" spans="1:8" x14ac:dyDescent="0.15">
      <c r="A971" s="62" t="s">
        <v>13</v>
      </c>
      <c r="B971" s="62">
        <v>2510</v>
      </c>
      <c r="C971" s="62">
        <v>16</v>
      </c>
      <c r="D971" s="62">
        <v>0.22</v>
      </c>
      <c r="E971" s="62">
        <v>143.7647</v>
      </c>
      <c r="F971" s="62">
        <v>7.9470000000000001</v>
      </c>
      <c r="G971" s="62">
        <v>49.671500000000002</v>
      </c>
      <c r="H971" s="62">
        <v>3.41</v>
      </c>
    </row>
    <row r="972" spans="1:8" x14ac:dyDescent="0.15">
      <c r="A972" s="62" t="s">
        <v>13</v>
      </c>
      <c r="B972" s="62">
        <v>2510</v>
      </c>
      <c r="C972" s="62">
        <v>16</v>
      </c>
      <c r="D972" s="62">
        <v>0.20130000000000001</v>
      </c>
      <c r="E972" s="62">
        <v>157.09649999999999</v>
      </c>
      <c r="F972" s="62">
        <v>8.6839999999999993</v>
      </c>
      <c r="G972" s="62">
        <v>54.277700000000003</v>
      </c>
      <c r="H972" s="62">
        <v>3.11</v>
      </c>
    </row>
    <row r="973" spans="1:8" x14ac:dyDescent="0.15">
      <c r="A973" s="62" t="s">
        <v>13</v>
      </c>
      <c r="B973" s="62">
        <v>2510</v>
      </c>
      <c r="C973" s="62">
        <v>16</v>
      </c>
      <c r="D973" s="62">
        <v>0.217</v>
      </c>
      <c r="E973" s="62">
        <v>145.7268</v>
      </c>
      <c r="F973" s="62">
        <v>8.0559999999999992</v>
      </c>
      <c r="G973" s="62">
        <v>50.349400000000003</v>
      </c>
      <c r="H973" s="62">
        <v>3.37</v>
      </c>
    </row>
    <row r="974" spans="1:8" x14ac:dyDescent="0.15">
      <c r="A974" s="62" t="s">
        <v>13</v>
      </c>
      <c r="B974" s="62">
        <v>2510</v>
      </c>
      <c r="C974" s="62">
        <v>16</v>
      </c>
      <c r="D974" s="62">
        <v>0.2316</v>
      </c>
      <c r="E974" s="62">
        <v>136.54419999999999</v>
      </c>
      <c r="F974" s="62">
        <v>7.548</v>
      </c>
      <c r="G974" s="62">
        <v>47.176699999999997</v>
      </c>
      <c r="H974" s="62">
        <v>3.58</v>
      </c>
    </row>
    <row r="975" spans="1:8" x14ac:dyDescent="0.15">
      <c r="A975" s="62" t="s">
        <v>13</v>
      </c>
      <c r="B975" s="62">
        <v>2510</v>
      </c>
      <c r="C975" s="62">
        <v>16</v>
      </c>
      <c r="D975" s="62">
        <v>0.22</v>
      </c>
      <c r="E975" s="62">
        <v>143.7653</v>
      </c>
      <c r="F975" s="62">
        <v>7.9470000000000001</v>
      </c>
      <c r="G975" s="62">
        <v>49.671700000000001</v>
      </c>
      <c r="H975" s="62">
        <v>3.41</v>
      </c>
    </row>
    <row r="976" spans="1:8" x14ac:dyDescent="0.15">
      <c r="A976" s="62" t="s">
        <v>13</v>
      </c>
      <c r="B976" s="62">
        <v>2510</v>
      </c>
      <c r="C976" s="62">
        <v>16</v>
      </c>
      <c r="D976" s="62">
        <v>0.2097</v>
      </c>
      <c r="E976" s="62">
        <v>150.80199999999999</v>
      </c>
      <c r="F976" s="62">
        <v>8.3360000000000003</v>
      </c>
      <c r="G976" s="62">
        <v>52.102899999999998</v>
      </c>
      <c r="H976" s="62">
        <v>3.26</v>
      </c>
    </row>
    <row r="977" spans="1:8" x14ac:dyDescent="0.15">
      <c r="A977" s="62" t="s">
        <v>13</v>
      </c>
      <c r="B977" s="62">
        <v>2510</v>
      </c>
      <c r="C977" s="62">
        <v>16</v>
      </c>
      <c r="D977" s="62">
        <v>0.2261</v>
      </c>
      <c r="E977" s="62">
        <v>139.87280000000001</v>
      </c>
      <c r="F977" s="62">
        <v>7.7320000000000002</v>
      </c>
      <c r="G977" s="62">
        <v>48.326799999999999</v>
      </c>
      <c r="H977" s="62">
        <v>3.5</v>
      </c>
    </row>
    <row r="978" spans="1:8" x14ac:dyDescent="0.15">
      <c r="A978" s="62" t="s">
        <v>13</v>
      </c>
      <c r="B978" s="62">
        <v>2510</v>
      </c>
      <c r="C978" s="62">
        <v>16</v>
      </c>
      <c r="D978" s="62">
        <v>0.2177</v>
      </c>
      <c r="E978" s="62">
        <v>145.27699999999999</v>
      </c>
      <c r="F978" s="62">
        <v>8.0310000000000006</v>
      </c>
      <c r="G978" s="62">
        <v>50.194000000000003</v>
      </c>
      <c r="H978" s="62">
        <v>3.29</v>
      </c>
    </row>
    <row r="979" spans="1:8" x14ac:dyDescent="0.15">
      <c r="A979" s="62" t="s">
        <v>13</v>
      </c>
      <c r="B979" s="62">
        <v>2510</v>
      </c>
      <c r="C979" s="62">
        <v>16</v>
      </c>
      <c r="D979" s="62">
        <v>0.21890000000000001</v>
      </c>
      <c r="E979" s="62">
        <v>144.48320000000001</v>
      </c>
      <c r="F979" s="62">
        <v>7.9870000000000001</v>
      </c>
      <c r="G979" s="62">
        <v>49.919699999999999</v>
      </c>
      <c r="H979" s="62">
        <v>3.28</v>
      </c>
    </row>
    <row r="980" spans="1:8" x14ac:dyDescent="0.15">
      <c r="A980" s="62" t="s">
        <v>13</v>
      </c>
      <c r="B980" s="62">
        <v>2510</v>
      </c>
      <c r="C980" s="62">
        <v>16</v>
      </c>
      <c r="D980" s="62">
        <v>0.21940000000000001</v>
      </c>
      <c r="E980" s="62">
        <v>144.1789</v>
      </c>
      <c r="F980" s="62">
        <v>7.97</v>
      </c>
      <c r="G980" s="62">
        <v>49.814599999999999</v>
      </c>
      <c r="H980" s="62">
        <v>3.27</v>
      </c>
    </row>
    <row r="981" spans="1:8" x14ac:dyDescent="0.15">
      <c r="A981" s="62" t="s">
        <v>13</v>
      </c>
      <c r="B981" s="62">
        <v>2510</v>
      </c>
      <c r="C981" s="62">
        <v>16</v>
      </c>
      <c r="D981" s="62">
        <v>0.22889999999999999</v>
      </c>
      <c r="E981" s="62">
        <v>138.1842</v>
      </c>
      <c r="F981" s="62">
        <v>7.6390000000000002</v>
      </c>
      <c r="G981" s="62">
        <v>47.743400000000001</v>
      </c>
      <c r="H981" s="62">
        <v>3.4</v>
      </c>
    </row>
    <row r="982" spans="1:8" x14ac:dyDescent="0.15">
      <c r="A982" s="62" t="s">
        <v>13</v>
      </c>
      <c r="B982" s="62">
        <v>2510</v>
      </c>
      <c r="C982" s="62">
        <v>16</v>
      </c>
      <c r="D982" s="62">
        <v>0.19989999999999999</v>
      </c>
      <c r="E982" s="62">
        <v>158.24799999999999</v>
      </c>
      <c r="F982" s="62">
        <v>8.7479999999999993</v>
      </c>
      <c r="G982" s="62">
        <v>54.6755</v>
      </c>
      <c r="H982" s="62">
        <v>2.94</v>
      </c>
    </row>
    <row r="983" spans="1:8" x14ac:dyDescent="0.15">
      <c r="A983" s="62" t="s">
        <v>13</v>
      </c>
      <c r="B983" s="62">
        <v>10000</v>
      </c>
      <c r="C983" s="62">
        <v>1</v>
      </c>
      <c r="D983" s="62">
        <v>102.51900000000001</v>
      </c>
      <c r="E983" s="62">
        <v>19.508600000000001</v>
      </c>
      <c r="F983" s="62">
        <v>1</v>
      </c>
      <c r="G983" s="62">
        <v>100</v>
      </c>
      <c r="H983" s="62">
        <v>105.91</v>
      </c>
    </row>
    <row r="984" spans="1:8" x14ac:dyDescent="0.15">
      <c r="A984" s="62" t="s">
        <v>13</v>
      </c>
      <c r="B984" s="62">
        <v>10000</v>
      </c>
      <c r="C984" s="62">
        <v>1</v>
      </c>
      <c r="D984" s="62">
        <v>101.66200000000001</v>
      </c>
      <c r="E984" s="62">
        <v>19.672999999999998</v>
      </c>
      <c r="F984" s="62">
        <v>1.008</v>
      </c>
      <c r="G984" s="62">
        <v>100.843</v>
      </c>
      <c r="H984" s="62">
        <v>101.71</v>
      </c>
    </row>
    <row r="985" spans="1:8" x14ac:dyDescent="0.15">
      <c r="A985" s="62" t="s">
        <v>13</v>
      </c>
      <c r="B985" s="62">
        <v>10000</v>
      </c>
      <c r="C985" s="62">
        <v>1</v>
      </c>
      <c r="D985" s="62">
        <v>101.6618</v>
      </c>
      <c r="E985" s="62">
        <v>19.673100000000002</v>
      </c>
      <c r="F985" s="62">
        <v>1.008</v>
      </c>
      <c r="G985" s="62">
        <v>100.84310000000001</v>
      </c>
      <c r="H985" s="62">
        <v>101.71</v>
      </c>
    </row>
    <row r="986" spans="1:8" x14ac:dyDescent="0.15">
      <c r="A986" s="62" t="s">
        <v>13</v>
      </c>
      <c r="B986" s="62">
        <v>10000</v>
      </c>
      <c r="C986" s="62">
        <v>1</v>
      </c>
      <c r="D986" s="62">
        <v>101.6614</v>
      </c>
      <c r="E986" s="62">
        <v>19.673100000000002</v>
      </c>
      <c r="F986" s="62">
        <v>1.008</v>
      </c>
      <c r="G986" s="62">
        <v>100.84350000000001</v>
      </c>
      <c r="H986" s="62">
        <v>101.7</v>
      </c>
    </row>
    <row r="987" spans="1:8" x14ac:dyDescent="0.15">
      <c r="A987" s="62" t="s">
        <v>13</v>
      </c>
      <c r="B987" s="62">
        <v>10000</v>
      </c>
      <c r="C987" s="62">
        <v>1</v>
      </c>
      <c r="D987" s="62">
        <v>101.66160000000001</v>
      </c>
      <c r="E987" s="62">
        <v>19.673100000000002</v>
      </c>
      <c r="F987" s="62">
        <v>1.008</v>
      </c>
      <c r="G987" s="62">
        <v>100.8434</v>
      </c>
      <c r="H987" s="62">
        <v>101.71</v>
      </c>
    </row>
    <row r="988" spans="1:8" x14ac:dyDescent="0.15">
      <c r="A988" s="62" t="s">
        <v>13</v>
      </c>
      <c r="B988" s="62">
        <v>10000</v>
      </c>
      <c r="C988" s="62">
        <v>1</v>
      </c>
      <c r="D988" s="62">
        <v>101.6632</v>
      </c>
      <c r="E988" s="62">
        <v>19.672799999999999</v>
      </c>
      <c r="F988" s="62">
        <v>1.008</v>
      </c>
      <c r="G988" s="62">
        <v>100.84180000000001</v>
      </c>
      <c r="H988" s="62">
        <v>101.72</v>
      </c>
    </row>
    <row r="989" spans="1:8" x14ac:dyDescent="0.15">
      <c r="A989" s="62" t="s">
        <v>13</v>
      </c>
      <c r="B989" s="62">
        <v>10000</v>
      </c>
      <c r="C989" s="62">
        <v>15</v>
      </c>
      <c r="D989" s="62">
        <v>7.6006</v>
      </c>
      <c r="E989" s="62">
        <v>263.13830000000002</v>
      </c>
      <c r="F989" s="62">
        <v>13.488</v>
      </c>
      <c r="G989" s="62">
        <v>89.922200000000004</v>
      </c>
      <c r="H989" s="62">
        <v>106.71</v>
      </c>
    </row>
    <row r="990" spans="1:8" x14ac:dyDescent="0.15">
      <c r="A990" s="62" t="s">
        <v>13</v>
      </c>
      <c r="B990" s="62">
        <v>10000</v>
      </c>
      <c r="C990" s="62">
        <v>15</v>
      </c>
      <c r="D990" s="62">
        <v>7.5963000000000003</v>
      </c>
      <c r="E990" s="62">
        <v>263.2867</v>
      </c>
      <c r="F990" s="62">
        <v>13.496</v>
      </c>
      <c r="G990" s="62">
        <v>89.972999999999999</v>
      </c>
      <c r="H990" s="62">
        <v>106.65</v>
      </c>
    </row>
    <row r="991" spans="1:8" x14ac:dyDescent="0.15">
      <c r="A991" s="62" t="s">
        <v>13</v>
      </c>
      <c r="B991" s="62">
        <v>10000</v>
      </c>
      <c r="C991" s="62">
        <v>15</v>
      </c>
      <c r="D991" s="62">
        <v>7.6005000000000003</v>
      </c>
      <c r="E991" s="62">
        <v>263.14229999999998</v>
      </c>
      <c r="F991" s="62">
        <v>13.489000000000001</v>
      </c>
      <c r="G991" s="62">
        <v>89.923599999999993</v>
      </c>
      <c r="H991" s="62">
        <v>106.61</v>
      </c>
    </row>
    <row r="992" spans="1:8" x14ac:dyDescent="0.15">
      <c r="A992" s="62" t="s">
        <v>13</v>
      </c>
      <c r="B992" s="62">
        <v>10000</v>
      </c>
      <c r="C992" s="62">
        <v>15</v>
      </c>
      <c r="D992" s="62">
        <v>7.5982000000000003</v>
      </c>
      <c r="E992" s="62">
        <v>263.21890000000002</v>
      </c>
      <c r="F992" s="62">
        <v>13.492000000000001</v>
      </c>
      <c r="G992" s="62">
        <v>89.949799999999996</v>
      </c>
      <c r="H992" s="62">
        <v>106.8199</v>
      </c>
    </row>
    <row r="993" spans="1:8" x14ac:dyDescent="0.15">
      <c r="A993" s="62" t="s">
        <v>13</v>
      </c>
      <c r="B993" s="62">
        <v>10000</v>
      </c>
      <c r="C993" s="62">
        <v>15</v>
      </c>
      <c r="D993" s="62">
        <v>7.5328999999999997</v>
      </c>
      <c r="E993" s="62">
        <v>265.50080000000003</v>
      </c>
      <c r="F993" s="62">
        <v>13.609</v>
      </c>
      <c r="G993" s="62">
        <v>90.729600000000005</v>
      </c>
      <c r="H993" s="62">
        <v>105.8201</v>
      </c>
    </row>
    <row r="994" spans="1:8" x14ac:dyDescent="0.15">
      <c r="A994" s="62" t="s">
        <v>13</v>
      </c>
      <c r="B994" s="62">
        <v>10000</v>
      </c>
      <c r="C994" s="62">
        <v>15</v>
      </c>
      <c r="D994" s="62">
        <v>7.4645000000000001</v>
      </c>
      <c r="E994" s="62">
        <v>267.93560000000002</v>
      </c>
      <c r="F994" s="62">
        <v>13.734</v>
      </c>
      <c r="G994" s="62">
        <v>91.561599999999999</v>
      </c>
      <c r="H994" s="62">
        <v>104.78</v>
      </c>
    </row>
    <row r="995" spans="1:8" x14ac:dyDescent="0.15">
      <c r="A995" s="62" t="s">
        <v>13</v>
      </c>
      <c r="B995" s="62">
        <v>10000</v>
      </c>
      <c r="C995" s="62">
        <v>15</v>
      </c>
      <c r="D995" s="62">
        <v>7.4645999999999999</v>
      </c>
      <c r="E995" s="62">
        <v>267.93150000000003</v>
      </c>
      <c r="F995" s="62">
        <v>13.734</v>
      </c>
      <c r="G995" s="62">
        <v>91.560199999999995</v>
      </c>
      <c r="H995" s="62">
        <v>104.90989999999999</v>
      </c>
    </row>
    <row r="996" spans="1:8" x14ac:dyDescent="0.15">
      <c r="A996" s="62" t="s">
        <v>13</v>
      </c>
      <c r="B996" s="62">
        <v>10000</v>
      </c>
      <c r="C996" s="62">
        <v>15</v>
      </c>
      <c r="D996" s="62">
        <v>7.4641999999999999</v>
      </c>
      <c r="E996" s="62">
        <v>267.94389999999999</v>
      </c>
      <c r="F996" s="62">
        <v>13.734999999999999</v>
      </c>
      <c r="G996" s="62">
        <v>91.564499999999995</v>
      </c>
      <c r="H996" s="62">
        <v>104.8201</v>
      </c>
    </row>
    <row r="997" spans="1:8" x14ac:dyDescent="0.15">
      <c r="A997" s="62" t="s">
        <v>13</v>
      </c>
      <c r="B997" s="62">
        <v>10000</v>
      </c>
      <c r="C997" s="62">
        <v>15</v>
      </c>
      <c r="D997" s="62">
        <v>7.4644000000000004</v>
      </c>
      <c r="E997" s="62">
        <v>267.93669999999997</v>
      </c>
      <c r="F997" s="62">
        <v>13.734</v>
      </c>
      <c r="G997" s="62">
        <v>91.561999999999998</v>
      </c>
      <c r="H997" s="62">
        <v>104.84</v>
      </c>
    </row>
    <row r="998" spans="1:8" x14ac:dyDescent="0.15">
      <c r="A998" s="62" t="s">
        <v>13</v>
      </c>
      <c r="B998" s="62">
        <v>10000</v>
      </c>
      <c r="C998" s="62">
        <v>15</v>
      </c>
      <c r="D998" s="62">
        <v>7.4644000000000004</v>
      </c>
      <c r="E998" s="62">
        <v>267.94</v>
      </c>
      <c r="F998" s="62">
        <v>13.734</v>
      </c>
      <c r="G998" s="62">
        <v>91.563100000000006</v>
      </c>
      <c r="H998" s="62">
        <v>104.93989999999999</v>
      </c>
    </row>
    <row r="999" spans="1:8" x14ac:dyDescent="0.15">
      <c r="A999" s="62" t="s">
        <v>13</v>
      </c>
      <c r="B999" s="62">
        <v>10000</v>
      </c>
      <c r="C999" s="62">
        <v>15</v>
      </c>
      <c r="D999" s="62">
        <v>7.4648000000000003</v>
      </c>
      <c r="E999" s="62">
        <v>267.92419999999998</v>
      </c>
      <c r="F999" s="62">
        <v>13.734</v>
      </c>
      <c r="G999" s="62">
        <v>91.557699999999997</v>
      </c>
      <c r="H999" s="62">
        <v>104.88</v>
      </c>
    </row>
    <row r="1000" spans="1:8" x14ac:dyDescent="0.15">
      <c r="A1000" s="62" t="s">
        <v>13</v>
      </c>
      <c r="B1000" s="62">
        <v>10000</v>
      </c>
      <c r="C1000" s="62">
        <v>15</v>
      </c>
      <c r="D1000" s="62">
        <v>7.5149999999999997</v>
      </c>
      <c r="E1000" s="62">
        <v>266.13560000000001</v>
      </c>
      <c r="F1000" s="62">
        <v>13.641999999999999</v>
      </c>
      <c r="G1000" s="62">
        <v>90.9465</v>
      </c>
      <c r="H1000" s="62">
        <v>105.48009999999999</v>
      </c>
    </row>
    <row r="1001" spans="1:8" x14ac:dyDescent="0.15">
      <c r="A1001" s="62" t="s">
        <v>13</v>
      </c>
      <c r="B1001" s="62">
        <v>10000</v>
      </c>
      <c r="C1001" s="62">
        <v>15</v>
      </c>
      <c r="D1001" s="62">
        <v>7.5042999999999997</v>
      </c>
      <c r="E1001" s="62">
        <v>266.5145</v>
      </c>
      <c r="F1001" s="62">
        <v>13.661</v>
      </c>
      <c r="G1001" s="62">
        <v>91.075999999999993</v>
      </c>
      <c r="H1001" s="62">
        <v>105.34</v>
      </c>
    </row>
    <row r="1002" spans="1:8" x14ac:dyDescent="0.15">
      <c r="A1002" s="62" t="s">
        <v>13</v>
      </c>
      <c r="B1002" s="62">
        <v>10000</v>
      </c>
      <c r="C1002" s="62">
        <v>15</v>
      </c>
      <c r="D1002" s="62">
        <v>7.4645999999999999</v>
      </c>
      <c r="E1002" s="62">
        <v>267.93290000000002</v>
      </c>
      <c r="F1002" s="62">
        <v>13.734</v>
      </c>
      <c r="G1002" s="62">
        <v>91.560699999999997</v>
      </c>
      <c r="H1002" s="62">
        <v>104.8899</v>
      </c>
    </row>
    <row r="1003" spans="1:8" x14ac:dyDescent="0.15">
      <c r="A1003" s="62" t="s">
        <v>13</v>
      </c>
      <c r="B1003" s="62">
        <v>10000</v>
      </c>
      <c r="C1003" s="62">
        <v>15</v>
      </c>
      <c r="D1003" s="62">
        <v>7.4642999999999997</v>
      </c>
      <c r="E1003" s="62">
        <v>267.94069999999999</v>
      </c>
      <c r="F1003" s="62">
        <v>13.734999999999999</v>
      </c>
      <c r="G1003" s="62">
        <v>91.563400000000001</v>
      </c>
      <c r="H1003" s="62">
        <v>104.9302</v>
      </c>
    </row>
    <row r="1004" spans="1:8" x14ac:dyDescent="0.15">
      <c r="A1004" s="62" t="s">
        <v>13</v>
      </c>
      <c r="B1004" s="62">
        <v>10000</v>
      </c>
      <c r="C1004" s="62">
        <v>15</v>
      </c>
      <c r="D1004" s="62">
        <v>7.4646999999999997</v>
      </c>
      <c r="E1004" s="62">
        <v>267.92610000000002</v>
      </c>
      <c r="F1004" s="62">
        <v>13.734</v>
      </c>
      <c r="G1004" s="62">
        <v>91.558400000000006</v>
      </c>
      <c r="H1004" s="62">
        <v>104.87990000000001</v>
      </c>
    </row>
    <row r="1005" spans="1:8" x14ac:dyDescent="0.15">
      <c r="A1005" s="62" t="s">
        <v>13</v>
      </c>
      <c r="B1005" s="62">
        <v>10000</v>
      </c>
      <c r="C1005" s="62">
        <v>15</v>
      </c>
      <c r="D1005" s="62">
        <v>7.4648000000000003</v>
      </c>
      <c r="E1005" s="62">
        <v>267.9239</v>
      </c>
      <c r="F1005" s="62">
        <v>13.734</v>
      </c>
      <c r="G1005" s="62">
        <v>91.557599999999994</v>
      </c>
      <c r="H1005" s="62">
        <v>104.81010000000001</v>
      </c>
    </row>
    <row r="1006" spans="1:8" x14ac:dyDescent="0.15">
      <c r="A1006" s="62" t="s">
        <v>13</v>
      </c>
      <c r="B1006" s="62">
        <v>10000</v>
      </c>
      <c r="C1006" s="62">
        <v>15</v>
      </c>
      <c r="D1006" s="62">
        <v>7.4645999999999999</v>
      </c>
      <c r="E1006" s="62">
        <v>267.93259999999998</v>
      </c>
      <c r="F1006" s="62">
        <v>13.734</v>
      </c>
      <c r="G1006" s="62">
        <v>91.560599999999994</v>
      </c>
      <c r="H1006" s="62">
        <v>104.65989999999999</v>
      </c>
    </row>
    <row r="1007" spans="1:8" x14ac:dyDescent="0.15">
      <c r="A1007" s="62" t="s">
        <v>13</v>
      </c>
      <c r="B1007" s="62">
        <v>10000</v>
      </c>
      <c r="C1007" s="62">
        <v>15</v>
      </c>
      <c r="D1007" s="62">
        <v>7.4644000000000004</v>
      </c>
      <c r="E1007" s="62">
        <v>267.93869999999998</v>
      </c>
      <c r="F1007" s="62">
        <v>13.734</v>
      </c>
      <c r="G1007" s="62">
        <v>91.562700000000007</v>
      </c>
      <c r="H1007" s="62">
        <v>104.98</v>
      </c>
    </row>
    <row r="1008" spans="1:8" x14ac:dyDescent="0.15">
      <c r="A1008" s="62" t="s">
        <v>13</v>
      </c>
      <c r="B1008" s="62">
        <v>10000</v>
      </c>
      <c r="C1008" s="62">
        <v>15</v>
      </c>
      <c r="D1008" s="62">
        <v>7.5393999999999997</v>
      </c>
      <c r="E1008" s="62">
        <v>265.27300000000002</v>
      </c>
      <c r="F1008" s="62">
        <v>13.598000000000001</v>
      </c>
      <c r="G1008" s="62">
        <v>90.651700000000005</v>
      </c>
      <c r="H1008" s="62">
        <v>105.8201</v>
      </c>
    </row>
    <row r="1009" spans="1:8" x14ac:dyDescent="0.15">
      <c r="A1009" s="62" t="s">
        <v>13</v>
      </c>
      <c r="B1009" s="62">
        <v>10000</v>
      </c>
      <c r="C1009" s="62">
        <v>15</v>
      </c>
      <c r="D1009" s="62">
        <v>7.6002999999999998</v>
      </c>
      <c r="E1009" s="62">
        <v>263.14679999999998</v>
      </c>
      <c r="F1009" s="62">
        <v>13.489000000000001</v>
      </c>
      <c r="G1009" s="62">
        <v>89.9251</v>
      </c>
      <c r="H1009" s="62">
        <v>106.71</v>
      </c>
    </row>
    <row r="1010" spans="1:8" x14ac:dyDescent="0.15">
      <c r="A1010" s="62" t="s">
        <v>13</v>
      </c>
      <c r="B1010" s="62">
        <v>10000</v>
      </c>
      <c r="C1010" s="62">
        <v>15</v>
      </c>
      <c r="D1010" s="62">
        <v>7.6001000000000003</v>
      </c>
      <c r="E1010" s="62">
        <v>263.15519999999998</v>
      </c>
      <c r="F1010" s="62">
        <v>13.489000000000001</v>
      </c>
      <c r="G1010" s="62">
        <v>89.927999999999997</v>
      </c>
      <c r="H1010" s="62">
        <v>106.71</v>
      </c>
    </row>
    <row r="1011" spans="1:8" x14ac:dyDescent="0.15">
      <c r="A1011" s="62" t="s">
        <v>13</v>
      </c>
      <c r="B1011" s="62">
        <v>10000</v>
      </c>
      <c r="C1011" s="62">
        <v>15</v>
      </c>
      <c r="D1011" s="62">
        <v>7.5998000000000001</v>
      </c>
      <c r="E1011" s="62">
        <v>263.16329999999999</v>
      </c>
      <c r="F1011" s="62">
        <v>13.49</v>
      </c>
      <c r="G1011" s="62">
        <v>89.930800000000005</v>
      </c>
      <c r="H1011" s="62">
        <v>106.7</v>
      </c>
    </row>
    <row r="1012" spans="1:8" x14ac:dyDescent="0.15">
      <c r="A1012" s="62" t="s">
        <v>13</v>
      </c>
      <c r="B1012" s="62">
        <v>10000</v>
      </c>
      <c r="C1012" s="62">
        <v>15</v>
      </c>
      <c r="D1012" s="62">
        <v>7.6006</v>
      </c>
      <c r="E1012" s="62">
        <v>263.13709999999998</v>
      </c>
      <c r="F1012" s="62">
        <v>13.488</v>
      </c>
      <c r="G1012" s="62">
        <v>89.921800000000005</v>
      </c>
      <c r="H1012" s="62">
        <v>106.72020000000001</v>
      </c>
    </row>
    <row r="1013" spans="1:8" x14ac:dyDescent="0.15">
      <c r="A1013" s="62" t="s">
        <v>13</v>
      </c>
      <c r="B1013" s="62">
        <v>10000</v>
      </c>
      <c r="C1013" s="62">
        <v>15</v>
      </c>
      <c r="D1013" s="62">
        <v>7.5983000000000001</v>
      </c>
      <c r="E1013" s="62">
        <v>263.21780000000001</v>
      </c>
      <c r="F1013" s="62">
        <v>13.492000000000001</v>
      </c>
      <c r="G1013" s="62">
        <v>89.949399999999997</v>
      </c>
      <c r="H1013" s="62">
        <v>106.68989999999999</v>
      </c>
    </row>
    <row r="1014" spans="1:8" x14ac:dyDescent="0.15">
      <c r="A1014" s="62" t="s">
        <v>13</v>
      </c>
      <c r="B1014" s="62">
        <v>10000</v>
      </c>
      <c r="C1014" s="62">
        <v>15</v>
      </c>
      <c r="D1014" s="62">
        <v>7.6029999999999998</v>
      </c>
      <c r="E1014" s="62">
        <v>263.05470000000003</v>
      </c>
      <c r="F1014" s="62">
        <v>13.484</v>
      </c>
      <c r="G1014" s="62">
        <v>89.893699999999995</v>
      </c>
      <c r="H1014" s="62">
        <v>106.76</v>
      </c>
    </row>
    <row r="1015" spans="1:8" x14ac:dyDescent="0.15">
      <c r="A1015" s="62" t="s">
        <v>13</v>
      </c>
      <c r="B1015" s="62">
        <v>10000</v>
      </c>
      <c r="C1015" s="62">
        <v>15</v>
      </c>
      <c r="D1015" s="62">
        <v>7.6007999999999996</v>
      </c>
      <c r="E1015" s="62">
        <v>263.12920000000003</v>
      </c>
      <c r="F1015" s="62">
        <v>13.488</v>
      </c>
      <c r="G1015" s="62">
        <v>89.9191</v>
      </c>
      <c r="H1015" s="62">
        <v>106.6399</v>
      </c>
    </row>
    <row r="1016" spans="1:8" x14ac:dyDescent="0.15">
      <c r="A1016" s="62" t="s">
        <v>13</v>
      </c>
      <c r="B1016" s="62">
        <v>10000</v>
      </c>
      <c r="C1016" s="62">
        <v>15</v>
      </c>
      <c r="D1016" s="62">
        <v>7.5994000000000002</v>
      </c>
      <c r="E1016" s="62">
        <v>263.17790000000002</v>
      </c>
      <c r="F1016" s="62">
        <v>13.49</v>
      </c>
      <c r="G1016" s="62">
        <v>89.9358</v>
      </c>
      <c r="H1016" s="62">
        <v>106.79</v>
      </c>
    </row>
    <row r="1017" spans="1:8" x14ac:dyDescent="0.15">
      <c r="A1017" s="62" t="s">
        <v>13</v>
      </c>
      <c r="B1017" s="62">
        <v>10000</v>
      </c>
      <c r="C1017" s="62">
        <v>15</v>
      </c>
      <c r="D1017" s="62">
        <v>7.5987999999999998</v>
      </c>
      <c r="E1017" s="62">
        <v>263.2011</v>
      </c>
      <c r="F1017" s="62">
        <v>13.492000000000001</v>
      </c>
      <c r="G1017" s="62">
        <v>89.943700000000007</v>
      </c>
      <c r="H1017" s="62">
        <v>106.7</v>
      </c>
    </row>
    <row r="1018" spans="1:8" x14ac:dyDescent="0.15">
      <c r="A1018" s="62" t="s">
        <v>13</v>
      </c>
      <c r="B1018" s="62">
        <v>10000</v>
      </c>
      <c r="C1018" s="62">
        <v>15</v>
      </c>
      <c r="D1018" s="62">
        <v>7.6014999999999997</v>
      </c>
      <c r="E1018" s="62">
        <v>263.10500000000002</v>
      </c>
      <c r="F1018" s="62">
        <v>13.487</v>
      </c>
      <c r="G1018" s="62">
        <v>89.910799999999995</v>
      </c>
      <c r="H1018" s="62">
        <v>106.74</v>
      </c>
    </row>
    <row r="1019" spans="1:8" x14ac:dyDescent="0.15">
      <c r="A1019" s="62" t="s">
        <v>13</v>
      </c>
      <c r="B1019" s="62">
        <v>10000</v>
      </c>
      <c r="C1019" s="62">
        <v>15</v>
      </c>
      <c r="D1019" s="62">
        <v>7.6055999999999999</v>
      </c>
      <c r="E1019" s="62">
        <v>262.96269999999998</v>
      </c>
      <c r="F1019" s="62">
        <v>13.478999999999999</v>
      </c>
      <c r="G1019" s="62">
        <v>89.862200000000001</v>
      </c>
      <c r="H1019" s="62">
        <v>106.8</v>
      </c>
    </row>
    <row r="1020" spans="1:8" x14ac:dyDescent="0.15">
      <c r="A1020" s="62" t="s">
        <v>13</v>
      </c>
      <c r="B1020" s="62">
        <v>10000</v>
      </c>
      <c r="C1020" s="62">
        <v>15</v>
      </c>
      <c r="D1020" s="62">
        <v>7.6044</v>
      </c>
      <c r="E1020" s="62">
        <v>263.00630000000001</v>
      </c>
      <c r="F1020" s="62">
        <v>13.481999999999999</v>
      </c>
      <c r="G1020" s="62">
        <v>89.877099999999999</v>
      </c>
      <c r="H1020" s="62">
        <v>106.77</v>
      </c>
    </row>
    <row r="1021" spans="1:8" x14ac:dyDescent="0.15">
      <c r="A1021" s="62" t="s">
        <v>13</v>
      </c>
      <c r="B1021" s="62">
        <v>10000</v>
      </c>
      <c r="C1021" s="62">
        <v>15</v>
      </c>
      <c r="D1021" s="62">
        <v>7.6001000000000003</v>
      </c>
      <c r="E1021" s="62">
        <v>263.15359999999998</v>
      </c>
      <c r="F1021" s="62">
        <v>13.489000000000001</v>
      </c>
      <c r="G1021" s="62">
        <v>89.927499999999995</v>
      </c>
      <c r="H1021" s="62">
        <v>106.71</v>
      </c>
    </row>
    <row r="1022" spans="1:8" x14ac:dyDescent="0.15">
      <c r="A1022" s="62" t="s">
        <v>13</v>
      </c>
      <c r="B1022" s="62">
        <v>10000</v>
      </c>
      <c r="C1022" s="62">
        <v>15</v>
      </c>
      <c r="D1022" s="62">
        <v>7.6024000000000003</v>
      </c>
      <c r="E1022" s="62">
        <v>263.07310000000001</v>
      </c>
      <c r="F1022" s="62">
        <v>13.484999999999999</v>
      </c>
      <c r="G1022" s="62">
        <v>89.9</v>
      </c>
      <c r="H1022" s="62">
        <v>106.77</v>
      </c>
    </row>
    <row r="1023" spans="1:8" x14ac:dyDescent="0.15">
      <c r="A1023" s="62" t="s">
        <v>13</v>
      </c>
      <c r="B1023" s="62">
        <v>10000</v>
      </c>
      <c r="C1023" s="62">
        <v>15</v>
      </c>
      <c r="D1023" s="62">
        <v>7.6045999999999996</v>
      </c>
      <c r="E1023" s="62">
        <v>262.9973</v>
      </c>
      <c r="F1023" s="62">
        <v>13.481</v>
      </c>
      <c r="G1023" s="62">
        <v>89.874099999999999</v>
      </c>
      <c r="H1023" s="62">
        <v>106.77979999999999</v>
      </c>
    </row>
    <row r="1024" spans="1:8" x14ac:dyDescent="0.15">
      <c r="A1024" s="62" t="s">
        <v>13</v>
      </c>
      <c r="B1024" s="62">
        <v>10000</v>
      </c>
      <c r="C1024" s="62">
        <v>15</v>
      </c>
      <c r="D1024" s="62">
        <v>7.6043000000000003</v>
      </c>
      <c r="E1024" s="62">
        <v>263.00869999999998</v>
      </c>
      <c r="F1024" s="62">
        <v>13.481999999999999</v>
      </c>
      <c r="G1024" s="62">
        <v>89.878</v>
      </c>
      <c r="H1024" s="62">
        <v>106.7803</v>
      </c>
    </row>
    <row r="1025" spans="1:8" x14ac:dyDescent="0.15">
      <c r="A1025" s="62" t="s">
        <v>13</v>
      </c>
      <c r="B1025" s="62">
        <v>10000</v>
      </c>
      <c r="C1025" s="62">
        <v>15</v>
      </c>
      <c r="D1025" s="62">
        <v>7.6026999999999996</v>
      </c>
      <c r="E1025" s="62">
        <v>263.0652</v>
      </c>
      <c r="F1025" s="62">
        <v>13.484999999999999</v>
      </c>
      <c r="G1025" s="62">
        <v>89.897300000000001</v>
      </c>
      <c r="H1025" s="62">
        <v>106.7598</v>
      </c>
    </row>
    <row r="1026" spans="1:8" x14ac:dyDescent="0.15">
      <c r="A1026" s="62" t="s">
        <v>13</v>
      </c>
      <c r="B1026" s="62">
        <v>10000</v>
      </c>
      <c r="C1026" s="62">
        <v>15</v>
      </c>
      <c r="D1026" s="62">
        <v>7.6181000000000001</v>
      </c>
      <c r="E1026" s="62">
        <v>262.5317</v>
      </c>
      <c r="F1026" s="62">
        <v>13.457000000000001</v>
      </c>
      <c r="G1026" s="62">
        <v>89.715000000000003</v>
      </c>
      <c r="H1026" s="62">
        <v>106.8501</v>
      </c>
    </row>
    <row r="1027" spans="1:8" x14ac:dyDescent="0.15">
      <c r="A1027" s="62" t="s">
        <v>13</v>
      </c>
      <c r="B1027" s="62">
        <v>10000</v>
      </c>
      <c r="C1027" s="62">
        <v>15</v>
      </c>
      <c r="D1027" s="62">
        <v>7.5949999999999998</v>
      </c>
      <c r="E1027" s="62">
        <v>263.33170000000001</v>
      </c>
      <c r="F1027" s="62">
        <v>13.497999999999999</v>
      </c>
      <c r="G1027" s="62">
        <v>89.988299999999995</v>
      </c>
      <c r="H1027" s="62">
        <v>106.75</v>
      </c>
    </row>
    <row r="1028" spans="1:8" x14ac:dyDescent="0.15">
      <c r="A1028" s="62" t="s">
        <v>13</v>
      </c>
      <c r="B1028" s="62">
        <v>10000</v>
      </c>
      <c r="C1028" s="62">
        <v>15</v>
      </c>
      <c r="D1028" s="62">
        <v>7.6314000000000002</v>
      </c>
      <c r="E1028" s="62">
        <v>262.07530000000003</v>
      </c>
      <c r="F1028" s="62">
        <v>13.433999999999999</v>
      </c>
      <c r="G1028" s="62">
        <v>89.558999999999997</v>
      </c>
      <c r="H1028" s="62">
        <v>107.1401</v>
      </c>
    </row>
    <row r="1029" spans="1:8" x14ac:dyDescent="0.15">
      <c r="A1029" s="62" t="s">
        <v>13</v>
      </c>
      <c r="B1029" s="62">
        <v>10000</v>
      </c>
      <c r="C1029" s="62">
        <v>15</v>
      </c>
      <c r="D1029" s="62">
        <v>7.6463000000000001</v>
      </c>
      <c r="E1029" s="62">
        <v>261.56549999999999</v>
      </c>
      <c r="F1029" s="62">
        <v>13.407999999999999</v>
      </c>
      <c r="G1029" s="62">
        <v>89.384799999999998</v>
      </c>
      <c r="H1029" s="62">
        <v>107.2998</v>
      </c>
    </row>
    <row r="1030" spans="1:8" x14ac:dyDescent="0.15">
      <c r="A1030" s="62" t="s">
        <v>13</v>
      </c>
      <c r="B1030" s="62">
        <v>10000</v>
      </c>
      <c r="C1030" s="62">
        <v>15</v>
      </c>
      <c r="D1030" s="62">
        <v>7.6044</v>
      </c>
      <c r="E1030" s="62">
        <v>263.00560000000002</v>
      </c>
      <c r="F1030" s="62">
        <v>13.481999999999999</v>
      </c>
      <c r="G1030" s="62">
        <v>89.876900000000006</v>
      </c>
      <c r="H1030" s="62">
        <v>106.7002</v>
      </c>
    </row>
    <row r="1031" spans="1:8" x14ac:dyDescent="0.15">
      <c r="A1031" s="62" t="s">
        <v>13</v>
      </c>
      <c r="B1031" s="62">
        <v>10000</v>
      </c>
      <c r="C1031" s="62">
        <v>15</v>
      </c>
      <c r="D1031" s="62">
        <v>7.6059000000000001</v>
      </c>
      <c r="E1031" s="62">
        <v>262.95319999999998</v>
      </c>
      <c r="F1031" s="62">
        <v>13.478999999999999</v>
      </c>
      <c r="G1031" s="62">
        <v>89.858999999999995</v>
      </c>
      <c r="H1031" s="62">
        <v>106.7197</v>
      </c>
    </row>
    <row r="1032" spans="1:8" x14ac:dyDescent="0.15">
      <c r="A1032" s="62" t="s">
        <v>13</v>
      </c>
      <c r="B1032" s="62">
        <v>10000</v>
      </c>
      <c r="C1032" s="62">
        <v>15</v>
      </c>
      <c r="D1032" s="62">
        <v>7.6039000000000003</v>
      </c>
      <c r="E1032" s="62">
        <v>263.02210000000002</v>
      </c>
      <c r="F1032" s="62">
        <v>13.481999999999999</v>
      </c>
      <c r="G1032" s="62">
        <v>89.882499999999993</v>
      </c>
      <c r="H1032" s="62">
        <v>106.6904</v>
      </c>
    </row>
    <row r="1033" spans="1:8" x14ac:dyDescent="0.15">
      <c r="A1033" s="62" t="s">
        <v>13</v>
      </c>
      <c r="B1033" s="62">
        <v>10000</v>
      </c>
      <c r="C1033" s="62">
        <v>15</v>
      </c>
      <c r="D1033" s="62">
        <v>7.6048999999999998</v>
      </c>
      <c r="E1033" s="62">
        <v>262.98970000000003</v>
      </c>
      <c r="F1033" s="62">
        <v>13.481</v>
      </c>
      <c r="G1033" s="62">
        <v>89.871399999999994</v>
      </c>
      <c r="H1033" s="62">
        <v>106.69970000000001</v>
      </c>
    </row>
    <row r="1034" spans="1:8" x14ac:dyDescent="0.15">
      <c r="A1034" s="62" t="s">
        <v>13</v>
      </c>
      <c r="B1034" s="62">
        <v>10000</v>
      </c>
      <c r="C1034" s="62">
        <v>15</v>
      </c>
      <c r="D1034" s="62">
        <v>7.6039000000000003</v>
      </c>
      <c r="E1034" s="62">
        <v>263.02390000000003</v>
      </c>
      <c r="F1034" s="62">
        <v>13.481999999999999</v>
      </c>
      <c r="G1034" s="62">
        <v>89.883200000000002</v>
      </c>
      <c r="H1034" s="62">
        <v>106.6802</v>
      </c>
    </row>
    <row r="1035" spans="1:8" x14ac:dyDescent="0.15">
      <c r="A1035" s="62" t="s">
        <v>13</v>
      </c>
      <c r="B1035" s="62">
        <v>10000</v>
      </c>
      <c r="C1035" s="62">
        <v>15</v>
      </c>
      <c r="D1035" s="62">
        <v>7.6029</v>
      </c>
      <c r="E1035" s="62">
        <v>263.05720000000002</v>
      </c>
      <c r="F1035" s="62">
        <v>13.484</v>
      </c>
      <c r="G1035" s="62">
        <v>89.894499999999994</v>
      </c>
      <c r="H1035" s="62">
        <v>106.6699</v>
      </c>
    </row>
    <row r="1036" spans="1:8" x14ac:dyDescent="0.15">
      <c r="A1036" s="62" t="s">
        <v>13</v>
      </c>
      <c r="B1036" s="62">
        <v>10000</v>
      </c>
      <c r="C1036" s="62">
        <v>15</v>
      </c>
      <c r="D1036" s="62">
        <v>7.5972</v>
      </c>
      <c r="E1036" s="62">
        <v>263.25599999999997</v>
      </c>
      <c r="F1036" s="62">
        <v>13.494</v>
      </c>
      <c r="G1036" s="62">
        <v>89.962500000000006</v>
      </c>
      <c r="H1036" s="62">
        <v>106.5898</v>
      </c>
    </row>
    <row r="1037" spans="1:8" x14ac:dyDescent="0.15">
      <c r="A1037" s="62" t="s">
        <v>13</v>
      </c>
      <c r="B1037" s="62">
        <v>10000</v>
      </c>
      <c r="C1037" s="62">
        <v>15</v>
      </c>
      <c r="D1037" s="62">
        <v>7.4623999999999997</v>
      </c>
      <c r="E1037" s="62">
        <v>268.01049999999998</v>
      </c>
      <c r="F1037" s="62">
        <v>13.738</v>
      </c>
      <c r="G1037" s="62">
        <v>91.587199999999996</v>
      </c>
      <c r="H1037" s="62">
        <v>104.79</v>
      </c>
    </row>
    <row r="1038" spans="1:8" x14ac:dyDescent="0.15">
      <c r="A1038" s="62" t="s">
        <v>13</v>
      </c>
      <c r="B1038" s="62">
        <v>10000</v>
      </c>
      <c r="C1038" s="62">
        <v>15</v>
      </c>
      <c r="D1038" s="62">
        <v>7.4618000000000002</v>
      </c>
      <c r="E1038" s="62">
        <v>268.03219999999999</v>
      </c>
      <c r="F1038" s="62">
        <v>13.739000000000001</v>
      </c>
      <c r="G1038" s="62">
        <v>91.5946</v>
      </c>
      <c r="H1038" s="62">
        <v>104.72020000000001</v>
      </c>
    </row>
    <row r="1039" spans="1:8" x14ac:dyDescent="0.15">
      <c r="A1039" s="62" t="s">
        <v>13</v>
      </c>
      <c r="B1039" s="62">
        <v>10000</v>
      </c>
      <c r="C1039" s="62">
        <v>15</v>
      </c>
      <c r="D1039" s="62">
        <v>7.4630999999999998</v>
      </c>
      <c r="E1039" s="62">
        <v>267.98390000000001</v>
      </c>
      <c r="F1039" s="62">
        <v>13.737</v>
      </c>
      <c r="G1039" s="62">
        <v>91.578100000000006</v>
      </c>
      <c r="H1039" s="62">
        <v>104.88039999999999</v>
      </c>
    </row>
    <row r="1040" spans="1:8" x14ac:dyDescent="0.15">
      <c r="A1040" s="62" t="s">
        <v>13</v>
      </c>
      <c r="B1040" s="62">
        <v>10000</v>
      </c>
      <c r="C1040" s="62">
        <v>16</v>
      </c>
      <c r="D1040" s="62">
        <v>6.6954000000000002</v>
      </c>
      <c r="E1040" s="62">
        <v>298.71089999999998</v>
      </c>
      <c r="F1040" s="62">
        <v>15.311999999999999</v>
      </c>
      <c r="G1040" s="62">
        <v>95.698599999999999</v>
      </c>
      <c r="H1040" s="62">
        <v>106.98</v>
      </c>
    </row>
    <row r="1041" spans="1:8" x14ac:dyDescent="0.15">
      <c r="A1041" s="62" t="s">
        <v>13</v>
      </c>
      <c r="B1041" s="62">
        <v>10000</v>
      </c>
      <c r="C1041" s="62">
        <v>16</v>
      </c>
      <c r="D1041" s="62">
        <v>6.7148000000000003</v>
      </c>
      <c r="E1041" s="62">
        <v>297.84769999999997</v>
      </c>
      <c r="F1041" s="62">
        <v>15.268000000000001</v>
      </c>
      <c r="G1041" s="62">
        <v>95.421999999999997</v>
      </c>
      <c r="H1041" s="62">
        <v>107.27</v>
      </c>
    </row>
    <row r="1042" spans="1:8" x14ac:dyDescent="0.15">
      <c r="A1042" s="62" t="s">
        <v>13</v>
      </c>
      <c r="B1042" s="62">
        <v>10000</v>
      </c>
      <c r="C1042" s="62">
        <v>16</v>
      </c>
      <c r="D1042" s="62">
        <v>6.6536999999999997</v>
      </c>
      <c r="E1042" s="62">
        <v>300.5847</v>
      </c>
      <c r="F1042" s="62">
        <v>15.407999999999999</v>
      </c>
      <c r="G1042" s="62">
        <v>96.298900000000003</v>
      </c>
      <c r="H1042" s="62">
        <v>106.3999</v>
      </c>
    </row>
    <row r="1043" spans="1:8" x14ac:dyDescent="0.15">
      <c r="A1043" s="62" t="s">
        <v>13</v>
      </c>
      <c r="B1043" s="62">
        <v>10000</v>
      </c>
      <c r="C1043" s="62">
        <v>16</v>
      </c>
      <c r="D1043" s="62">
        <v>6.7305000000000001</v>
      </c>
      <c r="E1043" s="62">
        <v>297.1549</v>
      </c>
      <c r="F1043" s="62">
        <v>15.231999999999999</v>
      </c>
      <c r="G1043" s="62">
        <v>95.200100000000006</v>
      </c>
      <c r="H1043" s="62">
        <v>107.4902</v>
      </c>
    </row>
    <row r="1044" spans="1:8" x14ac:dyDescent="0.15">
      <c r="A1044" s="62" t="s">
        <v>13</v>
      </c>
      <c r="B1044" s="62">
        <v>10000</v>
      </c>
      <c r="C1044" s="62">
        <v>16</v>
      </c>
      <c r="D1044" s="62">
        <v>6.6509</v>
      </c>
      <c r="E1044" s="62">
        <v>300.71170000000001</v>
      </c>
      <c r="F1044" s="62">
        <v>15.414</v>
      </c>
      <c r="G1044" s="62">
        <v>96.339500000000001</v>
      </c>
      <c r="H1044" s="62">
        <v>106.3599</v>
      </c>
    </row>
    <row r="1045" spans="1:8" x14ac:dyDescent="0.15">
      <c r="A1045" s="62" t="s">
        <v>13</v>
      </c>
      <c r="B1045" s="62">
        <v>10000</v>
      </c>
      <c r="C1045" s="62">
        <v>16</v>
      </c>
      <c r="D1045" s="62">
        <v>6.7125000000000004</v>
      </c>
      <c r="E1045" s="62">
        <v>297.95269999999999</v>
      </c>
      <c r="F1045" s="62">
        <v>15.273</v>
      </c>
      <c r="G1045" s="62">
        <v>95.455600000000004</v>
      </c>
      <c r="H1045" s="62">
        <v>107.1401</v>
      </c>
    </row>
    <row r="1046" spans="1:8" x14ac:dyDescent="0.15">
      <c r="A1046" s="62" t="s">
        <v>13</v>
      </c>
      <c r="B1046" s="62">
        <v>10000</v>
      </c>
      <c r="C1046" s="62">
        <v>16</v>
      </c>
      <c r="D1046" s="62">
        <v>6.7074999999999996</v>
      </c>
      <c r="E1046" s="62">
        <v>298.17450000000002</v>
      </c>
      <c r="F1046" s="62">
        <v>15.284000000000001</v>
      </c>
      <c r="G1046" s="62">
        <v>95.526700000000005</v>
      </c>
      <c r="H1046" s="62">
        <v>107.1396</v>
      </c>
    </row>
    <row r="1047" spans="1:8" x14ac:dyDescent="0.15">
      <c r="A1047" s="62" t="s">
        <v>13</v>
      </c>
      <c r="B1047" s="62">
        <v>10000</v>
      </c>
      <c r="C1047" s="62">
        <v>16</v>
      </c>
      <c r="D1047" s="62">
        <v>6.6505000000000001</v>
      </c>
      <c r="E1047" s="62">
        <v>300.7287</v>
      </c>
      <c r="F1047" s="62">
        <v>15.414999999999999</v>
      </c>
      <c r="G1047" s="62">
        <v>96.344999999999999</v>
      </c>
      <c r="H1047" s="62">
        <v>106.47020000000001</v>
      </c>
    </row>
    <row r="1048" spans="1:8" x14ac:dyDescent="0.15">
      <c r="A1048" s="62" t="s">
        <v>13</v>
      </c>
      <c r="B1048" s="62">
        <v>10000</v>
      </c>
      <c r="C1048" s="62">
        <v>16</v>
      </c>
      <c r="D1048" s="62">
        <v>6.7096999999999998</v>
      </c>
      <c r="E1048" s="62">
        <v>298.07600000000002</v>
      </c>
      <c r="F1048" s="62">
        <v>15.279</v>
      </c>
      <c r="G1048" s="62">
        <v>95.495199999999997</v>
      </c>
      <c r="H1048" s="62">
        <v>107.1802</v>
      </c>
    </row>
    <row r="1049" spans="1:8" x14ac:dyDescent="0.15">
      <c r="A1049" s="62" t="s">
        <v>13</v>
      </c>
      <c r="B1049" s="62">
        <v>10000</v>
      </c>
      <c r="C1049" s="62">
        <v>16</v>
      </c>
      <c r="D1049" s="62">
        <v>6.6486999999999998</v>
      </c>
      <c r="E1049" s="62">
        <v>300.81139999999999</v>
      </c>
      <c r="F1049" s="62">
        <v>15.419</v>
      </c>
      <c r="G1049" s="62">
        <v>96.371499999999997</v>
      </c>
      <c r="H1049" s="62">
        <v>106.3296</v>
      </c>
    </row>
    <row r="1050" spans="1:8" x14ac:dyDescent="0.15">
      <c r="A1050" s="62" t="s">
        <v>13</v>
      </c>
      <c r="B1050" s="62">
        <v>10000</v>
      </c>
      <c r="C1050" s="62">
        <v>16</v>
      </c>
      <c r="D1050" s="62">
        <v>6.7126000000000001</v>
      </c>
      <c r="E1050" s="62">
        <v>297.94709999999998</v>
      </c>
      <c r="F1050" s="62">
        <v>15.273</v>
      </c>
      <c r="G1050" s="62">
        <v>95.453900000000004</v>
      </c>
      <c r="H1050" s="62">
        <v>107.23</v>
      </c>
    </row>
    <row r="1051" spans="1:8" x14ac:dyDescent="0.15">
      <c r="A1051" s="62" t="s">
        <v>13</v>
      </c>
      <c r="B1051" s="62">
        <v>10000</v>
      </c>
      <c r="C1051" s="62">
        <v>16</v>
      </c>
      <c r="D1051" s="62">
        <v>6.6531000000000002</v>
      </c>
      <c r="E1051" s="62">
        <v>300.61160000000001</v>
      </c>
      <c r="F1051" s="62">
        <v>15.409000000000001</v>
      </c>
      <c r="G1051" s="62">
        <v>96.307500000000005</v>
      </c>
      <c r="H1051" s="62">
        <v>106.38039999999999</v>
      </c>
    </row>
    <row r="1052" spans="1:8" x14ac:dyDescent="0.15">
      <c r="A1052" s="62" t="s">
        <v>13</v>
      </c>
      <c r="B1052" s="62">
        <v>10000</v>
      </c>
      <c r="C1052" s="62">
        <v>16</v>
      </c>
      <c r="D1052" s="62">
        <v>6.7356999999999996</v>
      </c>
      <c r="E1052" s="62">
        <v>296.92590000000001</v>
      </c>
      <c r="F1052" s="62">
        <v>15.22</v>
      </c>
      <c r="G1052" s="62">
        <v>95.1267</v>
      </c>
      <c r="H1052" s="62">
        <v>107.5698</v>
      </c>
    </row>
    <row r="1053" spans="1:8" x14ac:dyDescent="0.15">
      <c r="A1053" s="62" t="s">
        <v>13</v>
      </c>
      <c r="B1053" s="62">
        <v>10000</v>
      </c>
      <c r="C1053" s="62">
        <v>16</v>
      </c>
      <c r="D1053" s="62">
        <v>6.6993</v>
      </c>
      <c r="E1053" s="62">
        <v>298.53829999999999</v>
      </c>
      <c r="F1053" s="62">
        <v>15.303000000000001</v>
      </c>
      <c r="G1053" s="62">
        <v>95.643199999999993</v>
      </c>
      <c r="H1053" s="62">
        <v>107.02</v>
      </c>
    </row>
    <row r="1054" spans="1:8" x14ac:dyDescent="0.15">
      <c r="A1054" s="62" t="s">
        <v>13</v>
      </c>
      <c r="B1054" s="62">
        <v>10000</v>
      </c>
      <c r="C1054" s="62">
        <v>16</v>
      </c>
      <c r="D1054" s="62">
        <v>6.6569000000000003</v>
      </c>
      <c r="E1054" s="62">
        <v>300.43799999999999</v>
      </c>
      <c r="F1054" s="62">
        <v>15.4</v>
      </c>
      <c r="G1054" s="62">
        <v>96.251900000000006</v>
      </c>
      <c r="H1054" s="62">
        <v>106.4697</v>
      </c>
    </row>
    <row r="1055" spans="1:8" x14ac:dyDescent="0.15">
      <c r="A1055" s="62" t="s">
        <v>13</v>
      </c>
      <c r="B1055" s="62">
        <v>10000</v>
      </c>
      <c r="C1055" s="62">
        <v>16</v>
      </c>
      <c r="D1055" s="62">
        <v>6.7149999999999999</v>
      </c>
      <c r="E1055" s="62">
        <v>297.84190000000001</v>
      </c>
      <c r="F1055" s="62">
        <v>15.266999999999999</v>
      </c>
      <c r="G1055" s="62">
        <v>95.420100000000005</v>
      </c>
      <c r="H1055" s="62">
        <v>107.2803</v>
      </c>
    </row>
    <row r="1056" spans="1:8" x14ac:dyDescent="0.15">
      <c r="A1056" s="62" t="s">
        <v>13</v>
      </c>
      <c r="B1056" s="62">
        <v>10000</v>
      </c>
      <c r="C1056" s="62">
        <v>16</v>
      </c>
      <c r="D1056" s="62">
        <v>6.6685999999999996</v>
      </c>
      <c r="E1056" s="62">
        <v>299.91390000000001</v>
      </c>
      <c r="F1056" s="62">
        <v>15.372999999999999</v>
      </c>
      <c r="G1056" s="62">
        <v>96.084000000000003</v>
      </c>
      <c r="H1056" s="62">
        <v>106.61960000000001</v>
      </c>
    </row>
    <row r="1057" spans="1:8" x14ac:dyDescent="0.15">
      <c r="A1057" s="62" t="s">
        <v>13</v>
      </c>
      <c r="B1057" s="62">
        <v>10000</v>
      </c>
      <c r="C1057" s="62">
        <v>16</v>
      </c>
      <c r="D1057" s="62">
        <v>6.7175000000000002</v>
      </c>
      <c r="E1057" s="62">
        <v>297.73070000000001</v>
      </c>
      <c r="F1057" s="62">
        <v>15.262</v>
      </c>
      <c r="G1057" s="62">
        <v>95.384500000000003</v>
      </c>
      <c r="H1057" s="62">
        <v>107.2998</v>
      </c>
    </row>
    <row r="1058" spans="1:8" x14ac:dyDescent="0.15">
      <c r="A1058" s="62" t="s">
        <v>13</v>
      </c>
      <c r="B1058" s="62">
        <v>10000</v>
      </c>
      <c r="C1058" s="62">
        <v>16</v>
      </c>
      <c r="D1058" s="62">
        <v>6.7092999999999998</v>
      </c>
      <c r="E1058" s="62">
        <v>298.0942</v>
      </c>
      <c r="F1058" s="62">
        <v>15.28</v>
      </c>
      <c r="G1058" s="62">
        <v>95.501000000000005</v>
      </c>
      <c r="H1058" s="62">
        <v>107.18989999999999</v>
      </c>
    </row>
    <row r="1059" spans="1:8" x14ac:dyDescent="0.15">
      <c r="A1059" s="62" t="s">
        <v>13</v>
      </c>
      <c r="B1059" s="62">
        <v>10000</v>
      </c>
      <c r="C1059" s="62">
        <v>16</v>
      </c>
      <c r="D1059" s="62">
        <v>6.6467999999999998</v>
      </c>
      <c r="E1059" s="62">
        <v>300.8954</v>
      </c>
      <c r="F1059" s="62">
        <v>15.423999999999999</v>
      </c>
      <c r="G1059" s="62">
        <v>96.398399999999995</v>
      </c>
      <c r="H1059" s="62">
        <v>106.30029999999999</v>
      </c>
    </row>
    <row r="1060" spans="1:8" x14ac:dyDescent="0.15">
      <c r="A1060" s="62" t="s">
        <v>13</v>
      </c>
      <c r="B1060" s="62">
        <v>10000</v>
      </c>
      <c r="C1060" s="62">
        <v>16</v>
      </c>
      <c r="D1060" s="62">
        <v>6.7103999999999999</v>
      </c>
      <c r="E1060" s="62">
        <v>298.0462</v>
      </c>
      <c r="F1060" s="62">
        <v>15.278</v>
      </c>
      <c r="G1060" s="62">
        <v>95.485600000000005</v>
      </c>
      <c r="H1060" s="62">
        <v>107.2002</v>
      </c>
    </row>
    <row r="1061" spans="1:8" x14ac:dyDescent="0.15">
      <c r="A1061" s="62" t="s">
        <v>13</v>
      </c>
      <c r="B1061" s="62">
        <v>10000</v>
      </c>
      <c r="C1061" s="62">
        <v>16</v>
      </c>
      <c r="D1061" s="62">
        <v>6.6787000000000001</v>
      </c>
      <c r="E1061" s="62">
        <v>299.45769999999999</v>
      </c>
      <c r="F1061" s="62">
        <v>15.35</v>
      </c>
      <c r="G1061" s="62">
        <v>95.937799999999996</v>
      </c>
      <c r="H1061" s="62">
        <v>106.77930000000001</v>
      </c>
    </row>
    <row r="1062" spans="1:8" x14ac:dyDescent="0.15">
      <c r="A1062" s="62" t="s">
        <v>13</v>
      </c>
      <c r="B1062" s="62">
        <v>10000</v>
      </c>
      <c r="C1062" s="62">
        <v>16</v>
      </c>
      <c r="D1062" s="62">
        <v>6.7130999999999998</v>
      </c>
      <c r="E1062" s="62">
        <v>297.92599999999999</v>
      </c>
      <c r="F1062" s="62">
        <v>15.272</v>
      </c>
      <c r="G1062" s="62">
        <v>95.447100000000006</v>
      </c>
      <c r="H1062" s="62">
        <v>107.2402</v>
      </c>
    </row>
    <row r="1063" spans="1:8" x14ac:dyDescent="0.15">
      <c r="A1063" s="62" t="s">
        <v>13</v>
      </c>
      <c r="B1063" s="62">
        <v>10000</v>
      </c>
      <c r="C1063" s="62">
        <v>16</v>
      </c>
      <c r="D1063" s="62">
        <v>6.6970999999999998</v>
      </c>
      <c r="E1063" s="62">
        <v>298.63580000000002</v>
      </c>
      <c r="F1063" s="62">
        <v>15.308</v>
      </c>
      <c r="G1063" s="62">
        <v>95.674499999999995</v>
      </c>
      <c r="H1063" s="62">
        <v>107.0098</v>
      </c>
    </row>
    <row r="1064" spans="1:8" x14ac:dyDescent="0.15">
      <c r="A1064" s="62" t="s">
        <v>13</v>
      </c>
      <c r="B1064" s="62">
        <v>10000</v>
      </c>
      <c r="C1064" s="62">
        <v>16</v>
      </c>
      <c r="D1064" s="62">
        <v>6.6764000000000001</v>
      </c>
      <c r="E1064" s="62">
        <v>299.56420000000003</v>
      </c>
      <c r="F1064" s="62">
        <v>15.356</v>
      </c>
      <c r="G1064" s="62">
        <v>95.971900000000005</v>
      </c>
      <c r="H1064" s="62">
        <v>106.7402</v>
      </c>
    </row>
    <row r="1065" spans="1:8" x14ac:dyDescent="0.15">
      <c r="A1065" s="62" t="s">
        <v>13</v>
      </c>
      <c r="B1065" s="62">
        <v>10000</v>
      </c>
      <c r="C1065" s="62">
        <v>16</v>
      </c>
      <c r="D1065" s="62">
        <v>6.7046999999999999</v>
      </c>
      <c r="E1065" s="62">
        <v>298.29700000000003</v>
      </c>
      <c r="F1065" s="62">
        <v>15.291</v>
      </c>
      <c r="G1065" s="62">
        <v>95.566000000000003</v>
      </c>
      <c r="H1065" s="62">
        <v>107.1104</v>
      </c>
    </row>
    <row r="1066" spans="1:8" x14ac:dyDescent="0.15">
      <c r="A1066" s="62" t="s">
        <v>13</v>
      </c>
      <c r="B1066" s="62">
        <v>10000</v>
      </c>
      <c r="C1066" s="62">
        <v>16</v>
      </c>
      <c r="D1066" s="62">
        <v>6.6589</v>
      </c>
      <c r="E1066" s="62">
        <v>300.34960000000001</v>
      </c>
      <c r="F1066" s="62">
        <v>15.396000000000001</v>
      </c>
      <c r="G1066" s="62">
        <v>96.223600000000005</v>
      </c>
      <c r="H1066" s="62">
        <v>106.5</v>
      </c>
    </row>
    <row r="1067" spans="1:8" x14ac:dyDescent="0.15">
      <c r="A1067" s="62" t="s">
        <v>13</v>
      </c>
      <c r="B1067" s="62">
        <v>10000</v>
      </c>
      <c r="C1067" s="62">
        <v>16</v>
      </c>
      <c r="D1067" s="62">
        <v>6.7126000000000001</v>
      </c>
      <c r="E1067" s="62">
        <v>297.94619999999998</v>
      </c>
      <c r="F1067" s="62">
        <v>15.273</v>
      </c>
      <c r="G1067" s="62">
        <v>95.453599999999994</v>
      </c>
      <c r="H1067" s="62">
        <v>107.2295</v>
      </c>
    </row>
    <row r="1068" spans="1:8" x14ac:dyDescent="0.15">
      <c r="A1068" s="62" t="s">
        <v>13</v>
      </c>
      <c r="B1068" s="62">
        <v>10000</v>
      </c>
      <c r="C1068" s="62">
        <v>16</v>
      </c>
      <c r="D1068" s="62">
        <v>6.7062999999999997</v>
      </c>
      <c r="E1068" s="62">
        <v>298.22879999999998</v>
      </c>
      <c r="F1068" s="62">
        <v>15.287000000000001</v>
      </c>
      <c r="G1068" s="62">
        <v>95.5441</v>
      </c>
      <c r="H1068" s="62">
        <v>107.14060000000001</v>
      </c>
    </row>
    <row r="1069" spans="1:8" x14ac:dyDescent="0.15">
      <c r="A1069" s="62" t="s">
        <v>13</v>
      </c>
      <c r="B1069" s="62">
        <v>10000</v>
      </c>
      <c r="C1069" s="62">
        <v>16</v>
      </c>
      <c r="D1069" s="62">
        <v>7.7024999999999997</v>
      </c>
      <c r="E1069" s="62">
        <v>259.65750000000003</v>
      </c>
      <c r="F1069" s="62">
        <v>13.31</v>
      </c>
      <c r="G1069" s="62">
        <v>83.186899999999994</v>
      </c>
      <c r="H1069" s="62">
        <v>122.0098</v>
      </c>
    </row>
    <row r="1070" spans="1:8" x14ac:dyDescent="0.15">
      <c r="A1070" s="62" t="s">
        <v>13</v>
      </c>
      <c r="B1070" s="62">
        <v>10000</v>
      </c>
      <c r="C1070" s="62">
        <v>16</v>
      </c>
      <c r="D1070" s="62">
        <v>12.332100000000001</v>
      </c>
      <c r="E1070" s="62">
        <v>162.17869999999999</v>
      </c>
      <c r="F1070" s="62">
        <v>8.3130000000000006</v>
      </c>
      <c r="G1070" s="62">
        <v>51.957500000000003</v>
      </c>
      <c r="H1070" s="62">
        <v>188.12989999999999</v>
      </c>
    </row>
    <row r="1071" spans="1:8" x14ac:dyDescent="0.15">
      <c r="A1071" s="62" t="s">
        <v>13</v>
      </c>
      <c r="B1071" s="62">
        <v>10000</v>
      </c>
      <c r="C1071" s="62">
        <v>16</v>
      </c>
      <c r="D1071" s="62">
        <v>10.29</v>
      </c>
      <c r="E1071" s="62">
        <v>194.3629</v>
      </c>
      <c r="F1071" s="62">
        <v>9.9629999999999992</v>
      </c>
      <c r="G1071" s="62">
        <v>62.2684</v>
      </c>
      <c r="H1071" s="62">
        <v>157.49019999999999</v>
      </c>
    </row>
    <row r="1072" spans="1:8" x14ac:dyDescent="0.15">
      <c r="A1072" s="62" t="s">
        <v>13</v>
      </c>
      <c r="B1072" s="62">
        <v>10000</v>
      </c>
      <c r="C1072" s="62">
        <v>16</v>
      </c>
      <c r="D1072" s="62">
        <v>6.7262000000000004</v>
      </c>
      <c r="E1072" s="62">
        <v>297.34390000000002</v>
      </c>
      <c r="F1072" s="62">
        <v>15.242000000000001</v>
      </c>
      <c r="G1072" s="62">
        <v>95.260599999999997</v>
      </c>
      <c r="H1072" s="62">
        <v>107.4297</v>
      </c>
    </row>
    <row r="1073" spans="1:8" x14ac:dyDescent="0.15">
      <c r="A1073" s="62" t="s">
        <v>13</v>
      </c>
      <c r="B1073" s="62">
        <v>10000</v>
      </c>
      <c r="C1073" s="62">
        <v>16</v>
      </c>
      <c r="D1073" s="62">
        <v>6.6614000000000004</v>
      </c>
      <c r="E1073" s="62">
        <v>300.23719999999997</v>
      </c>
      <c r="F1073" s="62">
        <v>15.39</v>
      </c>
      <c r="G1073" s="62">
        <v>96.1875</v>
      </c>
      <c r="H1073" s="62">
        <v>106.54</v>
      </c>
    </row>
    <row r="1074" spans="1:8" x14ac:dyDescent="0.15">
      <c r="A1074" s="62" t="s">
        <v>13</v>
      </c>
      <c r="B1074" s="62">
        <v>10000</v>
      </c>
      <c r="C1074" s="62">
        <v>16</v>
      </c>
      <c r="D1074" s="62">
        <v>6.7089999999999996</v>
      </c>
      <c r="E1074" s="62">
        <v>298.10849999999999</v>
      </c>
      <c r="F1074" s="62">
        <v>15.281000000000001</v>
      </c>
      <c r="G1074" s="62">
        <v>95.505600000000001</v>
      </c>
      <c r="H1074" s="62">
        <v>107.1699</v>
      </c>
    </row>
    <row r="1075" spans="1:8" x14ac:dyDescent="0.15">
      <c r="A1075" s="62" t="s">
        <v>13</v>
      </c>
      <c r="B1075" s="62">
        <v>10000</v>
      </c>
      <c r="C1075" s="62">
        <v>16</v>
      </c>
      <c r="D1075" s="62">
        <v>6.6611000000000002</v>
      </c>
      <c r="E1075" s="62">
        <v>300.25220000000002</v>
      </c>
      <c r="F1075" s="62">
        <v>15.391</v>
      </c>
      <c r="G1075" s="62">
        <v>96.192400000000006</v>
      </c>
      <c r="H1075" s="62">
        <v>106.5303</v>
      </c>
    </row>
    <row r="1076" spans="1:8" x14ac:dyDescent="0.15">
      <c r="A1076" s="62" t="s">
        <v>13</v>
      </c>
      <c r="B1076" s="62">
        <v>10000</v>
      </c>
      <c r="C1076" s="62">
        <v>16</v>
      </c>
      <c r="D1076" s="62">
        <v>6.7298999999999998</v>
      </c>
      <c r="E1076" s="62">
        <v>297.18290000000002</v>
      </c>
      <c r="F1076" s="62">
        <v>15.233000000000001</v>
      </c>
      <c r="G1076" s="62">
        <v>95.209000000000003</v>
      </c>
      <c r="H1076" s="62">
        <v>107.4697</v>
      </c>
    </row>
    <row r="1077" spans="1:8" x14ac:dyDescent="0.15">
      <c r="A1077" s="62" t="s">
        <v>13</v>
      </c>
      <c r="B1077" s="62">
        <v>10000</v>
      </c>
      <c r="C1077" s="62">
        <v>16</v>
      </c>
      <c r="D1077" s="62">
        <v>6.6454000000000004</v>
      </c>
      <c r="E1077" s="62">
        <v>300.96069999999997</v>
      </c>
      <c r="F1077" s="62">
        <v>15.427</v>
      </c>
      <c r="G1077" s="62">
        <v>96.419300000000007</v>
      </c>
      <c r="H1077" s="62">
        <v>106.2705</v>
      </c>
    </row>
    <row r="1078" spans="1:8" x14ac:dyDescent="0.15">
      <c r="A1078" s="62" t="s">
        <v>13</v>
      </c>
      <c r="B1078" s="62">
        <v>10000</v>
      </c>
      <c r="C1078" s="62">
        <v>16</v>
      </c>
      <c r="D1078" s="62">
        <v>6.7157</v>
      </c>
      <c r="E1078" s="62">
        <v>297.80880000000002</v>
      </c>
      <c r="F1078" s="62">
        <v>15.266</v>
      </c>
      <c r="G1078" s="62">
        <v>95.409599999999998</v>
      </c>
      <c r="H1078" s="62">
        <v>107.2402</v>
      </c>
    </row>
    <row r="1079" spans="1:8" x14ac:dyDescent="0.15">
      <c r="A1079" s="62" t="s">
        <v>13</v>
      </c>
      <c r="B1079" s="62">
        <v>10000</v>
      </c>
      <c r="C1079" s="62">
        <v>16</v>
      </c>
      <c r="D1079" s="62">
        <v>6.6455000000000002</v>
      </c>
      <c r="E1079" s="62">
        <v>300.95600000000002</v>
      </c>
      <c r="F1079" s="62">
        <v>15.427</v>
      </c>
      <c r="G1079" s="62">
        <v>96.4178</v>
      </c>
      <c r="H1079" s="62">
        <v>106.21</v>
      </c>
    </row>
    <row r="1080" spans="1:8" x14ac:dyDescent="0.15">
      <c r="A1080" s="62" t="s">
        <v>13</v>
      </c>
      <c r="B1080" s="62">
        <v>10000</v>
      </c>
      <c r="C1080" s="62">
        <v>16</v>
      </c>
      <c r="D1080" s="62">
        <v>6.7093999999999996</v>
      </c>
      <c r="E1080" s="62">
        <v>298.0899</v>
      </c>
      <c r="F1080" s="62">
        <v>15.28</v>
      </c>
      <c r="G1080" s="62">
        <v>95.499600000000001</v>
      </c>
      <c r="H1080" s="62">
        <v>107.1992</v>
      </c>
    </row>
    <row r="1081" spans="1:8" x14ac:dyDescent="0.15">
      <c r="A1081" s="62" t="s">
        <v>13</v>
      </c>
      <c r="B1081" s="62">
        <v>10000</v>
      </c>
      <c r="C1081" s="62">
        <v>16</v>
      </c>
      <c r="D1081" s="62">
        <v>6.6463000000000001</v>
      </c>
      <c r="E1081" s="62">
        <v>300.92110000000002</v>
      </c>
      <c r="F1081" s="62">
        <v>15.425000000000001</v>
      </c>
      <c r="G1081" s="62">
        <v>96.406599999999997</v>
      </c>
      <c r="H1081" s="62">
        <v>106.39060000000001</v>
      </c>
    </row>
    <row r="1082" spans="1:8" x14ac:dyDescent="0.15">
      <c r="A1082" s="62" t="s">
        <v>13</v>
      </c>
      <c r="B1082" s="62">
        <v>10000</v>
      </c>
      <c r="C1082" s="62">
        <v>16</v>
      </c>
      <c r="D1082" s="62">
        <v>6.7125000000000004</v>
      </c>
      <c r="E1082" s="62">
        <v>297.9513</v>
      </c>
      <c r="F1082" s="62">
        <v>15.273</v>
      </c>
      <c r="G1082" s="62">
        <v>95.455200000000005</v>
      </c>
      <c r="H1082" s="62">
        <v>107.25</v>
      </c>
    </row>
    <row r="1083" spans="1:8" x14ac:dyDescent="0.15">
      <c r="A1083" s="62" t="s">
        <v>13</v>
      </c>
      <c r="B1083" s="62">
        <v>10000</v>
      </c>
      <c r="C1083" s="62">
        <v>16</v>
      </c>
      <c r="D1083" s="62">
        <v>6.7184999999999997</v>
      </c>
      <c r="E1083" s="62">
        <v>297.68740000000003</v>
      </c>
      <c r="F1083" s="62">
        <v>15.259</v>
      </c>
      <c r="G1083" s="62">
        <v>95.370599999999996</v>
      </c>
      <c r="H1083" s="62">
        <v>107.3193</v>
      </c>
    </row>
    <row r="1084" spans="1:8" x14ac:dyDescent="0.15">
      <c r="A1084" s="62" t="s">
        <v>13</v>
      </c>
      <c r="B1084" s="62">
        <v>10000</v>
      </c>
      <c r="C1084" s="62">
        <v>16</v>
      </c>
      <c r="D1084" s="62">
        <v>6.6463000000000001</v>
      </c>
      <c r="E1084" s="62">
        <v>300.91969999999998</v>
      </c>
      <c r="F1084" s="62">
        <v>15.425000000000001</v>
      </c>
      <c r="G1084" s="62">
        <v>96.406199999999998</v>
      </c>
      <c r="H1084" s="62">
        <v>106.29</v>
      </c>
    </row>
    <row r="1085" spans="1:8" x14ac:dyDescent="0.15">
      <c r="A1085" s="62" t="s">
        <v>13</v>
      </c>
      <c r="B1085" s="62">
        <v>10000</v>
      </c>
      <c r="C1085" s="62">
        <v>16</v>
      </c>
      <c r="D1085" s="62">
        <v>6.7347000000000001</v>
      </c>
      <c r="E1085" s="62">
        <v>296.96730000000002</v>
      </c>
      <c r="F1085" s="62">
        <v>15.222</v>
      </c>
      <c r="G1085" s="62">
        <v>95.14</v>
      </c>
      <c r="H1085" s="62">
        <v>107.5508</v>
      </c>
    </row>
    <row r="1086" spans="1:8" x14ac:dyDescent="0.15">
      <c r="A1086" s="62" t="s">
        <v>13</v>
      </c>
      <c r="B1086" s="62">
        <v>10000</v>
      </c>
      <c r="C1086" s="62">
        <v>16</v>
      </c>
      <c r="D1086" s="62">
        <v>6.6542000000000003</v>
      </c>
      <c r="E1086" s="62">
        <v>300.56099999999998</v>
      </c>
      <c r="F1086" s="62">
        <v>15.407</v>
      </c>
      <c r="G1086" s="62">
        <v>96.291300000000007</v>
      </c>
      <c r="H1086" s="62">
        <v>106.4297</v>
      </c>
    </row>
    <row r="1087" spans="1:8" x14ac:dyDescent="0.15">
      <c r="A1087" s="62" t="s">
        <v>13</v>
      </c>
      <c r="B1087" s="62">
        <v>10000</v>
      </c>
      <c r="C1087" s="62">
        <v>16</v>
      </c>
      <c r="D1087" s="62">
        <v>6.7110000000000003</v>
      </c>
      <c r="E1087" s="62">
        <v>298.01609999999999</v>
      </c>
      <c r="F1087" s="62">
        <v>15.276</v>
      </c>
      <c r="G1087" s="62">
        <v>95.475999999999999</v>
      </c>
      <c r="H1087" s="62">
        <v>107.2002</v>
      </c>
    </row>
    <row r="1088" spans="1:8" x14ac:dyDescent="0.15">
      <c r="A1088" s="62" t="s">
        <v>13</v>
      </c>
      <c r="B1088" s="62">
        <v>10000</v>
      </c>
      <c r="C1088" s="62">
        <v>16</v>
      </c>
      <c r="D1088" s="62">
        <v>6.9353999999999996</v>
      </c>
      <c r="E1088" s="62">
        <v>288.3768</v>
      </c>
      <c r="F1088" s="62">
        <v>14.782</v>
      </c>
      <c r="G1088" s="62">
        <v>92.387799999999999</v>
      </c>
      <c r="H1088" s="62">
        <v>110.4199</v>
      </c>
    </row>
    <row r="1089" spans="1:8" x14ac:dyDescent="0.15">
      <c r="A1089" s="62" t="s">
        <v>13</v>
      </c>
      <c r="B1089" s="62">
        <v>10000</v>
      </c>
      <c r="C1089" s="62">
        <v>16</v>
      </c>
      <c r="D1089" s="62">
        <v>6.7455999999999996</v>
      </c>
      <c r="E1089" s="62">
        <v>296.49009999999998</v>
      </c>
      <c r="F1089" s="62">
        <v>15.198</v>
      </c>
      <c r="G1089" s="62">
        <v>94.987099999999998</v>
      </c>
      <c r="H1089" s="62">
        <v>107.7002</v>
      </c>
    </row>
    <row r="1090" spans="1:8" x14ac:dyDescent="0.15">
      <c r="A1090" s="62" t="s">
        <v>13</v>
      </c>
      <c r="B1090" s="62">
        <v>10000</v>
      </c>
      <c r="C1090" s="62">
        <v>16</v>
      </c>
      <c r="D1090" s="62">
        <v>6.7023000000000001</v>
      </c>
      <c r="E1090" s="62">
        <v>298.40390000000002</v>
      </c>
      <c r="F1090" s="62">
        <v>15.295999999999999</v>
      </c>
      <c r="G1090" s="62">
        <v>95.600200000000001</v>
      </c>
      <c r="H1090" s="62">
        <v>107.0801</v>
      </c>
    </row>
    <row r="1091" spans="1:8" x14ac:dyDescent="0.15">
      <c r="A1091" s="62" t="s">
        <v>13</v>
      </c>
      <c r="B1091" s="62">
        <v>10005</v>
      </c>
      <c r="C1091" s="62">
        <v>1</v>
      </c>
      <c r="D1091" s="62">
        <v>102.98180000000001</v>
      </c>
      <c r="E1091" s="62">
        <v>19.450099999999999</v>
      </c>
      <c r="F1091" s="62">
        <v>1</v>
      </c>
      <c r="G1091" s="62">
        <v>100</v>
      </c>
      <c r="H1091" s="62">
        <v>106.36</v>
      </c>
    </row>
    <row r="1092" spans="1:8" x14ac:dyDescent="0.15">
      <c r="A1092" s="62" t="s">
        <v>13</v>
      </c>
      <c r="B1092" s="62">
        <v>10005</v>
      </c>
      <c r="C1092" s="62">
        <v>1</v>
      </c>
      <c r="D1092" s="62">
        <v>102.3647</v>
      </c>
      <c r="E1092" s="62">
        <v>19.567299999999999</v>
      </c>
      <c r="F1092" s="62">
        <v>1.006</v>
      </c>
      <c r="G1092" s="62">
        <v>100.6028</v>
      </c>
      <c r="H1092" s="62">
        <v>102.4</v>
      </c>
    </row>
    <row r="1093" spans="1:8" x14ac:dyDescent="0.15">
      <c r="A1093" s="62" t="s">
        <v>13</v>
      </c>
      <c r="B1093" s="62">
        <v>10005</v>
      </c>
      <c r="C1093" s="62">
        <v>1</v>
      </c>
      <c r="D1093" s="62">
        <v>102.3644</v>
      </c>
      <c r="E1093" s="62">
        <v>19.567399999999999</v>
      </c>
      <c r="F1093" s="62">
        <v>1.006</v>
      </c>
      <c r="G1093" s="62">
        <v>100.6031</v>
      </c>
      <c r="H1093" s="62">
        <v>102.42</v>
      </c>
    </row>
    <row r="1094" spans="1:8" x14ac:dyDescent="0.15">
      <c r="A1094" s="62" t="s">
        <v>13</v>
      </c>
      <c r="B1094" s="62">
        <v>10005</v>
      </c>
      <c r="C1094" s="62">
        <v>1</v>
      </c>
      <c r="D1094" s="62">
        <v>102.3648</v>
      </c>
      <c r="E1094" s="62">
        <v>19.567299999999999</v>
      </c>
      <c r="F1094" s="62">
        <v>1.006</v>
      </c>
      <c r="G1094" s="62">
        <v>100.6028</v>
      </c>
      <c r="H1094" s="62">
        <v>102.41</v>
      </c>
    </row>
    <row r="1095" spans="1:8" x14ac:dyDescent="0.15">
      <c r="A1095" s="62" t="s">
        <v>13</v>
      </c>
      <c r="B1095" s="62">
        <v>10005</v>
      </c>
      <c r="C1095" s="62">
        <v>1</v>
      </c>
      <c r="D1095" s="62">
        <v>102.3656</v>
      </c>
      <c r="E1095" s="62">
        <v>19.5671</v>
      </c>
      <c r="F1095" s="62">
        <v>1.006</v>
      </c>
      <c r="G1095" s="62">
        <v>100.6019</v>
      </c>
      <c r="H1095" s="62">
        <v>102.41</v>
      </c>
    </row>
    <row r="1096" spans="1:8" x14ac:dyDescent="0.15">
      <c r="A1096" s="62" t="s">
        <v>13</v>
      </c>
      <c r="B1096" s="62">
        <v>10005</v>
      </c>
      <c r="C1096" s="62">
        <v>1</v>
      </c>
      <c r="D1096" s="62">
        <v>102.364</v>
      </c>
      <c r="E1096" s="62">
        <v>19.567399999999999</v>
      </c>
      <c r="F1096" s="62">
        <v>1.006</v>
      </c>
      <c r="G1096" s="62">
        <v>100.6035</v>
      </c>
      <c r="H1096" s="62">
        <v>102.41</v>
      </c>
    </row>
    <row r="1097" spans="1:8" x14ac:dyDescent="0.15">
      <c r="A1097" s="62" t="s">
        <v>13</v>
      </c>
      <c r="B1097" s="62">
        <v>10005</v>
      </c>
      <c r="C1097" s="62">
        <v>15</v>
      </c>
      <c r="D1097" s="62">
        <v>7.5279999999999996</v>
      </c>
      <c r="E1097" s="62">
        <v>266.07420000000002</v>
      </c>
      <c r="F1097" s="62">
        <v>13.68</v>
      </c>
      <c r="G1097" s="62">
        <v>91.199100000000001</v>
      </c>
      <c r="H1097" s="62">
        <v>105.76</v>
      </c>
    </row>
    <row r="1098" spans="1:8" x14ac:dyDescent="0.15">
      <c r="A1098" s="62" t="s">
        <v>13</v>
      </c>
      <c r="B1098" s="62">
        <v>10005</v>
      </c>
      <c r="C1098" s="62">
        <v>15</v>
      </c>
      <c r="D1098" s="62">
        <v>7.5805999999999996</v>
      </c>
      <c r="E1098" s="62">
        <v>264.22770000000003</v>
      </c>
      <c r="F1098" s="62">
        <v>13.585000000000001</v>
      </c>
      <c r="G1098" s="62">
        <v>90.566199999999995</v>
      </c>
      <c r="H1098" s="62">
        <v>106.34</v>
      </c>
    </row>
    <row r="1099" spans="1:8" x14ac:dyDescent="0.15">
      <c r="A1099" s="62" t="s">
        <v>13</v>
      </c>
      <c r="B1099" s="62">
        <v>10005</v>
      </c>
      <c r="C1099" s="62">
        <v>15</v>
      </c>
      <c r="D1099" s="62">
        <v>7.6817000000000002</v>
      </c>
      <c r="E1099" s="62">
        <v>260.74869999999999</v>
      </c>
      <c r="F1099" s="62">
        <v>13.406000000000001</v>
      </c>
      <c r="G1099" s="62">
        <v>89.373800000000003</v>
      </c>
      <c r="H1099" s="62">
        <v>107.73</v>
      </c>
    </row>
    <row r="1100" spans="1:8" x14ac:dyDescent="0.15">
      <c r="A1100" s="62" t="s">
        <v>13</v>
      </c>
      <c r="B1100" s="62">
        <v>10005</v>
      </c>
      <c r="C1100" s="62">
        <v>15</v>
      </c>
      <c r="D1100" s="62">
        <v>7.633</v>
      </c>
      <c r="E1100" s="62">
        <v>262.41390000000001</v>
      </c>
      <c r="F1100" s="62">
        <v>13.492000000000001</v>
      </c>
      <c r="G1100" s="62">
        <v>89.944500000000005</v>
      </c>
      <c r="H1100" s="62">
        <v>107.2</v>
      </c>
    </row>
    <row r="1101" spans="1:8" x14ac:dyDescent="0.15">
      <c r="A1101" s="62" t="s">
        <v>13</v>
      </c>
      <c r="B1101" s="62">
        <v>10005</v>
      </c>
      <c r="C1101" s="62">
        <v>15</v>
      </c>
      <c r="D1101" s="62">
        <v>7.5275999999999996</v>
      </c>
      <c r="E1101" s="62">
        <v>266.08940000000001</v>
      </c>
      <c r="F1101" s="62">
        <v>13.680999999999999</v>
      </c>
      <c r="G1101" s="62">
        <v>91.204300000000003</v>
      </c>
      <c r="H1101" s="62">
        <v>105.74</v>
      </c>
    </row>
    <row r="1102" spans="1:8" x14ac:dyDescent="0.15">
      <c r="A1102" s="62" t="s">
        <v>13</v>
      </c>
      <c r="B1102" s="62">
        <v>10005</v>
      </c>
      <c r="C1102" s="62">
        <v>15</v>
      </c>
      <c r="D1102" s="62">
        <v>7.5174000000000003</v>
      </c>
      <c r="E1102" s="62">
        <v>266.45030000000003</v>
      </c>
      <c r="F1102" s="62">
        <v>13.699</v>
      </c>
      <c r="G1102" s="62">
        <v>91.328000000000003</v>
      </c>
      <c r="H1102" s="62">
        <v>105.48</v>
      </c>
    </row>
    <row r="1103" spans="1:8" x14ac:dyDescent="0.15">
      <c r="A1103" s="62" t="s">
        <v>13</v>
      </c>
      <c r="B1103" s="62">
        <v>10005</v>
      </c>
      <c r="C1103" s="62">
        <v>15</v>
      </c>
      <c r="D1103" s="62">
        <v>7.5185000000000004</v>
      </c>
      <c r="E1103" s="62">
        <v>266.40839999999997</v>
      </c>
      <c r="F1103" s="62">
        <v>13.696999999999999</v>
      </c>
      <c r="G1103" s="62">
        <v>91.313699999999997</v>
      </c>
      <c r="H1103" s="62">
        <v>105.59010000000001</v>
      </c>
    </row>
    <row r="1104" spans="1:8" x14ac:dyDescent="0.15">
      <c r="A1104" s="62" t="s">
        <v>13</v>
      </c>
      <c r="B1104" s="62">
        <v>10005</v>
      </c>
      <c r="C1104" s="62">
        <v>15</v>
      </c>
      <c r="D1104" s="62">
        <v>7.5179</v>
      </c>
      <c r="E1104" s="62">
        <v>266.43209999999999</v>
      </c>
      <c r="F1104" s="62">
        <v>13.698</v>
      </c>
      <c r="G1104" s="62">
        <v>91.321799999999996</v>
      </c>
      <c r="H1104" s="62">
        <v>105.6699</v>
      </c>
    </row>
    <row r="1105" spans="1:8" x14ac:dyDescent="0.15">
      <c r="A1105" s="62" t="s">
        <v>13</v>
      </c>
      <c r="B1105" s="62">
        <v>10005</v>
      </c>
      <c r="C1105" s="62">
        <v>15</v>
      </c>
      <c r="D1105" s="62">
        <v>7.5175000000000001</v>
      </c>
      <c r="E1105" s="62">
        <v>266.4436</v>
      </c>
      <c r="F1105" s="62">
        <v>13.699</v>
      </c>
      <c r="G1105" s="62">
        <v>91.325699999999998</v>
      </c>
      <c r="H1105" s="62">
        <v>105.53</v>
      </c>
    </row>
    <row r="1106" spans="1:8" x14ac:dyDescent="0.15">
      <c r="A1106" s="62" t="s">
        <v>13</v>
      </c>
      <c r="B1106" s="62">
        <v>10005</v>
      </c>
      <c r="C1106" s="62">
        <v>15</v>
      </c>
      <c r="D1106" s="62">
        <v>7.5136000000000003</v>
      </c>
      <c r="E1106" s="62">
        <v>266.58229999999998</v>
      </c>
      <c r="F1106" s="62">
        <v>13.706</v>
      </c>
      <c r="G1106" s="62">
        <v>91.3733</v>
      </c>
      <c r="H1106" s="62">
        <v>105.56010000000001</v>
      </c>
    </row>
    <row r="1107" spans="1:8" x14ac:dyDescent="0.15">
      <c r="A1107" s="62" t="s">
        <v>13</v>
      </c>
      <c r="B1107" s="62">
        <v>10005</v>
      </c>
      <c r="C1107" s="62">
        <v>15</v>
      </c>
      <c r="D1107" s="62">
        <v>7.5198</v>
      </c>
      <c r="E1107" s="62">
        <v>266.36410000000001</v>
      </c>
      <c r="F1107" s="62">
        <v>13.695</v>
      </c>
      <c r="G1107" s="62">
        <v>91.298500000000004</v>
      </c>
      <c r="H1107" s="62">
        <v>105.54</v>
      </c>
    </row>
    <row r="1108" spans="1:8" x14ac:dyDescent="0.15">
      <c r="A1108" s="62" t="s">
        <v>13</v>
      </c>
      <c r="B1108" s="62">
        <v>10005</v>
      </c>
      <c r="C1108" s="62">
        <v>15</v>
      </c>
      <c r="D1108" s="62">
        <v>7.5679999999999996</v>
      </c>
      <c r="E1108" s="62">
        <v>264.66579999999999</v>
      </c>
      <c r="F1108" s="62">
        <v>13.606999999999999</v>
      </c>
      <c r="G1108" s="62">
        <v>90.716399999999993</v>
      </c>
      <c r="H1108" s="62">
        <v>106.25</v>
      </c>
    </row>
    <row r="1109" spans="1:8" x14ac:dyDescent="0.15">
      <c r="A1109" s="62" t="s">
        <v>13</v>
      </c>
      <c r="B1109" s="62">
        <v>10005</v>
      </c>
      <c r="C1109" s="62">
        <v>15</v>
      </c>
      <c r="D1109" s="62">
        <v>7.6231999999999998</v>
      </c>
      <c r="E1109" s="62">
        <v>262.74979999999999</v>
      </c>
      <c r="F1109" s="62">
        <v>13.509</v>
      </c>
      <c r="G1109" s="62">
        <v>90.059700000000007</v>
      </c>
      <c r="H1109" s="62">
        <v>107.03</v>
      </c>
    </row>
    <row r="1110" spans="1:8" x14ac:dyDescent="0.15">
      <c r="A1110" s="62" t="s">
        <v>13</v>
      </c>
      <c r="B1110" s="62">
        <v>10005</v>
      </c>
      <c r="C1110" s="62">
        <v>15</v>
      </c>
      <c r="D1110" s="62">
        <v>7.6200999999999999</v>
      </c>
      <c r="E1110" s="62">
        <v>262.85759999999999</v>
      </c>
      <c r="F1110" s="62">
        <v>13.513999999999999</v>
      </c>
      <c r="G1110" s="62">
        <v>90.096599999999995</v>
      </c>
      <c r="H1110" s="62">
        <v>106.9601</v>
      </c>
    </row>
    <row r="1111" spans="1:8" x14ac:dyDescent="0.15">
      <c r="A1111" s="62" t="s">
        <v>13</v>
      </c>
      <c r="B1111" s="62">
        <v>10005</v>
      </c>
      <c r="C1111" s="62">
        <v>15</v>
      </c>
      <c r="D1111" s="62">
        <v>7.6218000000000004</v>
      </c>
      <c r="E1111" s="62">
        <v>262.79880000000003</v>
      </c>
      <c r="F1111" s="62">
        <v>13.510999999999999</v>
      </c>
      <c r="G1111" s="62">
        <v>90.076400000000007</v>
      </c>
      <c r="H1111" s="62">
        <v>106.8899</v>
      </c>
    </row>
    <row r="1112" spans="1:8" x14ac:dyDescent="0.15">
      <c r="A1112" s="62" t="s">
        <v>13</v>
      </c>
      <c r="B1112" s="62">
        <v>10005</v>
      </c>
      <c r="C1112" s="62">
        <v>15</v>
      </c>
      <c r="D1112" s="62">
        <v>7.6266999999999996</v>
      </c>
      <c r="E1112" s="62">
        <v>262.63060000000002</v>
      </c>
      <c r="F1112" s="62">
        <v>13.503</v>
      </c>
      <c r="G1112" s="62">
        <v>90.018799999999999</v>
      </c>
      <c r="H1112" s="62">
        <v>107.09010000000001</v>
      </c>
    </row>
    <row r="1113" spans="1:8" x14ac:dyDescent="0.15">
      <c r="A1113" s="62" t="s">
        <v>13</v>
      </c>
      <c r="B1113" s="62">
        <v>10005</v>
      </c>
      <c r="C1113" s="62">
        <v>15</v>
      </c>
      <c r="D1113" s="62">
        <v>7.6204000000000001</v>
      </c>
      <c r="E1113" s="62">
        <v>262.84800000000001</v>
      </c>
      <c r="F1113" s="62">
        <v>13.513999999999999</v>
      </c>
      <c r="G1113" s="62">
        <v>90.093299999999999</v>
      </c>
      <c r="H1113" s="62">
        <v>106.90989999999999</v>
      </c>
    </row>
    <row r="1114" spans="1:8" x14ac:dyDescent="0.15">
      <c r="A1114" s="62" t="s">
        <v>13</v>
      </c>
      <c r="B1114" s="62">
        <v>10005</v>
      </c>
      <c r="C1114" s="62">
        <v>15</v>
      </c>
      <c r="D1114" s="62">
        <v>7.6487999999999996</v>
      </c>
      <c r="E1114" s="62">
        <v>261.86959999999999</v>
      </c>
      <c r="F1114" s="62">
        <v>13.464</v>
      </c>
      <c r="G1114" s="62">
        <v>89.757999999999996</v>
      </c>
      <c r="H1114" s="62">
        <v>107.29</v>
      </c>
    </row>
    <row r="1115" spans="1:8" x14ac:dyDescent="0.15">
      <c r="A1115" s="62" t="s">
        <v>13</v>
      </c>
      <c r="B1115" s="62">
        <v>10005</v>
      </c>
      <c r="C1115" s="62">
        <v>15</v>
      </c>
      <c r="D1115" s="62">
        <v>7.6425000000000001</v>
      </c>
      <c r="E1115" s="62">
        <v>262.08600000000001</v>
      </c>
      <c r="F1115" s="62">
        <v>13.475</v>
      </c>
      <c r="G1115" s="62">
        <v>89.832099999999997</v>
      </c>
      <c r="H1115" s="62">
        <v>107.3</v>
      </c>
    </row>
    <row r="1116" spans="1:8" x14ac:dyDescent="0.15">
      <c r="A1116" s="62" t="s">
        <v>13</v>
      </c>
      <c r="B1116" s="62">
        <v>10005</v>
      </c>
      <c r="C1116" s="62">
        <v>15</v>
      </c>
      <c r="D1116" s="62">
        <v>7.6219999999999999</v>
      </c>
      <c r="E1116" s="62">
        <v>262.79379999999998</v>
      </c>
      <c r="F1116" s="62">
        <v>13.510999999999999</v>
      </c>
      <c r="G1116" s="62">
        <v>90.074700000000007</v>
      </c>
      <c r="H1116" s="62">
        <v>107.02</v>
      </c>
    </row>
    <row r="1117" spans="1:8" x14ac:dyDescent="0.15">
      <c r="A1117" s="62" t="s">
        <v>13</v>
      </c>
      <c r="B1117" s="62">
        <v>10005</v>
      </c>
      <c r="C1117" s="62">
        <v>15</v>
      </c>
      <c r="D1117" s="62">
        <v>7.6271000000000004</v>
      </c>
      <c r="E1117" s="62">
        <v>262.61700000000002</v>
      </c>
      <c r="F1117" s="62">
        <v>13.502000000000001</v>
      </c>
      <c r="G1117" s="62">
        <v>90.014099999999999</v>
      </c>
      <c r="H1117" s="62">
        <v>107.0698</v>
      </c>
    </row>
    <row r="1118" spans="1:8" x14ac:dyDescent="0.15">
      <c r="A1118" s="62" t="s">
        <v>13</v>
      </c>
      <c r="B1118" s="62">
        <v>10005</v>
      </c>
      <c r="C1118" s="62">
        <v>15</v>
      </c>
      <c r="D1118" s="62">
        <v>7.6228999999999996</v>
      </c>
      <c r="E1118" s="62">
        <v>262.76240000000001</v>
      </c>
      <c r="F1118" s="62">
        <v>13.51</v>
      </c>
      <c r="G1118" s="62">
        <v>90.063999999999993</v>
      </c>
      <c r="H1118" s="62">
        <v>107</v>
      </c>
    </row>
    <row r="1119" spans="1:8" x14ac:dyDescent="0.15">
      <c r="A1119" s="62" t="s">
        <v>13</v>
      </c>
      <c r="B1119" s="62">
        <v>10005</v>
      </c>
      <c r="C1119" s="62">
        <v>15</v>
      </c>
      <c r="D1119" s="62">
        <v>7.5557999999999996</v>
      </c>
      <c r="E1119" s="62">
        <v>265.0958</v>
      </c>
      <c r="F1119" s="62">
        <v>13.63</v>
      </c>
      <c r="G1119" s="62">
        <v>90.863799999999998</v>
      </c>
      <c r="H1119" s="62">
        <v>106.0701</v>
      </c>
    </row>
    <row r="1120" spans="1:8" x14ac:dyDescent="0.15">
      <c r="A1120" s="62" t="s">
        <v>13</v>
      </c>
      <c r="B1120" s="62">
        <v>10005</v>
      </c>
      <c r="C1120" s="62">
        <v>15</v>
      </c>
      <c r="D1120" s="62">
        <v>7.5194000000000001</v>
      </c>
      <c r="E1120" s="62">
        <v>266.3766</v>
      </c>
      <c r="F1120" s="62">
        <v>13.695</v>
      </c>
      <c r="G1120" s="62">
        <v>91.302800000000005</v>
      </c>
      <c r="H1120" s="62">
        <v>105.62990000000001</v>
      </c>
    </row>
    <row r="1121" spans="1:8" x14ac:dyDescent="0.15">
      <c r="A1121" s="62" t="s">
        <v>13</v>
      </c>
      <c r="B1121" s="62">
        <v>10005</v>
      </c>
      <c r="C1121" s="62">
        <v>15</v>
      </c>
      <c r="D1121" s="62">
        <v>7.5179999999999998</v>
      </c>
      <c r="E1121" s="62">
        <v>266.42759999999998</v>
      </c>
      <c r="F1121" s="62">
        <v>13.698</v>
      </c>
      <c r="G1121" s="62">
        <v>91.3202</v>
      </c>
      <c r="H1121" s="62">
        <v>105.51</v>
      </c>
    </row>
    <row r="1122" spans="1:8" x14ac:dyDescent="0.15">
      <c r="A1122" s="62" t="s">
        <v>13</v>
      </c>
      <c r="B1122" s="62">
        <v>10005</v>
      </c>
      <c r="C1122" s="62">
        <v>15</v>
      </c>
      <c r="D1122" s="62">
        <v>7.5180999999999996</v>
      </c>
      <c r="E1122" s="62">
        <v>266.42450000000002</v>
      </c>
      <c r="F1122" s="62">
        <v>13.698</v>
      </c>
      <c r="G1122" s="62">
        <v>91.319199999999995</v>
      </c>
      <c r="H1122" s="62">
        <v>105.5</v>
      </c>
    </row>
    <row r="1123" spans="1:8" x14ac:dyDescent="0.15">
      <c r="A1123" s="62" t="s">
        <v>13</v>
      </c>
      <c r="B1123" s="62">
        <v>10005</v>
      </c>
      <c r="C1123" s="62">
        <v>15</v>
      </c>
      <c r="D1123" s="62">
        <v>7.5190000000000001</v>
      </c>
      <c r="E1123" s="62">
        <v>266.3904</v>
      </c>
      <c r="F1123" s="62">
        <v>13.696</v>
      </c>
      <c r="G1123" s="62">
        <v>91.307500000000005</v>
      </c>
      <c r="H1123" s="62">
        <v>105.79</v>
      </c>
    </row>
    <row r="1124" spans="1:8" x14ac:dyDescent="0.15">
      <c r="A1124" s="62" t="s">
        <v>13</v>
      </c>
      <c r="B1124" s="62">
        <v>10005</v>
      </c>
      <c r="C1124" s="62">
        <v>15</v>
      </c>
      <c r="D1124" s="62">
        <v>7.5167999999999999</v>
      </c>
      <c r="E1124" s="62">
        <v>266.46960000000001</v>
      </c>
      <c r="F1124" s="62">
        <v>13.7</v>
      </c>
      <c r="G1124" s="62">
        <v>91.334599999999995</v>
      </c>
      <c r="H1124" s="62">
        <v>105.55</v>
      </c>
    </row>
    <row r="1125" spans="1:8" x14ac:dyDescent="0.15">
      <c r="A1125" s="62" t="s">
        <v>13</v>
      </c>
      <c r="B1125" s="62">
        <v>10005</v>
      </c>
      <c r="C1125" s="62">
        <v>15</v>
      </c>
      <c r="D1125" s="62">
        <v>7.5189000000000004</v>
      </c>
      <c r="E1125" s="62">
        <v>266.3954</v>
      </c>
      <c r="F1125" s="62">
        <v>13.696</v>
      </c>
      <c r="G1125" s="62">
        <v>91.309200000000004</v>
      </c>
      <c r="H1125" s="62">
        <v>105.65989999999999</v>
      </c>
    </row>
    <row r="1126" spans="1:8" x14ac:dyDescent="0.15">
      <c r="A1126" s="62" t="s">
        <v>13</v>
      </c>
      <c r="B1126" s="62">
        <v>10005</v>
      </c>
      <c r="C1126" s="62">
        <v>15</v>
      </c>
      <c r="D1126" s="62">
        <v>7.5151000000000003</v>
      </c>
      <c r="E1126" s="62">
        <v>266.52999999999997</v>
      </c>
      <c r="F1126" s="62">
        <v>13.702999999999999</v>
      </c>
      <c r="G1126" s="62">
        <v>91.3553</v>
      </c>
      <c r="H1126" s="62">
        <v>105.5</v>
      </c>
    </row>
    <row r="1127" spans="1:8" x14ac:dyDescent="0.15">
      <c r="A1127" s="62" t="s">
        <v>13</v>
      </c>
      <c r="B1127" s="62">
        <v>10005</v>
      </c>
      <c r="C1127" s="62">
        <v>15</v>
      </c>
      <c r="D1127" s="62">
        <v>7.5175999999999998</v>
      </c>
      <c r="E1127" s="62">
        <v>266.44150000000002</v>
      </c>
      <c r="F1127" s="62">
        <v>13.699</v>
      </c>
      <c r="G1127" s="62">
        <v>91.325000000000003</v>
      </c>
      <c r="H1127" s="62">
        <v>105.55</v>
      </c>
    </row>
    <row r="1128" spans="1:8" x14ac:dyDescent="0.15">
      <c r="A1128" s="62" t="s">
        <v>13</v>
      </c>
      <c r="B1128" s="62">
        <v>10005</v>
      </c>
      <c r="C1128" s="62">
        <v>15</v>
      </c>
      <c r="D1128" s="62">
        <v>7.5155000000000003</v>
      </c>
      <c r="E1128" s="62">
        <v>266.51490000000001</v>
      </c>
      <c r="F1128" s="62">
        <v>13.702999999999999</v>
      </c>
      <c r="G1128" s="62">
        <v>91.350200000000001</v>
      </c>
      <c r="H1128" s="62">
        <v>105.55</v>
      </c>
    </row>
    <row r="1129" spans="1:8" x14ac:dyDescent="0.15">
      <c r="A1129" s="62" t="s">
        <v>13</v>
      </c>
      <c r="B1129" s="62">
        <v>10005</v>
      </c>
      <c r="C1129" s="62">
        <v>15</v>
      </c>
      <c r="D1129" s="62">
        <v>7.5164999999999997</v>
      </c>
      <c r="E1129" s="62">
        <v>266.48079999999999</v>
      </c>
      <c r="F1129" s="62">
        <v>13.701000000000001</v>
      </c>
      <c r="G1129" s="62">
        <v>91.338499999999996</v>
      </c>
      <c r="H1129" s="62">
        <v>105.5701</v>
      </c>
    </row>
    <row r="1130" spans="1:8" x14ac:dyDescent="0.15">
      <c r="A1130" s="62" t="s">
        <v>13</v>
      </c>
      <c r="B1130" s="62">
        <v>10005</v>
      </c>
      <c r="C1130" s="62">
        <v>15</v>
      </c>
      <c r="D1130" s="62">
        <v>7.5179999999999998</v>
      </c>
      <c r="E1130" s="62">
        <v>266.42790000000002</v>
      </c>
      <c r="F1130" s="62">
        <v>13.698</v>
      </c>
      <c r="G1130" s="62">
        <v>91.320300000000003</v>
      </c>
      <c r="H1130" s="62">
        <v>105.6802</v>
      </c>
    </row>
    <row r="1131" spans="1:8" x14ac:dyDescent="0.15">
      <c r="A1131" s="62" t="s">
        <v>13</v>
      </c>
      <c r="B1131" s="62">
        <v>10005</v>
      </c>
      <c r="C1131" s="62">
        <v>15</v>
      </c>
      <c r="D1131" s="62">
        <v>7.5171999999999999</v>
      </c>
      <c r="E1131" s="62">
        <v>266.45549999999997</v>
      </c>
      <c r="F1131" s="62">
        <v>13.699</v>
      </c>
      <c r="G1131" s="62">
        <v>91.329800000000006</v>
      </c>
      <c r="H1131" s="62">
        <v>105.56010000000001</v>
      </c>
    </row>
    <row r="1132" spans="1:8" x14ac:dyDescent="0.15">
      <c r="A1132" s="62" t="s">
        <v>13</v>
      </c>
      <c r="B1132" s="62">
        <v>10005</v>
      </c>
      <c r="C1132" s="62">
        <v>15</v>
      </c>
      <c r="D1132" s="62">
        <v>7.5168999999999997</v>
      </c>
      <c r="E1132" s="62">
        <v>266.46719999999999</v>
      </c>
      <c r="F1132" s="62">
        <v>13.7</v>
      </c>
      <c r="G1132" s="62">
        <v>91.333799999999997</v>
      </c>
      <c r="H1132" s="62">
        <v>105.62990000000001</v>
      </c>
    </row>
    <row r="1133" spans="1:8" x14ac:dyDescent="0.15">
      <c r="A1133" s="62" t="s">
        <v>13</v>
      </c>
      <c r="B1133" s="62">
        <v>10005</v>
      </c>
      <c r="C1133" s="62">
        <v>15</v>
      </c>
      <c r="D1133" s="62">
        <v>7.5202</v>
      </c>
      <c r="E1133" s="62">
        <v>266.35039999999998</v>
      </c>
      <c r="F1133" s="62">
        <v>13.694000000000001</v>
      </c>
      <c r="G1133" s="62">
        <v>91.293800000000005</v>
      </c>
      <c r="H1133" s="62">
        <v>105.5703</v>
      </c>
    </row>
    <row r="1134" spans="1:8" x14ac:dyDescent="0.15">
      <c r="A1134" s="62" t="s">
        <v>13</v>
      </c>
      <c r="B1134" s="62">
        <v>10005</v>
      </c>
      <c r="C1134" s="62">
        <v>15</v>
      </c>
      <c r="D1134" s="62">
        <v>7.5172999999999996</v>
      </c>
      <c r="E1134" s="62">
        <v>266.45150000000001</v>
      </c>
      <c r="F1134" s="62">
        <v>13.699</v>
      </c>
      <c r="G1134" s="62">
        <v>91.328400000000002</v>
      </c>
      <c r="H1134" s="62">
        <v>105.6104</v>
      </c>
    </row>
    <row r="1135" spans="1:8" x14ac:dyDescent="0.15">
      <c r="A1135" s="62" t="s">
        <v>13</v>
      </c>
      <c r="B1135" s="62">
        <v>10005</v>
      </c>
      <c r="C1135" s="62">
        <v>15</v>
      </c>
      <c r="D1135" s="62">
        <v>7.5187999999999997</v>
      </c>
      <c r="E1135" s="62">
        <v>266.40030000000002</v>
      </c>
      <c r="F1135" s="62">
        <v>13.696999999999999</v>
      </c>
      <c r="G1135" s="62">
        <v>91.310900000000004</v>
      </c>
      <c r="H1135" s="62">
        <v>105.5103</v>
      </c>
    </row>
    <row r="1136" spans="1:8" x14ac:dyDescent="0.15">
      <c r="A1136" s="62" t="s">
        <v>13</v>
      </c>
      <c r="B1136" s="62">
        <v>10005</v>
      </c>
      <c r="C1136" s="62">
        <v>15</v>
      </c>
      <c r="D1136" s="62">
        <v>7.5129999999999999</v>
      </c>
      <c r="E1136" s="62">
        <v>266.60520000000002</v>
      </c>
      <c r="F1136" s="62">
        <v>13.707000000000001</v>
      </c>
      <c r="G1136" s="62">
        <v>91.381100000000004</v>
      </c>
      <c r="H1136" s="62">
        <v>105.52</v>
      </c>
    </row>
    <row r="1137" spans="1:8" x14ac:dyDescent="0.15">
      <c r="A1137" s="62" t="s">
        <v>13</v>
      </c>
      <c r="B1137" s="62">
        <v>10005</v>
      </c>
      <c r="C1137" s="62">
        <v>15</v>
      </c>
      <c r="D1137" s="62">
        <v>7.5180999999999996</v>
      </c>
      <c r="E1137" s="62">
        <v>266.42349999999999</v>
      </c>
      <c r="F1137" s="62">
        <v>13.698</v>
      </c>
      <c r="G1137" s="62">
        <v>91.318799999999996</v>
      </c>
      <c r="H1137" s="62">
        <v>105.6904</v>
      </c>
    </row>
    <row r="1138" spans="1:8" x14ac:dyDescent="0.15">
      <c r="A1138" s="62" t="s">
        <v>13</v>
      </c>
      <c r="B1138" s="62">
        <v>10005</v>
      </c>
      <c r="C1138" s="62">
        <v>15</v>
      </c>
      <c r="D1138" s="62">
        <v>7.5185000000000004</v>
      </c>
      <c r="E1138" s="62">
        <v>266.40910000000002</v>
      </c>
      <c r="F1138" s="62">
        <v>13.696999999999999</v>
      </c>
      <c r="G1138" s="62">
        <v>91.313900000000004</v>
      </c>
      <c r="H1138" s="62">
        <v>105.5698</v>
      </c>
    </row>
    <row r="1139" spans="1:8" x14ac:dyDescent="0.15">
      <c r="A1139" s="62" t="s">
        <v>13</v>
      </c>
      <c r="B1139" s="62">
        <v>10005</v>
      </c>
      <c r="C1139" s="62">
        <v>15</v>
      </c>
      <c r="D1139" s="62">
        <v>7.5232999999999999</v>
      </c>
      <c r="E1139" s="62">
        <v>266.23899999999998</v>
      </c>
      <c r="F1139" s="62">
        <v>13.688000000000001</v>
      </c>
      <c r="G1139" s="62">
        <v>91.255600000000001</v>
      </c>
      <c r="H1139" s="62">
        <v>105.5801</v>
      </c>
    </row>
    <row r="1140" spans="1:8" x14ac:dyDescent="0.15">
      <c r="A1140" s="62" t="s">
        <v>13</v>
      </c>
      <c r="B1140" s="62">
        <v>10005</v>
      </c>
      <c r="C1140" s="62">
        <v>15</v>
      </c>
      <c r="D1140" s="62">
        <v>7.6215999999999999</v>
      </c>
      <c r="E1140" s="62">
        <v>262.80500000000001</v>
      </c>
      <c r="F1140" s="62">
        <v>13.512</v>
      </c>
      <c r="G1140" s="62">
        <v>90.078599999999994</v>
      </c>
      <c r="H1140" s="62">
        <v>107.02</v>
      </c>
    </row>
    <row r="1141" spans="1:8" x14ac:dyDescent="0.15">
      <c r="A1141" s="62" t="s">
        <v>13</v>
      </c>
      <c r="B1141" s="62">
        <v>10005</v>
      </c>
      <c r="C1141" s="62">
        <v>15</v>
      </c>
      <c r="D1141" s="62">
        <v>7.6196000000000002</v>
      </c>
      <c r="E1141" s="62">
        <v>262.87509999999997</v>
      </c>
      <c r="F1141" s="62">
        <v>13.515000000000001</v>
      </c>
      <c r="G1141" s="62">
        <v>90.102599999999995</v>
      </c>
      <c r="H1141" s="62">
        <v>106.8501</v>
      </c>
    </row>
    <row r="1142" spans="1:8" x14ac:dyDescent="0.15">
      <c r="A1142" s="62" t="s">
        <v>13</v>
      </c>
      <c r="B1142" s="62">
        <v>10005</v>
      </c>
      <c r="C1142" s="62">
        <v>15</v>
      </c>
      <c r="D1142" s="62">
        <v>7.6205999999999996</v>
      </c>
      <c r="E1142" s="62">
        <v>262.84199999999998</v>
      </c>
      <c r="F1142" s="62">
        <v>13.513999999999999</v>
      </c>
      <c r="G1142" s="62">
        <v>90.091200000000001</v>
      </c>
      <c r="H1142" s="62">
        <v>106.8501</v>
      </c>
    </row>
    <row r="1143" spans="1:8" x14ac:dyDescent="0.15">
      <c r="A1143" s="62" t="s">
        <v>13</v>
      </c>
      <c r="B1143" s="62">
        <v>10005</v>
      </c>
      <c r="C1143" s="62">
        <v>15</v>
      </c>
      <c r="D1143" s="62">
        <v>7.6201999999999996</v>
      </c>
      <c r="E1143" s="62">
        <v>262.85309999999998</v>
      </c>
      <c r="F1143" s="62">
        <v>13.513999999999999</v>
      </c>
      <c r="G1143" s="62">
        <v>90.094999999999999</v>
      </c>
      <c r="H1143" s="62">
        <v>107.02979999999999</v>
      </c>
    </row>
    <row r="1144" spans="1:8" x14ac:dyDescent="0.15">
      <c r="A1144" s="62" t="s">
        <v>13</v>
      </c>
      <c r="B1144" s="62">
        <v>10005</v>
      </c>
      <c r="C1144" s="62">
        <v>15</v>
      </c>
      <c r="D1144" s="62">
        <v>7.6237000000000004</v>
      </c>
      <c r="E1144" s="62">
        <v>262.73410000000001</v>
      </c>
      <c r="F1144" s="62">
        <v>13.507999999999999</v>
      </c>
      <c r="G1144" s="62">
        <v>90.054299999999998</v>
      </c>
      <c r="H1144" s="62">
        <v>107.05029999999999</v>
      </c>
    </row>
    <row r="1145" spans="1:8" x14ac:dyDescent="0.15">
      <c r="A1145" s="62" t="s">
        <v>13</v>
      </c>
      <c r="B1145" s="62">
        <v>10005</v>
      </c>
      <c r="C1145" s="62">
        <v>15</v>
      </c>
      <c r="D1145" s="62">
        <v>7.5381999999999998</v>
      </c>
      <c r="E1145" s="62">
        <v>265.71280000000002</v>
      </c>
      <c r="F1145" s="62">
        <v>13.661</v>
      </c>
      <c r="G1145" s="62">
        <v>91.075199999999995</v>
      </c>
      <c r="H1145" s="62">
        <v>105.8896</v>
      </c>
    </row>
    <row r="1146" spans="1:8" x14ac:dyDescent="0.15">
      <c r="A1146" s="62" t="s">
        <v>13</v>
      </c>
      <c r="B1146" s="62">
        <v>10005</v>
      </c>
      <c r="C1146" s="62">
        <v>15</v>
      </c>
      <c r="D1146" s="62">
        <v>7.5148999999999999</v>
      </c>
      <c r="E1146" s="62">
        <v>266.536</v>
      </c>
      <c r="F1146" s="62">
        <v>13.704000000000001</v>
      </c>
      <c r="G1146" s="62">
        <v>91.357399999999998</v>
      </c>
      <c r="H1146" s="62">
        <v>105.4502</v>
      </c>
    </row>
    <row r="1147" spans="1:8" x14ac:dyDescent="0.15">
      <c r="A1147" s="62" t="s">
        <v>13</v>
      </c>
      <c r="B1147" s="62">
        <v>10005</v>
      </c>
      <c r="C1147" s="62">
        <v>15</v>
      </c>
      <c r="D1147" s="62">
        <v>7.5126999999999997</v>
      </c>
      <c r="E1147" s="62">
        <v>266.61430000000001</v>
      </c>
      <c r="F1147" s="62">
        <v>13.708</v>
      </c>
      <c r="G1147" s="62">
        <v>91.384299999999996</v>
      </c>
      <c r="H1147" s="62">
        <v>105.52</v>
      </c>
    </row>
    <row r="1148" spans="1:8" x14ac:dyDescent="0.15">
      <c r="A1148" s="62" t="s">
        <v>13</v>
      </c>
      <c r="B1148" s="62">
        <v>10005</v>
      </c>
      <c r="C1148" s="62">
        <v>16</v>
      </c>
      <c r="D1148" s="62">
        <v>6.8120000000000003</v>
      </c>
      <c r="E1148" s="62">
        <v>294.04020000000003</v>
      </c>
      <c r="F1148" s="62">
        <v>15.118</v>
      </c>
      <c r="G1148" s="62">
        <v>94.485600000000005</v>
      </c>
      <c r="H1148" s="62">
        <v>108.77</v>
      </c>
    </row>
    <row r="1149" spans="1:8" x14ac:dyDescent="0.15">
      <c r="A1149" s="62" t="s">
        <v>13</v>
      </c>
      <c r="B1149" s="62">
        <v>10005</v>
      </c>
      <c r="C1149" s="62">
        <v>16</v>
      </c>
      <c r="D1149" s="62">
        <v>6.7354000000000003</v>
      </c>
      <c r="E1149" s="62">
        <v>297.38209999999998</v>
      </c>
      <c r="F1149" s="62">
        <v>15.29</v>
      </c>
      <c r="G1149" s="62">
        <v>95.5595</v>
      </c>
      <c r="H1149" s="62">
        <v>107.72020000000001</v>
      </c>
    </row>
    <row r="1150" spans="1:8" x14ac:dyDescent="0.15">
      <c r="A1150" s="62" t="s">
        <v>13</v>
      </c>
      <c r="B1150" s="62">
        <v>10005</v>
      </c>
      <c r="C1150" s="62">
        <v>16</v>
      </c>
      <c r="D1150" s="62">
        <v>6.7987000000000002</v>
      </c>
      <c r="E1150" s="62">
        <v>294.61329999999998</v>
      </c>
      <c r="F1150" s="62">
        <v>15.147</v>
      </c>
      <c r="G1150" s="62">
        <v>94.669799999999995</v>
      </c>
      <c r="H1150" s="62">
        <v>108.6099</v>
      </c>
    </row>
    <row r="1151" spans="1:8" x14ac:dyDescent="0.15">
      <c r="A1151" s="62" t="s">
        <v>13</v>
      </c>
      <c r="B1151" s="62">
        <v>10005</v>
      </c>
      <c r="C1151" s="62">
        <v>16</v>
      </c>
      <c r="D1151" s="62">
        <v>6.8052999999999999</v>
      </c>
      <c r="E1151" s="62">
        <v>294.33019999999999</v>
      </c>
      <c r="F1151" s="62">
        <v>15.132999999999999</v>
      </c>
      <c r="G1151" s="62">
        <v>94.578800000000001</v>
      </c>
      <c r="H1151" s="62">
        <v>108.71</v>
      </c>
    </row>
    <row r="1152" spans="1:8" x14ac:dyDescent="0.15">
      <c r="A1152" s="62" t="s">
        <v>13</v>
      </c>
      <c r="B1152" s="62">
        <v>10005</v>
      </c>
      <c r="C1152" s="62">
        <v>16</v>
      </c>
      <c r="D1152" s="62">
        <v>6.7497999999999996</v>
      </c>
      <c r="E1152" s="62">
        <v>296.74939999999998</v>
      </c>
      <c r="F1152" s="62">
        <v>15.257</v>
      </c>
      <c r="G1152" s="62">
        <v>95.356200000000001</v>
      </c>
      <c r="H1152" s="62">
        <v>107.9097</v>
      </c>
    </row>
    <row r="1153" spans="1:8" x14ac:dyDescent="0.15">
      <c r="A1153" s="62" t="s">
        <v>13</v>
      </c>
      <c r="B1153" s="62">
        <v>10005</v>
      </c>
      <c r="C1153" s="62">
        <v>16</v>
      </c>
      <c r="D1153" s="62">
        <v>6.7816999999999998</v>
      </c>
      <c r="E1153" s="62">
        <v>295.35509999999999</v>
      </c>
      <c r="F1153" s="62">
        <v>15.185</v>
      </c>
      <c r="G1153" s="62">
        <v>94.908199999999994</v>
      </c>
      <c r="H1153" s="62">
        <v>108.37009999999999</v>
      </c>
    </row>
    <row r="1154" spans="1:8" x14ac:dyDescent="0.15">
      <c r="A1154" s="62" t="s">
        <v>13</v>
      </c>
      <c r="B1154" s="62">
        <v>10005</v>
      </c>
      <c r="C1154" s="62">
        <v>16</v>
      </c>
      <c r="D1154" s="62">
        <v>6.9126000000000003</v>
      </c>
      <c r="E1154" s="62">
        <v>289.76170000000002</v>
      </c>
      <c r="F1154" s="62">
        <v>14.898</v>
      </c>
      <c r="G1154" s="62">
        <v>93.110799999999998</v>
      </c>
      <c r="H1154" s="62">
        <v>110.18989999999999</v>
      </c>
    </row>
    <row r="1155" spans="1:8" x14ac:dyDescent="0.15">
      <c r="A1155" s="62" t="s">
        <v>13</v>
      </c>
      <c r="B1155" s="62">
        <v>10005</v>
      </c>
      <c r="C1155" s="62">
        <v>16</v>
      </c>
      <c r="D1155" s="62">
        <v>12.2857</v>
      </c>
      <c r="E1155" s="62">
        <v>163.03569999999999</v>
      </c>
      <c r="F1155" s="62">
        <v>8.3819999999999997</v>
      </c>
      <c r="G1155" s="62">
        <v>52.389200000000002</v>
      </c>
      <c r="H1155" s="62">
        <v>186</v>
      </c>
    </row>
    <row r="1156" spans="1:8" x14ac:dyDescent="0.15">
      <c r="A1156" s="62" t="s">
        <v>13</v>
      </c>
      <c r="B1156" s="62">
        <v>10005</v>
      </c>
      <c r="C1156" s="62">
        <v>16</v>
      </c>
      <c r="D1156" s="62">
        <v>10.4109</v>
      </c>
      <c r="E1156" s="62">
        <v>192.3947</v>
      </c>
      <c r="F1156" s="62">
        <v>9.8919999999999995</v>
      </c>
      <c r="G1156" s="62">
        <v>61.823300000000003</v>
      </c>
      <c r="H1156" s="62">
        <v>159.8501</v>
      </c>
    </row>
    <row r="1157" spans="1:8" x14ac:dyDescent="0.15">
      <c r="A1157" s="62" t="s">
        <v>13</v>
      </c>
      <c r="B1157" s="62">
        <v>10005</v>
      </c>
      <c r="C1157" s="62">
        <v>16</v>
      </c>
      <c r="D1157" s="62">
        <v>6.7948000000000004</v>
      </c>
      <c r="E1157" s="62">
        <v>294.78629999999998</v>
      </c>
      <c r="F1157" s="62">
        <v>15.156000000000001</v>
      </c>
      <c r="G1157" s="62">
        <v>94.725399999999993</v>
      </c>
      <c r="H1157" s="62">
        <v>108.54</v>
      </c>
    </row>
    <row r="1158" spans="1:8" x14ac:dyDescent="0.15">
      <c r="A1158" s="62" t="s">
        <v>13</v>
      </c>
      <c r="B1158" s="62">
        <v>10005</v>
      </c>
      <c r="C1158" s="62">
        <v>16</v>
      </c>
      <c r="D1158" s="62">
        <v>6.7390999999999996</v>
      </c>
      <c r="E1158" s="62">
        <v>297.21899999999999</v>
      </c>
      <c r="F1158" s="62">
        <v>15.281000000000001</v>
      </c>
      <c r="G1158" s="62">
        <v>95.507099999999994</v>
      </c>
      <c r="H1158" s="62">
        <v>107.7803</v>
      </c>
    </row>
    <row r="1159" spans="1:8" x14ac:dyDescent="0.15">
      <c r="A1159" s="62" t="s">
        <v>13</v>
      </c>
      <c r="B1159" s="62">
        <v>10005</v>
      </c>
      <c r="C1159" s="62">
        <v>16</v>
      </c>
      <c r="D1159" s="62">
        <v>6.7897999999999996</v>
      </c>
      <c r="E1159" s="62">
        <v>294.99970000000002</v>
      </c>
      <c r="F1159" s="62">
        <v>15.167</v>
      </c>
      <c r="G1159" s="62">
        <v>94.793899999999994</v>
      </c>
      <c r="H1159" s="62">
        <v>108.4697</v>
      </c>
    </row>
    <row r="1160" spans="1:8" x14ac:dyDescent="0.15">
      <c r="A1160" s="62" t="s">
        <v>13</v>
      </c>
      <c r="B1160" s="62">
        <v>10005</v>
      </c>
      <c r="C1160" s="62">
        <v>16</v>
      </c>
      <c r="D1160" s="62">
        <v>6.7489999999999997</v>
      </c>
      <c r="E1160" s="62">
        <v>296.78449999999998</v>
      </c>
      <c r="F1160" s="62">
        <v>15.259</v>
      </c>
      <c r="G1160" s="62">
        <v>95.367500000000007</v>
      </c>
      <c r="H1160" s="62">
        <v>107.9302</v>
      </c>
    </row>
    <row r="1161" spans="1:8" x14ac:dyDescent="0.15">
      <c r="A1161" s="62" t="s">
        <v>13</v>
      </c>
      <c r="B1161" s="62">
        <v>10005</v>
      </c>
      <c r="C1161" s="62">
        <v>16</v>
      </c>
      <c r="D1161" s="62">
        <v>6.7964000000000002</v>
      </c>
      <c r="E1161" s="62">
        <v>294.71499999999997</v>
      </c>
      <c r="F1161" s="62">
        <v>15.151999999999999</v>
      </c>
      <c r="G1161" s="62">
        <v>94.702500000000001</v>
      </c>
      <c r="H1161" s="62">
        <v>108.5801</v>
      </c>
    </row>
    <row r="1162" spans="1:8" x14ac:dyDescent="0.15">
      <c r="A1162" s="62" t="s">
        <v>13</v>
      </c>
      <c r="B1162" s="62">
        <v>10005</v>
      </c>
      <c r="C1162" s="62">
        <v>16</v>
      </c>
      <c r="D1162" s="62">
        <v>6.7339000000000002</v>
      </c>
      <c r="E1162" s="62">
        <v>297.45209999999997</v>
      </c>
      <c r="F1162" s="62">
        <v>15.292999999999999</v>
      </c>
      <c r="G1162" s="62">
        <v>95.581999999999994</v>
      </c>
      <c r="H1162" s="62">
        <v>107.6099</v>
      </c>
    </row>
    <row r="1163" spans="1:8" x14ac:dyDescent="0.15">
      <c r="A1163" s="62" t="s">
        <v>13</v>
      </c>
      <c r="B1163" s="62">
        <v>10005</v>
      </c>
      <c r="C1163" s="62">
        <v>16</v>
      </c>
      <c r="D1163" s="62">
        <v>6.8082000000000003</v>
      </c>
      <c r="E1163" s="62">
        <v>294.20620000000002</v>
      </c>
      <c r="F1163" s="62">
        <v>15.125999999999999</v>
      </c>
      <c r="G1163" s="62">
        <v>94.539000000000001</v>
      </c>
      <c r="H1163" s="62">
        <v>108.81010000000001</v>
      </c>
    </row>
    <row r="1164" spans="1:8" x14ac:dyDescent="0.15">
      <c r="A1164" s="62" t="s">
        <v>13</v>
      </c>
      <c r="B1164" s="62">
        <v>10005</v>
      </c>
      <c r="C1164" s="62">
        <v>16</v>
      </c>
      <c r="D1164" s="62">
        <v>6.7655000000000003</v>
      </c>
      <c r="E1164" s="62">
        <v>296.06240000000003</v>
      </c>
      <c r="F1164" s="62">
        <v>15.222</v>
      </c>
      <c r="G1164" s="62">
        <v>95.135400000000004</v>
      </c>
      <c r="H1164" s="62">
        <v>108.1396</v>
      </c>
    </row>
    <row r="1165" spans="1:8" x14ac:dyDescent="0.15">
      <c r="A1165" s="62" t="s">
        <v>13</v>
      </c>
      <c r="B1165" s="62">
        <v>10005</v>
      </c>
      <c r="C1165" s="62">
        <v>16</v>
      </c>
      <c r="D1165" s="62">
        <v>6.7647000000000004</v>
      </c>
      <c r="E1165" s="62">
        <v>296.09559999999999</v>
      </c>
      <c r="F1165" s="62">
        <v>15.223000000000001</v>
      </c>
      <c r="G1165" s="62">
        <v>95.146100000000004</v>
      </c>
      <c r="H1165" s="62">
        <v>108.12009999999999</v>
      </c>
    </row>
    <row r="1166" spans="1:8" x14ac:dyDescent="0.15">
      <c r="A1166" s="62" t="s">
        <v>13</v>
      </c>
      <c r="B1166" s="62">
        <v>10005</v>
      </c>
      <c r="C1166" s="62">
        <v>16</v>
      </c>
      <c r="D1166" s="62">
        <v>6.7991000000000001</v>
      </c>
      <c r="E1166" s="62">
        <v>294.59780000000001</v>
      </c>
      <c r="F1166" s="62">
        <v>15.146000000000001</v>
      </c>
      <c r="G1166" s="62">
        <v>94.6648</v>
      </c>
      <c r="H1166" s="62">
        <v>108.61960000000001</v>
      </c>
    </row>
    <row r="1167" spans="1:8" x14ac:dyDescent="0.15">
      <c r="A1167" s="62" t="s">
        <v>13</v>
      </c>
      <c r="B1167" s="62">
        <v>10005</v>
      </c>
      <c r="C1167" s="62">
        <v>16</v>
      </c>
      <c r="D1167" s="62">
        <v>6.7346000000000004</v>
      </c>
      <c r="E1167" s="62">
        <v>297.41980000000001</v>
      </c>
      <c r="F1167" s="62">
        <v>15.291</v>
      </c>
      <c r="G1167" s="62">
        <v>95.571600000000004</v>
      </c>
      <c r="H1167" s="62">
        <v>107.7002</v>
      </c>
    </row>
    <row r="1168" spans="1:8" x14ac:dyDescent="0.15">
      <c r="A1168" s="62" t="s">
        <v>13</v>
      </c>
      <c r="B1168" s="62">
        <v>10005</v>
      </c>
      <c r="C1168" s="62">
        <v>16</v>
      </c>
      <c r="D1168" s="62">
        <v>6.7941000000000003</v>
      </c>
      <c r="E1168" s="62">
        <v>294.81420000000003</v>
      </c>
      <c r="F1168" s="62">
        <v>15.157</v>
      </c>
      <c r="G1168" s="62">
        <v>94.734399999999994</v>
      </c>
      <c r="H1168" s="62">
        <v>108.54</v>
      </c>
    </row>
    <row r="1169" spans="1:8" x14ac:dyDescent="0.15">
      <c r="A1169" s="62" t="s">
        <v>13</v>
      </c>
      <c r="B1169" s="62">
        <v>10005</v>
      </c>
      <c r="C1169" s="62">
        <v>16</v>
      </c>
      <c r="D1169" s="62">
        <v>6.7340999999999998</v>
      </c>
      <c r="E1169" s="62">
        <v>297.44159999999999</v>
      </c>
      <c r="F1169" s="62">
        <v>15.292999999999999</v>
      </c>
      <c r="G1169" s="62">
        <v>95.578599999999994</v>
      </c>
      <c r="H1169" s="62">
        <v>107.6904</v>
      </c>
    </row>
    <row r="1170" spans="1:8" x14ac:dyDescent="0.15">
      <c r="A1170" s="62" t="s">
        <v>13</v>
      </c>
      <c r="B1170" s="62">
        <v>10005</v>
      </c>
      <c r="C1170" s="62">
        <v>16</v>
      </c>
      <c r="D1170" s="62">
        <v>6.8023999999999996</v>
      </c>
      <c r="E1170" s="62">
        <v>294.4547</v>
      </c>
      <c r="F1170" s="62">
        <v>15.138999999999999</v>
      </c>
      <c r="G1170" s="62">
        <v>94.618799999999993</v>
      </c>
      <c r="H1170" s="62">
        <v>108.6504</v>
      </c>
    </row>
    <row r="1171" spans="1:8" x14ac:dyDescent="0.15">
      <c r="A1171" s="62" t="s">
        <v>13</v>
      </c>
      <c r="B1171" s="62">
        <v>10005</v>
      </c>
      <c r="C1171" s="62">
        <v>16</v>
      </c>
      <c r="D1171" s="62">
        <v>6.7465999999999999</v>
      </c>
      <c r="E1171" s="62">
        <v>296.88979999999998</v>
      </c>
      <c r="F1171" s="62">
        <v>15.263999999999999</v>
      </c>
      <c r="G1171" s="62">
        <v>95.401300000000006</v>
      </c>
      <c r="H1171" s="62">
        <v>107.87009999999999</v>
      </c>
    </row>
    <row r="1172" spans="1:8" x14ac:dyDescent="0.15">
      <c r="A1172" s="62" t="s">
        <v>13</v>
      </c>
      <c r="B1172" s="62">
        <v>10005</v>
      </c>
      <c r="C1172" s="62">
        <v>16</v>
      </c>
      <c r="D1172" s="62">
        <v>6.8292000000000002</v>
      </c>
      <c r="E1172" s="62">
        <v>293.29950000000002</v>
      </c>
      <c r="F1172" s="62">
        <v>15.08</v>
      </c>
      <c r="G1172" s="62">
        <v>94.247600000000006</v>
      </c>
      <c r="H1172" s="62">
        <v>109.0596</v>
      </c>
    </row>
    <row r="1173" spans="1:8" x14ac:dyDescent="0.15">
      <c r="A1173" s="62" t="s">
        <v>13</v>
      </c>
      <c r="B1173" s="62">
        <v>10005</v>
      </c>
      <c r="C1173" s="62">
        <v>16</v>
      </c>
      <c r="D1173" s="62">
        <v>6.7758000000000003</v>
      </c>
      <c r="E1173" s="62">
        <v>295.6121</v>
      </c>
      <c r="F1173" s="62">
        <v>15.199</v>
      </c>
      <c r="G1173" s="62">
        <v>94.990700000000004</v>
      </c>
      <c r="H1173" s="62">
        <v>108.2402</v>
      </c>
    </row>
    <row r="1174" spans="1:8" x14ac:dyDescent="0.15">
      <c r="A1174" s="62" t="s">
        <v>13</v>
      </c>
      <c r="B1174" s="62">
        <v>10005</v>
      </c>
      <c r="C1174" s="62">
        <v>16</v>
      </c>
      <c r="D1174" s="62">
        <v>6.7343999999999999</v>
      </c>
      <c r="E1174" s="62">
        <v>297.42939999999999</v>
      </c>
      <c r="F1174" s="62">
        <v>15.292</v>
      </c>
      <c r="G1174" s="62">
        <v>95.574700000000007</v>
      </c>
      <c r="H1174" s="62">
        <v>107.71</v>
      </c>
    </row>
    <row r="1175" spans="1:8" x14ac:dyDescent="0.15">
      <c r="A1175" s="62" t="s">
        <v>13</v>
      </c>
      <c r="B1175" s="62">
        <v>10005</v>
      </c>
      <c r="C1175" s="62">
        <v>16</v>
      </c>
      <c r="D1175" s="62">
        <v>6.7961</v>
      </c>
      <c r="E1175" s="62">
        <v>294.72899999999998</v>
      </c>
      <c r="F1175" s="62">
        <v>15.153</v>
      </c>
      <c r="G1175" s="62">
        <v>94.706999999999994</v>
      </c>
      <c r="H1175" s="62">
        <v>108.5303</v>
      </c>
    </row>
    <row r="1176" spans="1:8" x14ac:dyDescent="0.15">
      <c r="A1176" s="62" t="s">
        <v>13</v>
      </c>
      <c r="B1176" s="62">
        <v>10005</v>
      </c>
      <c r="C1176" s="62">
        <v>16</v>
      </c>
      <c r="D1176" s="62">
        <v>6.7626999999999997</v>
      </c>
      <c r="E1176" s="62">
        <v>296.18520000000001</v>
      </c>
      <c r="F1176" s="62">
        <v>15.228</v>
      </c>
      <c r="G1176" s="62">
        <v>95.174899999999994</v>
      </c>
      <c r="H1176" s="62">
        <v>108.1602</v>
      </c>
    </row>
    <row r="1177" spans="1:8" x14ac:dyDescent="0.15">
      <c r="A1177" s="62" t="s">
        <v>13</v>
      </c>
      <c r="B1177" s="62">
        <v>10005</v>
      </c>
      <c r="C1177" s="62">
        <v>16</v>
      </c>
      <c r="D1177" s="62">
        <v>6.8025000000000002</v>
      </c>
      <c r="E1177" s="62">
        <v>294.44920000000002</v>
      </c>
      <c r="F1177" s="62">
        <v>15.138999999999999</v>
      </c>
      <c r="G1177" s="62">
        <v>94.617099999999994</v>
      </c>
      <c r="H1177" s="62">
        <v>108.6992</v>
      </c>
    </row>
    <row r="1178" spans="1:8" x14ac:dyDescent="0.15">
      <c r="A1178" s="62" t="s">
        <v>13</v>
      </c>
      <c r="B1178" s="62">
        <v>10005</v>
      </c>
      <c r="C1178" s="62">
        <v>16</v>
      </c>
      <c r="D1178" s="62">
        <v>6.8033999999999999</v>
      </c>
      <c r="E1178" s="62">
        <v>294.41370000000001</v>
      </c>
      <c r="F1178" s="62">
        <v>15.137</v>
      </c>
      <c r="G1178" s="62">
        <v>94.605699999999999</v>
      </c>
      <c r="H1178" s="62">
        <v>108.6807</v>
      </c>
    </row>
    <row r="1179" spans="1:8" x14ac:dyDescent="0.15">
      <c r="A1179" s="62" t="s">
        <v>13</v>
      </c>
      <c r="B1179" s="62">
        <v>10005</v>
      </c>
      <c r="C1179" s="62">
        <v>16</v>
      </c>
      <c r="D1179" s="62">
        <v>6.7426000000000004</v>
      </c>
      <c r="E1179" s="62">
        <v>297.06880000000001</v>
      </c>
      <c r="F1179" s="62">
        <v>15.273</v>
      </c>
      <c r="G1179" s="62">
        <v>95.458799999999997</v>
      </c>
      <c r="H1179" s="62">
        <v>107.8301</v>
      </c>
    </row>
    <row r="1180" spans="1:8" x14ac:dyDescent="0.15">
      <c r="A1180" s="62" t="s">
        <v>13</v>
      </c>
      <c r="B1180" s="62">
        <v>10005</v>
      </c>
      <c r="C1180" s="62">
        <v>16</v>
      </c>
      <c r="D1180" s="62">
        <v>6.8013000000000003</v>
      </c>
      <c r="E1180" s="62">
        <v>294.50069999999999</v>
      </c>
      <c r="F1180" s="62">
        <v>15.141</v>
      </c>
      <c r="G1180" s="62">
        <v>94.633600000000001</v>
      </c>
      <c r="H1180" s="62">
        <v>108.6494</v>
      </c>
    </row>
    <row r="1181" spans="1:8" x14ac:dyDescent="0.15">
      <c r="A1181" s="62" t="s">
        <v>13</v>
      </c>
      <c r="B1181" s="62">
        <v>10005</v>
      </c>
      <c r="C1181" s="62">
        <v>16</v>
      </c>
      <c r="D1181" s="62">
        <v>6.7652000000000001</v>
      </c>
      <c r="E1181" s="62">
        <v>296.07459999999998</v>
      </c>
      <c r="F1181" s="62">
        <v>15.222</v>
      </c>
      <c r="G1181" s="62">
        <v>95.139399999999995</v>
      </c>
      <c r="H1181" s="62">
        <v>108.1602</v>
      </c>
    </row>
    <row r="1182" spans="1:8" x14ac:dyDescent="0.15">
      <c r="A1182" s="62" t="s">
        <v>13</v>
      </c>
      <c r="B1182" s="62">
        <v>10005</v>
      </c>
      <c r="C1182" s="62">
        <v>16</v>
      </c>
      <c r="D1182" s="62">
        <v>6.8056000000000001</v>
      </c>
      <c r="E1182" s="62">
        <v>294.3168</v>
      </c>
      <c r="F1182" s="62">
        <v>15.132</v>
      </c>
      <c r="G1182" s="62">
        <v>94.5745</v>
      </c>
      <c r="H1182" s="62">
        <v>108.7197</v>
      </c>
    </row>
    <row r="1183" spans="1:8" x14ac:dyDescent="0.15">
      <c r="A1183" s="62" t="s">
        <v>13</v>
      </c>
      <c r="B1183" s="62">
        <v>10005</v>
      </c>
      <c r="C1183" s="62">
        <v>16</v>
      </c>
      <c r="D1183" s="62">
        <v>6.7515999999999998</v>
      </c>
      <c r="E1183" s="62">
        <v>296.67180000000002</v>
      </c>
      <c r="F1183" s="62">
        <v>15.253</v>
      </c>
      <c r="G1183" s="62">
        <v>95.331299999999999</v>
      </c>
      <c r="H1183" s="62">
        <v>107.96</v>
      </c>
    </row>
    <row r="1184" spans="1:8" x14ac:dyDescent="0.15">
      <c r="A1184" s="62" t="s">
        <v>13</v>
      </c>
      <c r="B1184" s="62">
        <v>10005</v>
      </c>
      <c r="C1184" s="62">
        <v>16</v>
      </c>
      <c r="D1184" s="62">
        <v>6.7897999999999996</v>
      </c>
      <c r="E1184" s="62">
        <v>295.00029999999998</v>
      </c>
      <c r="F1184" s="62">
        <v>15.167</v>
      </c>
      <c r="G1184" s="62">
        <v>94.794200000000004</v>
      </c>
      <c r="H1184" s="62">
        <v>108.4697</v>
      </c>
    </row>
    <row r="1185" spans="1:8" x14ac:dyDescent="0.15">
      <c r="A1185" s="62" t="s">
        <v>13</v>
      </c>
      <c r="B1185" s="62">
        <v>10005</v>
      </c>
      <c r="C1185" s="62">
        <v>16</v>
      </c>
      <c r="D1185" s="62">
        <v>6.7431000000000001</v>
      </c>
      <c r="E1185" s="62">
        <v>297.04680000000002</v>
      </c>
      <c r="F1185" s="62">
        <v>15.272</v>
      </c>
      <c r="G1185" s="62">
        <v>95.451800000000006</v>
      </c>
      <c r="H1185" s="62">
        <v>107.8398</v>
      </c>
    </row>
    <row r="1186" spans="1:8" x14ac:dyDescent="0.15">
      <c r="A1186" s="62" t="s">
        <v>13</v>
      </c>
      <c r="B1186" s="62">
        <v>10005</v>
      </c>
      <c r="C1186" s="62">
        <v>16</v>
      </c>
      <c r="D1186" s="62">
        <v>6.8228</v>
      </c>
      <c r="E1186" s="62">
        <v>293.57549999999998</v>
      </c>
      <c r="F1186" s="62">
        <v>15.093999999999999</v>
      </c>
      <c r="G1186" s="62">
        <v>94.336299999999994</v>
      </c>
      <c r="H1186" s="62">
        <v>108.9502</v>
      </c>
    </row>
    <row r="1187" spans="1:8" x14ac:dyDescent="0.15">
      <c r="A1187" s="62" t="s">
        <v>13</v>
      </c>
      <c r="B1187" s="62">
        <v>10005</v>
      </c>
      <c r="C1187" s="62">
        <v>16</v>
      </c>
      <c r="D1187" s="62">
        <v>6.7906000000000004</v>
      </c>
      <c r="E1187" s="62">
        <v>294.96699999999998</v>
      </c>
      <c r="F1187" s="62">
        <v>15.164999999999999</v>
      </c>
      <c r="G1187" s="62">
        <v>94.783500000000004</v>
      </c>
      <c r="H1187" s="62">
        <v>108.46</v>
      </c>
    </row>
    <row r="1188" spans="1:8" x14ac:dyDescent="0.15">
      <c r="A1188" s="62" t="s">
        <v>13</v>
      </c>
      <c r="B1188" s="62">
        <v>10005</v>
      </c>
      <c r="C1188" s="62">
        <v>16</v>
      </c>
      <c r="D1188" s="62">
        <v>6.7404000000000002</v>
      </c>
      <c r="E1188" s="62">
        <v>297.16329999999999</v>
      </c>
      <c r="F1188" s="62">
        <v>15.278</v>
      </c>
      <c r="G1188" s="62">
        <v>95.489199999999997</v>
      </c>
      <c r="H1188" s="62">
        <v>107.7998</v>
      </c>
    </row>
    <row r="1189" spans="1:8" x14ac:dyDescent="0.15">
      <c r="A1189" s="62" t="s">
        <v>13</v>
      </c>
      <c r="B1189" s="62">
        <v>10005</v>
      </c>
      <c r="C1189" s="62">
        <v>16</v>
      </c>
      <c r="D1189" s="62">
        <v>6.8289</v>
      </c>
      <c r="E1189" s="62">
        <v>293.31310000000002</v>
      </c>
      <c r="F1189" s="62">
        <v>15.08</v>
      </c>
      <c r="G1189" s="62">
        <v>94.251999999999995</v>
      </c>
      <c r="H1189" s="62">
        <v>109.0605</v>
      </c>
    </row>
    <row r="1190" spans="1:8" x14ac:dyDescent="0.15">
      <c r="A1190" s="62" t="s">
        <v>13</v>
      </c>
      <c r="B1190" s="62">
        <v>10005</v>
      </c>
      <c r="C1190" s="62">
        <v>16</v>
      </c>
      <c r="D1190" s="62">
        <v>6.7450999999999999</v>
      </c>
      <c r="E1190" s="62">
        <v>296.95609999999999</v>
      </c>
      <c r="F1190" s="62">
        <v>15.268000000000001</v>
      </c>
      <c r="G1190" s="62">
        <v>95.422600000000003</v>
      </c>
      <c r="H1190" s="62">
        <v>107.85939999999999</v>
      </c>
    </row>
    <row r="1191" spans="1:8" x14ac:dyDescent="0.15">
      <c r="A1191" s="62" t="s">
        <v>13</v>
      </c>
      <c r="B1191" s="62">
        <v>10005</v>
      </c>
      <c r="C1191" s="62">
        <v>16</v>
      </c>
      <c r="D1191" s="62">
        <v>6.7866999999999997</v>
      </c>
      <c r="E1191" s="62">
        <v>295.1379</v>
      </c>
      <c r="F1191" s="62">
        <v>15.173999999999999</v>
      </c>
      <c r="G1191" s="62">
        <v>94.838399999999993</v>
      </c>
      <c r="H1191" s="62">
        <v>108.4199</v>
      </c>
    </row>
    <row r="1192" spans="1:8" x14ac:dyDescent="0.15">
      <c r="A1192" s="62" t="s">
        <v>13</v>
      </c>
      <c r="B1192" s="62">
        <v>10005</v>
      </c>
      <c r="C1192" s="62">
        <v>16</v>
      </c>
      <c r="D1192" s="62">
        <v>6.7716000000000003</v>
      </c>
      <c r="E1192" s="62">
        <v>295.79259999999999</v>
      </c>
      <c r="F1192" s="62">
        <v>15.208</v>
      </c>
      <c r="G1192" s="62">
        <v>95.0488</v>
      </c>
      <c r="H1192" s="62">
        <v>108.2002</v>
      </c>
    </row>
    <row r="1193" spans="1:8" x14ac:dyDescent="0.15">
      <c r="A1193" s="62" t="s">
        <v>13</v>
      </c>
      <c r="B1193" s="62">
        <v>10005</v>
      </c>
      <c r="C1193" s="62">
        <v>16</v>
      </c>
      <c r="D1193" s="62">
        <v>6.7477999999999998</v>
      </c>
      <c r="E1193" s="62">
        <v>296.83800000000002</v>
      </c>
      <c r="F1193" s="62">
        <v>15.262</v>
      </c>
      <c r="G1193" s="62">
        <v>95.384699999999995</v>
      </c>
      <c r="H1193" s="62">
        <v>107.9004</v>
      </c>
    </row>
    <row r="1194" spans="1:8" x14ac:dyDescent="0.15">
      <c r="A1194" s="62" t="s">
        <v>13</v>
      </c>
      <c r="B1194" s="62">
        <v>10005</v>
      </c>
      <c r="C1194" s="62">
        <v>16</v>
      </c>
      <c r="D1194" s="62">
        <v>6.7918000000000003</v>
      </c>
      <c r="E1194" s="62">
        <v>294.91320000000002</v>
      </c>
      <c r="F1194" s="62">
        <v>15.163</v>
      </c>
      <c r="G1194" s="62">
        <v>94.766199999999998</v>
      </c>
      <c r="H1194" s="62">
        <v>108.5</v>
      </c>
    </row>
    <row r="1195" spans="1:8" x14ac:dyDescent="0.15">
      <c r="A1195" s="62" t="s">
        <v>13</v>
      </c>
      <c r="B1195" s="62">
        <v>10005</v>
      </c>
      <c r="C1195" s="62">
        <v>16</v>
      </c>
      <c r="D1195" s="62">
        <v>6.7450000000000001</v>
      </c>
      <c r="E1195" s="62">
        <v>296.95929999999998</v>
      </c>
      <c r="F1195" s="62">
        <v>15.268000000000001</v>
      </c>
      <c r="G1195" s="62">
        <v>95.423699999999997</v>
      </c>
      <c r="H1195" s="62">
        <v>107.8398</v>
      </c>
    </row>
    <row r="1196" spans="1:8" x14ac:dyDescent="0.15">
      <c r="A1196" s="62" t="s">
        <v>13</v>
      </c>
      <c r="B1196" s="62">
        <v>10005</v>
      </c>
      <c r="C1196" s="62">
        <v>16</v>
      </c>
      <c r="D1196" s="62">
        <v>6.8285999999999998</v>
      </c>
      <c r="E1196" s="62">
        <v>293.32690000000002</v>
      </c>
      <c r="F1196" s="62">
        <v>15.081</v>
      </c>
      <c r="G1196" s="62">
        <v>94.256500000000003</v>
      </c>
      <c r="H1196" s="62">
        <v>109.0205</v>
      </c>
    </row>
    <row r="1197" spans="1:8" x14ac:dyDescent="0.15">
      <c r="A1197" s="62" t="s">
        <v>13</v>
      </c>
      <c r="B1197" s="62">
        <v>10005</v>
      </c>
      <c r="C1197" s="62">
        <v>16</v>
      </c>
      <c r="D1197" s="62">
        <v>7.5598999999999998</v>
      </c>
      <c r="E1197" s="62">
        <v>264.95069999999998</v>
      </c>
      <c r="F1197" s="62">
        <v>13.622</v>
      </c>
      <c r="G1197" s="62">
        <v>85.138099999999994</v>
      </c>
      <c r="H1197" s="62">
        <v>119.5996</v>
      </c>
    </row>
    <row r="1198" spans="1:8" x14ac:dyDescent="0.15">
      <c r="A1198" s="62" t="s">
        <v>13</v>
      </c>
      <c r="B1198" s="62">
        <v>10005</v>
      </c>
      <c r="C1198" s="62">
        <v>16</v>
      </c>
      <c r="D1198" s="62">
        <v>12.120799999999999</v>
      </c>
      <c r="E1198" s="62">
        <v>165.25370000000001</v>
      </c>
      <c r="F1198" s="62">
        <v>8.4960000000000004</v>
      </c>
      <c r="G1198" s="62">
        <v>53.101900000000001</v>
      </c>
      <c r="H1198" s="62">
        <v>185.0703</v>
      </c>
    </row>
    <row r="1199" spans="1:8" x14ac:dyDescent="0.15">
      <c r="A1199" s="62" t="s">
        <v>13</v>
      </c>
      <c r="B1199" s="62">
        <v>10010</v>
      </c>
      <c r="C1199" s="62">
        <v>1</v>
      </c>
      <c r="D1199" s="62">
        <v>102.5932</v>
      </c>
      <c r="E1199" s="62">
        <v>19.553000000000001</v>
      </c>
      <c r="F1199" s="62">
        <v>1</v>
      </c>
      <c r="G1199" s="62">
        <v>100</v>
      </c>
      <c r="H1199" s="62">
        <v>104.52</v>
      </c>
    </row>
    <row r="1200" spans="1:8" x14ac:dyDescent="0.15">
      <c r="A1200" s="62" t="s">
        <v>13</v>
      </c>
      <c r="B1200" s="62">
        <v>10010</v>
      </c>
      <c r="C1200" s="62">
        <v>1</v>
      </c>
      <c r="D1200" s="62">
        <v>101.6104</v>
      </c>
      <c r="E1200" s="62">
        <v>19.742100000000001</v>
      </c>
      <c r="F1200" s="62">
        <v>1.01</v>
      </c>
      <c r="G1200" s="62">
        <v>100.96720000000001</v>
      </c>
      <c r="H1200" s="62">
        <v>101.66</v>
      </c>
    </row>
    <row r="1201" spans="1:8" x14ac:dyDescent="0.15">
      <c r="A1201" s="62" t="s">
        <v>13</v>
      </c>
      <c r="B1201" s="62">
        <v>10010</v>
      </c>
      <c r="C1201" s="62">
        <v>1</v>
      </c>
      <c r="D1201" s="62">
        <v>101.61199999999999</v>
      </c>
      <c r="E1201" s="62">
        <v>19.741800000000001</v>
      </c>
      <c r="F1201" s="62">
        <v>1.01</v>
      </c>
      <c r="G1201" s="62">
        <v>100.96559999999999</v>
      </c>
      <c r="H1201" s="62">
        <v>101.67</v>
      </c>
    </row>
    <row r="1202" spans="1:8" x14ac:dyDescent="0.15">
      <c r="A1202" s="62" t="s">
        <v>13</v>
      </c>
      <c r="B1202" s="62">
        <v>10010</v>
      </c>
      <c r="C1202" s="62">
        <v>1</v>
      </c>
      <c r="D1202" s="62">
        <v>101.6101</v>
      </c>
      <c r="E1202" s="62">
        <v>19.7422</v>
      </c>
      <c r="F1202" s="62">
        <v>1.01</v>
      </c>
      <c r="G1202" s="62">
        <v>100.9675</v>
      </c>
      <c r="H1202" s="62">
        <v>101.66</v>
      </c>
    </row>
    <row r="1203" spans="1:8" x14ac:dyDescent="0.15">
      <c r="A1203" s="62" t="s">
        <v>13</v>
      </c>
      <c r="B1203" s="62">
        <v>10010</v>
      </c>
      <c r="C1203" s="62">
        <v>1</v>
      </c>
      <c r="D1203" s="62">
        <v>101.61</v>
      </c>
      <c r="E1203" s="62">
        <v>19.7422</v>
      </c>
      <c r="F1203" s="62">
        <v>1.01</v>
      </c>
      <c r="G1203" s="62">
        <v>100.9676</v>
      </c>
      <c r="H1203" s="62">
        <v>101.66</v>
      </c>
    </row>
    <row r="1204" spans="1:8" x14ac:dyDescent="0.15">
      <c r="A1204" s="62" t="s">
        <v>13</v>
      </c>
      <c r="B1204" s="62">
        <v>10010</v>
      </c>
      <c r="C1204" s="62">
        <v>1</v>
      </c>
      <c r="D1204" s="62">
        <v>101.6116</v>
      </c>
      <c r="E1204" s="62">
        <v>19.741900000000001</v>
      </c>
      <c r="F1204" s="62">
        <v>1.01</v>
      </c>
      <c r="G1204" s="62">
        <v>100.96599999999999</v>
      </c>
      <c r="H1204" s="62">
        <v>101.68</v>
      </c>
    </row>
    <row r="1205" spans="1:8" x14ac:dyDescent="0.15">
      <c r="A1205" s="62" t="s">
        <v>13</v>
      </c>
      <c r="B1205" s="62">
        <v>10010</v>
      </c>
      <c r="C1205" s="62">
        <v>15</v>
      </c>
      <c r="D1205" s="62">
        <v>7.6894</v>
      </c>
      <c r="E1205" s="62">
        <v>260.87959999999998</v>
      </c>
      <c r="F1205" s="62">
        <v>13.342000000000001</v>
      </c>
      <c r="G1205" s="62">
        <v>88.947800000000001</v>
      </c>
      <c r="H1205" s="62">
        <v>107.35</v>
      </c>
    </row>
    <row r="1206" spans="1:8" x14ac:dyDescent="0.15">
      <c r="A1206" s="62" t="s">
        <v>13</v>
      </c>
      <c r="B1206" s="62">
        <v>10010</v>
      </c>
      <c r="C1206" s="62">
        <v>15</v>
      </c>
      <c r="D1206" s="62">
        <v>7.6925999999999997</v>
      </c>
      <c r="E1206" s="62">
        <v>260.77050000000003</v>
      </c>
      <c r="F1206" s="62">
        <v>13.337</v>
      </c>
      <c r="G1206" s="62">
        <v>88.910600000000002</v>
      </c>
      <c r="H1206" s="62">
        <v>108.02</v>
      </c>
    </row>
    <row r="1207" spans="1:8" x14ac:dyDescent="0.15">
      <c r="A1207" s="62" t="s">
        <v>13</v>
      </c>
      <c r="B1207" s="62">
        <v>10010</v>
      </c>
      <c r="C1207" s="62">
        <v>15</v>
      </c>
      <c r="D1207" s="62">
        <v>7.6933999999999996</v>
      </c>
      <c r="E1207" s="62">
        <v>260.74299999999999</v>
      </c>
      <c r="F1207" s="62">
        <v>13.335000000000001</v>
      </c>
      <c r="G1207" s="62">
        <v>88.901200000000003</v>
      </c>
      <c r="H1207" s="62">
        <v>107.93</v>
      </c>
    </row>
    <row r="1208" spans="1:8" x14ac:dyDescent="0.15">
      <c r="A1208" s="62" t="s">
        <v>13</v>
      </c>
      <c r="B1208" s="62">
        <v>10010</v>
      </c>
      <c r="C1208" s="62">
        <v>15</v>
      </c>
      <c r="D1208" s="62">
        <v>7.6904000000000003</v>
      </c>
      <c r="E1208" s="62">
        <v>260.84679999999997</v>
      </c>
      <c r="F1208" s="62">
        <v>13.34</v>
      </c>
      <c r="G1208" s="62">
        <v>88.936599999999999</v>
      </c>
      <c r="H1208" s="62">
        <v>107.93</v>
      </c>
    </row>
    <row r="1209" spans="1:8" x14ac:dyDescent="0.15">
      <c r="A1209" s="62" t="s">
        <v>13</v>
      </c>
      <c r="B1209" s="62">
        <v>10010</v>
      </c>
      <c r="C1209" s="62">
        <v>15</v>
      </c>
      <c r="D1209" s="62">
        <v>7.6894999999999998</v>
      </c>
      <c r="E1209" s="62">
        <v>260.87490000000003</v>
      </c>
      <c r="F1209" s="62">
        <v>13.342000000000001</v>
      </c>
      <c r="G1209" s="62">
        <v>88.946200000000005</v>
      </c>
      <c r="H1209" s="62">
        <v>107.8199</v>
      </c>
    </row>
    <row r="1210" spans="1:8" x14ac:dyDescent="0.15">
      <c r="A1210" s="62" t="s">
        <v>13</v>
      </c>
      <c r="B1210" s="62">
        <v>10010</v>
      </c>
      <c r="C1210" s="62">
        <v>15</v>
      </c>
      <c r="D1210" s="62">
        <v>7.6954000000000002</v>
      </c>
      <c r="E1210" s="62">
        <v>260.67520000000002</v>
      </c>
      <c r="F1210" s="62">
        <v>13.332000000000001</v>
      </c>
      <c r="G1210" s="62">
        <v>88.878100000000003</v>
      </c>
      <c r="H1210" s="62">
        <v>107.81010000000001</v>
      </c>
    </row>
    <row r="1211" spans="1:8" x14ac:dyDescent="0.15">
      <c r="A1211" s="62" t="s">
        <v>13</v>
      </c>
      <c r="B1211" s="62">
        <v>10010</v>
      </c>
      <c r="C1211" s="62">
        <v>15</v>
      </c>
      <c r="D1211" s="62">
        <v>7.6909999999999998</v>
      </c>
      <c r="E1211" s="62">
        <v>260.82549999999998</v>
      </c>
      <c r="F1211" s="62">
        <v>13.339</v>
      </c>
      <c r="G1211" s="62">
        <v>88.929299999999998</v>
      </c>
      <c r="H1211" s="62">
        <v>107.91</v>
      </c>
    </row>
    <row r="1212" spans="1:8" x14ac:dyDescent="0.15">
      <c r="A1212" s="62" t="s">
        <v>13</v>
      </c>
      <c r="B1212" s="62">
        <v>10010</v>
      </c>
      <c r="C1212" s="62">
        <v>15</v>
      </c>
      <c r="D1212" s="62">
        <v>7.6882000000000001</v>
      </c>
      <c r="E1212" s="62">
        <v>260.91899999999998</v>
      </c>
      <c r="F1212" s="62">
        <v>13.343999999999999</v>
      </c>
      <c r="G1212" s="62">
        <v>88.961200000000005</v>
      </c>
      <c r="H1212" s="62">
        <v>107.6699</v>
      </c>
    </row>
    <row r="1213" spans="1:8" x14ac:dyDescent="0.15">
      <c r="A1213" s="62" t="s">
        <v>13</v>
      </c>
      <c r="B1213" s="62">
        <v>10010</v>
      </c>
      <c r="C1213" s="62">
        <v>15</v>
      </c>
      <c r="D1213" s="62">
        <v>7.6946000000000003</v>
      </c>
      <c r="E1213" s="62">
        <v>260.70400000000001</v>
      </c>
      <c r="F1213" s="62">
        <v>13.333</v>
      </c>
      <c r="G1213" s="62">
        <v>88.887900000000002</v>
      </c>
      <c r="H1213" s="62">
        <v>107.95010000000001</v>
      </c>
    </row>
    <row r="1214" spans="1:8" x14ac:dyDescent="0.15">
      <c r="A1214" s="62" t="s">
        <v>13</v>
      </c>
      <c r="B1214" s="62">
        <v>10010</v>
      </c>
      <c r="C1214" s="62">
        <v>15</v>
      </c>
      <c r="D1214" s="62">
        <v>7.6711</v>
      </c>
      <c r="E1214" s="62">
        <v>261.50069999999999</v>
      </c>
      <c r="F1214" s="62">
        <v>13.374000000000001</v>
      </c>
      <c r="G1214" s="62">
        <v>89.159599999999998</v>
      </c>
      <c r="H1214" s="62">
        <v>107.68989999999999</v>
      </c>
    </row>
    <row r="1215" spans="1:8" x14ac:dyDescent="0.15">
      <c r="A1215" s="62" t="s">
        <v>13</v>
      </c>
      <c r="B1215" s="62">
        <v>10010</v>
      </c>
      <c r="C1215" s="62">
        <v>15</v>
      </c>
      <c r="D1215" s="62">
        <v>7.5420999999999996</v>
      </c>
      <c r="E1215" s="62">
        <v>265.9753</v>
      </c>
      <c r="F1215" s="62">
        <v>13.603</v>
      </c>
      <c r="G1215" s="62">
        <v>90.685199999999995</v>
      </c>
      <c r="H1215" s="62">
        <v>106.03</v>
      </c>
    </row>
    <row r="1216" spans="1:8" x14ac:dyDescent="0.15">
      <c r="A1216" s="62" t="s">
        <v>13</v>
      </c>
      <c r="B1216" s="62">
        <v>10010</v>
      </c>
      <c r="C1216" s="62">
        <v>15</v>
      </c>
      <c r="D1216" s="62">
        <v>7.5354999999999999</v>
      </c>
      <c r="E1216" s="62">
        <v>266.20729999999998</v>
      </c>
      <c r="F1216" s="62">
        <v>13.615</v>
      </c>
      <c r="G1216" s="62">
        <v>90.764300000000006</v>
      </c>
      <c r="H1216" s="62">
        <v>105.8</v>
      </c>
    </row>
    <row r="1217" spans="1:8" x14ac:dyDescent="0.15">
      <c r="A1217" s="62" t="s">
        <v>13</v>
      </c>
      <c r="B1217" s="62">
        <v>10010</v>
      </c>
      <c r="C1217" s="62">
        <v>15</v>
      </c>
      <c r="D1217" s="62">
        <v>7.5343</v>
      </c>
      <c r="E1217" s="62">
        <v>266.2484</v>
      </c>
      <c r="F1217" s="62">
        <v>13.617000000000001</v>
      </c>
      <c r="G1217" s="62">
        <v>90.778300000000002</v>
      </c>
      <c r="H1217" s="62">
        <v>105.85</v>
      </c>
    </row>
    <row r="1218" spans="1:8" x14ac:dyDescent="0.15">
      <c r="A1218" s="62" t="s">
        <v>13</v>
      </c>
      <c r="B1218" s="62">
        <v>10010</v>
      </c>
      <c r="C1218" s="62">
        <v>15</v>
      </c>
      <c r="D1218" s="62">
        <v>7.5415000000000001</v>
      </c>
      <c r="E1218" s="62">
        <v>265.99459999999999</v>
      </c>
      <c r="F1218" s="62">
        <v>13.603999999999999</v>
      </c>
      <c r="G1218" s="62">
        <v>90.691699999999997</v>
      </c>
      <c r="H1218" s="62">
        <v>106.02</v>
      </c>
    </row>
    <row r="1219" spans="1:8" x14ac:dyDescent="0.15">
      <c r="A1219" s="62" t="s">
        <v>13</v>
      </c>
      <c r="B1219" s="62">
        <v>10010</v>
      </c>
      <c r="C1219" s="62">
        <v>15</v>
      </c>
      <c r="D1219" s="62">
        <v>7.5414000000000003</v>
      </c>
      <c r="E1219" s="62">
        <v>265.99790000000002</v>
      </c>
      <c r="F1219" s="62">
        <v>13.603999999999999</v>
      </c>
      <c r="G1219" s="62">
        <v>90.692899999999995</v>
      </c>
      <c r="H1219" s="62">
        <v>105.87990000000001</v>
      </c>
    </row>
    <row r="1220" spans="1:8" x14ac:dyDescent="0.15">
      <c r="A1220" s="62" t="s">
        <v>13</v>
      </c>
      <c r="B1220" s="62">
        <v>10010</v>
      </c>
      <c r="C1220" s="62">
        <v>15</v>
      </c>
      <c r="D1220" s="62">
        <v>7.5415999999999999</v>
      </c>
      <c r="E1220" s="62">
        <v>265.99040000000002</v>
      </c>
      <c r="F1220" s="62">
        <v>13.603999999999999</v>
      </c>
      <c r="G1220" s="62">
        <v>90.690299999999993</v>
      </c>
      <c r="H1220" s="62">
        <v>105.95</v>
      </c>
    </row>
    <row r="1221" spans="1:8" x14ac:dyDescent="0.15">
      <c r="A1221" s="62" t="s">
        <v>13</v>
      </c>
      <c r="B1221" s="62">
        <v>10010</v>
      </c>
      <c r="C1221" s="62">
        <v>15</v>
      </c>
      <c r="D1221" s="62">
        <v>7.5419</v>
      </c>
      <c r="E1221" s="62">
        <v>265.98169999999999</v>
      </c>
      <c r="F1221" s="62">
        <v>13.603</v>
      </c>
      <c r="G1221" s="62">
        <v>90.687399999999997</v>
      </c>
      <c r="H1221" s="62">
        <v>106.01</v>
      </c>
    </row>
    <row r="1222" spans="1:8" x14ac:dyDescent="0.15">
      <c r="A1222" s="62" t="s">
        <v>13</v>
      </c>
      <c r="B1222" s="62">
        <v>10010</v>
      </c>
      <c r="C1222" s="62">
        <v>15</v>
      </c>
      <c r="D1222" s="62">
        <v>7.5411999999999999</v>
      </c>
      <c r="E1222" s="62">
        <v>266.00790000000001</v>
      </c>
      <c r="F1222" s="62">
        <v>13.603999999999999</v>
      </c>
      <c r="G1222" s="62">
        <v>90.696299999999994</v>
      </c>
      <c r="H1222" s="62">
        <v>105.8601</v>
      </c>
    </row>
    <row r="1223" spans="1:8" x14ac:dyDescent="0.15">
      <c r="A1223" s="62" t="s">
        <v>13</v>
      </c>
      <c r="B1223" s="62">
        <v>10010</v>
      </c>
      <c r="C1223" s="62">
        <v>15</v>
      </c>
      <c r="D1223" s="62">
        <v>7.5392999999999999</v>
      </c>
      <c r="E1223" s="62">
        <v>266.07249999999999</v>
      </c>
      <c r="F1223" s="62">
        <v>13.608000000000001</v>
      </c>
      <c r="G1223" s="62">
        <v>90.718299999999999</v>
      </c>
      <c r="H1223" s="62">
        <v>105.87990000000001</v>
      </c>
    </row>
    <row r="1224" spans="1:8" x14ac:dyDescent="0.15">
      <c r="A1224" s="62" t="s">
        <v>13</v>
      </c>
      <c r="B1224" s="62">
        <v>10010</v>
      </c>
      <c r="C1224" s="62">
        <v>15</v>
      </c>
      <c r="D1224" s="62">
        <v>7.5415000000000001</v>
      </c>
      <c r="E1224" s="62">
        <v>265.9948</v>
      </c>
      <c r="F1224" s="62">
        <v>13.603999999999999</v>
      </c>
      <c r="G1224" s="62">
        <v>90.691800000000001</v>
      </c>
      <c r="H1224" s="62">
        <v>105.98</v>
      </c>
    </row>
    <row r="1225" spans="1:8" x14ac:dyDescent="0.15">
      <c r="A1225" s="62" t="s">
        <v>13</v>
      </c>
      <c r="B1225" s="62">
        <v>10010</v>
      </c>
      <c r="C1225" s="62">
        <v>15</v>
      </c>
      <c r="D1225" s="62">
        <v>7.5419</v>
      </c>
      <c r="E1225" s="62">
        <v>265.9812</v>
      </c>
      <c r="F1225" s="62">
        <v>13.603</v>
      </c>
      <c r="G1225" s="62">
        <v>90.687200000000004</v>
      </c>
      <c r="H1225" s="62">
        <v>105.8601</v>
      </c>
    </row>
    <row r="1226" spans="1:8" x14ac:dyDescent="0.15">
      <c r="A1226" s="62" t="s">
        <v>13</v>
      </c>
      <c r="B1226" s="62">
        <v>10010</v>
      </c>
      <c r="C1226" s="62">
        <v>15</v>
      </c>
      <c r="D1226" s="62">
        <v>7.5412999999999997</v>
      </c>
      <c r="E1226" s="62">
        <v>266.00189999999998</v>
      </c>
      <c r="F1226" s="62">
        <v>13.603999999999999</v>
      </c>
      <c r="G1226" s="62">
        <v>90.694199999999995</v>
      </c>
      <c r="H1226" s="62">
        <v>105.90989999999999</v>
      </c>
    </row>
    <row r="1227" spans="1:8" x14ac:dyDescent="0.15">
      <c r="A1227" s="62" t="s">
        <v>13</v>
      </c>
      <c r="B1227" s="62">
        <v>10010</v>
      </c>
      <c r="C1227" s="62">
        <v>15</v>
      </c>
      <c r="D1227" s="62">
        <v>7.5416999999999996</v>
      </c>
      <c r="E1227" s="62">
        <v>265.9873</v>
      </c>
      <c r="F1227" s="62">
        <v>13.603</v>
      </c>
      <c r="G1227" s="62">
        <v>90.689300000000003</v>
      </c>
      <c r="H1227" s="62">
        <v>105.9302</v>
      </c>
    </row>
    <row r="1228" spans="1:8" x14ac:dyDescent="0.15">
      <c r="A1228" s="62" t="s">
        <v>13</v>
      </c>
      <c r="B1228" s="62">
        <v>10010</v>
      </c>
      <c r="C1228" s="62">
        <v>15</v>
      </c>
      <c r="D1228" s="62">
        <v>7.5412999999999997</v>
      </c>
      <c r="E1228" s="62">
        <v>266.00349999999997</v>
      </c>
      <c r="F1228" s="62">
        <v>13.603999999999999</v>
      </c>
      <c r="G1228" s="62">
        <v>90.694800000000001</v>
      </c>
      <c r="H1228" s="62">
        <v>105.87990000000001</v>
      </c>
    </row>
    <row r="1229" spans="1:8" x14ac:dyDescent="0.15">
      <c r="A1229" s="62" t="s">
        <v>13</v>
      </c>
      <c r="B1229" s="62">
        <v>10010</v>
      </c>
      <c r="C1229" s="62">
        <v>15</v>
      </c>
      <c r="D1229" s="62">
        <v>7.5418000000000003</v>
      </c>
      <c r="E1229" s="62">
        <v>265.98500000000001</v>
      </c>
      <c r="F1229" s="62">
        <v>13.603</v>
      </c>
      <c r="G1229" s="62">
        <v>90.688500000000005</v>
      </c>
      <c r="H1229" s="62">
        <v>105.8901</v>
      </c>
    </row>
    <row r="1230" spans="1:8" x14ac:dyDescent="0.15">
      <c r="A1230" s="62" t="s">
        <v>13</v>
      </c>
      <c r="B1230" s="62">
        <v>10010</v>
      </c>
      <c r="C1230" s="62">
        <v>15</v>
      </c>
      <c r="D1230" s="62">
        <v>7.5415999999999999</v>
      </c>
      <c r="E1230" s="62">
        <v>265.99360000000001</v>
      </c>
      <c r="F1230" s="62">
        <v>13.603999999999999</v>
      </c>
      <c r="G1230" s="62">
        <v>90.691400000000002</v>
      </c>
      <c r="H1230" s="62">
        <v>105.95</v>
      </c>
    </row>
    <row r="1231" spans="1:8" x14ac:dyDescent="0.15">
      <c r="A1231" s="62" t="s">
        <v>13</v>
      </c>
      <c r="B1231" s="62">
        <v>10010</v>
      </c>
      <c r="C1231" s="62">
        <v>15</v>
      </c>
      <c r="D1231" s="62">
        <v>7.5416999999999996</v>
      </c>
      <c r="E1231" s="62">
        <v>265.98880000000003</v>
      </c>
      <c r="F1231" s="62">
        <v>13.603</v>
      </c>
      <c r="G1231" s="62">
        <v>90.689800000000005</v>
      </c>
      <c r="H1231" s="62">
        <v>106.02</v>
      </c>
    </row>
    <row r="1232" spans="1:8" x14ac:dyDescent="0.15">
      <c r="A1232" s="62" t="s">
        <v>13</v>
      </c>
      <c r="B1232" s="62">
        <v>10010</v>
      </c>
      <c r="C1232" s="62">
        <v>15</v>
      </c>
      <c r="D1232" s="62">
        <v>7.5415000000000001</v>
      </c>
      <c r="E1232" s="62">
        <v>265.99459999999999</v>
      </c>
      <c r="F1232" s="62">
        <v>13.603999999999999</v>
      </c>
      <c r="G1232" s="62">
        <v>90.691800000000001</v>
      </c>
      <c r="H1232" s="62">
        <v>105.8699</v>
      </c>
    </row>
    <row r="1233" spans="1:8" x14ac:dyDescent="0.15">
      <c r="A1233" s="62" t="s">
        <v>13</v>
      </c>
      <c r="B1233" s="62">
        <v>10010</v>
      </c>
      <c r="C1233" s="62">
        <v>15</v>
      </c>
      <c r="D1233" s="62">
        <v>7.5411999999999999</v>
      </c>
      <c r="E1233" s="62">
        <v>266.00470000000001</v>
      </c>
      <c r="F1233" s="62">
        <v>13.603999999999999</v>
      </c>
      <c r="G1233" s="62">
        <v>90.6952</v>
      </c>
      <c r="H1233" s="62">
        <v>105.9299</v>
      </c>
    </row>
    <row r="1234" spans="1:8" x14ac:dyDescent="0.15">
      <c r="A1234" s="62" t="s">
        <v>13</v>
      </c>
      <c r="B1234" s="62">
        <v>10010</v>
      </c>
      <c r="C1234" s="62">
        <v>15</v>
      </c>
      <c r="D1234" s="62">
        <v>7.5369000000000002</v>
      </c>
      <c r="E1234" s="62">
        <v>266.1576</v>
      </c>
      <c r="F1234" s="62">
        <v>13.612</v>
      </c>
      <c r="G1234" s="62">
        <v>90.747299999999996</v>
      </c>
      <c r="H1234" s="62">
        <v>105.8</v>
      </c>
    </row>
    <row r="1235" spans="1:8" x14ac:dyDescent="0.15">
      <c r="A1235" s="62" t="s">
        <v>13</v>
      </c>
      <c r="B1235" s="62">
        <v>10010</v>
      </c>
      <c r="C1235" s="62">
        <v>15</v>
      </c>
      <c r="D1235" s="62">
        <v>7.5422000000000002</v>
      </c>
      <c r="E1235" s="62">
        <v>265.97050000000002</v>
      </c>
      <c r="F1235" s="62">
        <v>13.603</v>
      </c>
      <c r="G1235" s="62">
        <v>90.683499999999995</v>
      </c>
      <c r="H1235" s="62">
        <v>106.01</v>
      </c>
    </row>
    <row r="1236" spans="1:8" x14ac:dyDescent="0.15">
      <c r="A1236" s="62" t="s">
        <v>13</v>
      </c>
      <c r="B1236" s="62">
        <v>10010</v>
      </c>
      <c r="C1236" s="62">
        <v>15</v>
      </c>
      <c r="D1236" s="62">
        <v>7.5410000000000004</v>
      </c>
      <c r="E1236" s="62">
        <v>266.01240000000001</v>
      </c>
      <c r="F1236" s="62">
        <v>13.605</v>
      </c>
      <c r="G1236" s="62">
        <v>90.697800000000001</v>
      </c>
      <c r="H1236" s="62">
        <v>105.9199</v>
      </c>
    </row>
    <row r="1237" spans="1:8" x14ac:dyDescent="0.15">
      <c r="A1237" s="62" t="s">
        <v>13</v>
      </c>
      <c r="B1237" s="62">
        <v>10010</v>
      </c>
      <c r="C1237" s="62">
        <v>15</v>
      </c>
      <c r="D1237" s="62">
        <v>7.5419</v>
      </c>
      <c r="E1237" s="62">
        <v>265.98039999999997</v>
      </c>
      <c r="F1237" s="62">
        <v>13.603</v>
      </c>
      <c r="G1237" s="62">
        <v>90.686899999999994</v>
      </c>
      <c r="H1237" s="62">
        <v>105.99</v>
      </c>
    </row>
    <row r="1238" spans="1:8" x14ac:dyDescent="0.15">
      <c r="A1238" s="62" t="s">
        <v>13</v>
      </c>
      <c r="B1238" s="62">
        <v>10010</v>
      </c>
      <c r="C1238" s="62">
        <v>15</v>
      </c>
      <c r="D1238" s="62">
        <v>7.5388999999999999</v>
      </c>
      <c r="E1238" s="62">
        <v>266.08909999999997</v>
      </c>
      <c r="F1238" s="62">
        <v>13.609</v>
      </c>
      <c r="G1238" s="62">
        <v>90.724000000000004</v>
      </c>
      <c r="H1238" s="62">
        <v>105.79</v>
      </c>
    </row>
    <row r="1239" spans="1:8" x14ac:dyDescent="0.15">
      <c r="A1239" s="62" t="s">
        <v>13</v>
      </c>
      <c r="B1239" s="62">
        <v>10010</v>
      </c>
      <c r="C1239" s="62">
        <v>15</v>
      </c>
      <c r="D1239" s="62">
        <v>7.6010999999999997</v>
      </c>
      <c r="E1239" s="62">
        <v>263.90940000000001</v>
      </c>
      <c r="F1239" s="62">
        <v>13.497</v>
      </c>
      <c r="G1239" s="62">
        <v>89.980800000000002</v>
      </c>
      <c r="H1239" s="62">
        <v>106.6597</v>
      </c>
    </row>
    <row r="1240" spans="1:8" x14ac:dyDescent="0.15">
      <c r="A1240" s="62" t="s">
        <v>13</v>
      </c>
      <c r="B1240" s="62">
        <v>10010</v>
      </c>
      <c r="C1240" s="62">
        <v>15</v>
      </c>
      <c r="D1240" s="62">
        <v>7.5311000000000003</v>
      </c>
      <c r="E1240" s="62">
        <v>266.36149999999998</v>
      </c>
      <c r="F1240" s="62">
        <v>13.622999999999999</v>
      </c>
      <c r="G1240" s="62">
        <v>90.816900000000004</v>
      </c>
      <c r="H1240" s="62">
        <v>105.75</v>
      </c>
    </row>
    <row r="1241" spans="1:8" x14ac:dyDescent="0.15">
      <c r="A1241" s="62" t="s">
        <v>13</v>
      </c>
      <c r="B1241" s="62">
        <v>10010</v>
      </c>
      <c r="C1241" s="62">
        <v>15</v>
      </c>
      <c r="D1241" s="62">
        <v>7.5431999999999997</v>
      </c>
      <c r="E1241" s="62">
        <v>265.93520000000001</v>
      </c>
      <c r="F1241" s="62">
        <v>13.601000000000001</v>
      </c>
      <c r="G1241" s="62">
        <v>90.671499999999995</v>
      </c>
      <c r="H1241" s="62">
        <v>105.88039999999999</v>
      </c>
    </row>
    <row r="1242" spans="1:8" x14ac:dyDescent="0.15">
      <c r="A1242" s="62" t="s">
        <v>13</v>
      </c>
      <c r="B1242" s="62">
        <v>10010</v>
      </c>
      <c r="C1242" s="62">
        <v>15</v>
      </c>
      <c r="D1242" s="62">
        <v>7.5448000000000004</v>
      </c>
      <c r="E1242" s="62">
        <v>265.87759999999997</v>
      </c>
      <c r="F1242" s="62">
        <v>13.598000000000001</v>
      </c>
      <c r="G1242" s="62">
        <v>90.651899999999998</v>
      </c>
      <c r="H1242" s="62">
        <v>106.0098</v>
      </c>
    </row>
    <row r="1243" spans="1:8" x14ac:dyDescent="0.15">
      <c r="A1243" s="62" t="s">
        <v>13</v>
      </c>
      <c r="B1243" s="62">
        <v>10010</v>
      </c>
      <c r="C1243" s="62">
        <v>15</v>
      </c>
      <c r="D1243" s="62">
        <v>7.5411000000000001</v>
      </c>
      <c r="E1243" s="62">
        <v>266.01119999999997</v>
      </c>
      <c r="F1243" s="62">
        <v>13.605</v>
      </c>
      <c r="G1243" s="62">
        <v>90.697400000000002</v>
      </c>
      <c r="H1243" s="62">
        <v>105.8501</v>
      </c>
    </row>
    <row r="1244" spans="1:8" x14ac:dyDescent="0.15">
      <c r="A1244" s="62" t="s">
        <v>13</v>
      </c>
      <c r="B1244" s="62">
        <v>10010</v>
      </c>
      <c r="C1244" s="62">
        <v>15</v>
      </c>
      <c r="D1244" s="62">
        <v>7.5433000000000003</v>
      </c>
      <c r="E1244" s="62">
        <v>265.93279999999999</v>
      </c>
      <c r="F1244" s="62">
        <v>13.601000000000001</v>
      </c>
      <c r="G1244" s="62">
        <v>90.670699999999997</v>
      </c>
      <c r="H1244" s="62">
        <v>105.98</v>
      </c>
    </row>
    <row r="1245" spans="1:8" x14ac:dyDescent="0.15">
      <c r="A1245" s="62" t="s">
        <v>13</v>
      </c>
      <c r="B1245" s="62">
        <v>10010</v>
      </c>
      <c r="C1245" s="62">
        <v>15</v>
      </c>
      <c r="D1245" s="62">
        <v>7.5415999999999999</v>
      </c>
      <c r="E1245" s="62">
        <v>265.99200000000002</v>
      </c>
      <c r="F1245" s="62">
        <v>13.603999999999999</v>
      </c>
      <c r="G1245" s="62">
        <v>90.690899999999999</v>
      </c>
      <c r="H1245" s="62">
        <v>106.02</v>
      </c>
    </row>
    <row r="1246" spans="1:8" x14ac:dyDescent="0.15">
      <c r="A1246" s="62" t="s">
        <v>13</v>
      </c>
      <c r="B1246" s="62">
        <v>10010</v>
      </c>
      <c r="C1246" s="62">
        <v>15</v>
      </c>
      <c r="D1246" s="62">
        <v>7.5412999999999997</v>
      </c>
      <c r="E1246" s="62">
        <v>266.00299999999999</v>
      </c>
      <c r="F1246" s="62">
        <v>13.603999999999999</v>
      </c>
      <c r="G1246" s="62">
        <v>90.694599999999994</v>
      </c>
      <c r="H1246" s="62">
        <v>105.88039999999999</v>
      </c>
    </row>
    <row r="1247" spans="1:8" x14ac:dyDescent="0.15">
      <c r="A1247" s="62" t="s">
        <v>13</v>
      </c>
      <c r="B1247" s="62">
        <v>10010</v>
      </c>
      <c r="C1247" s="62">
        <v>15</v>
      </c>
      <c r="D1247" s="62">
        <v>7.5412999999999997</v>
      </c>
      <c r="E1247" s="62">
        <v>266.00139999999999</v>
      </c>
      <c r="F1247" s="62">
        <v>13.603999999999999</v>
      </c>
      <c r="G1247" s="62">
        <v>90.694100000000006</v>
      </c>
      <c r="H1247" s="62">
        <v>105.9302</v>
      </c>
    </row>
    <row r="1248" spans="1:8" x14ac:dyDescent="0.15">
      <c r="A1248" s="62" t="s">
        <v>13</v>
      </c>
      <c r="B1248" s="62">
        <v>10010</v>
      </c>
      <c r="C1248" s="62">
        <v>15</v>
      </c>
      <c r="D1248" s="62">
        <v>7.5422000000000002</v>
      </c>
      <c r="E1248" s="62">
        <v>265.97239999999999</v>
      </c>
      <c r="F1248" s="62">
        <v>13.603</v>
      </c>
      <c r="G1248" s="62">
        <v>90.684200000000004</v>
      </c>
      <c r="H1248" s="62">
        <v>105.93989999999999</v>
      </c>
    </row>
    <row r="1249" spans="1:8" x14ac:dyDescent="0.15">
      <c r="A1249" s="62" t="s">
        <v>13</v>
      </c>
      <c r="B1249" s="62">
        <v>10010</v>
      </c>
      <c r="C1249" s="62">
        <v>15</v>
      </c>
      <c r="D1249" s="62">
        <v>7.5415000000000001</v>
      </c>
      <c r="E1249" s="62">
        <v>265.99689999999998</v>
      </c>
      <c r="F1249" s="62">
        <v>13.603999999999999</v>
      </c>
      <c r="G1249" s="62">
        <v>90.692499999999995</v>
      </c>
      <c r="H1249" s="62">
        <v>105.9302</v>
      </c>
    </row>
    <row r="1250" spans="1:8" x14ac:dyDescent="0.15">
      <c r="A1250" s="62" t="s">
        <v>13</v>
      </c>
      <c r="B1250" s="62">
        <v>10010</v>
      </c>
      <c r="C1250" s="62">
        <v>15</v>
      </c>
      <c r="D1250" s="62">
        <v>7.6459000000000001</v>
      </c>
      <c r="E1250" s="62">
        <v>262.36279999999999</v>
      </c>
      <c r="F1250" s="62">
        <v>13.417999999999999</v>
      </c>
      <c r="G1250" s="62">
        <v>89.453500000000005</v>
      </c>
      <c r="H1250" s="62">
        <v>107.3301</v>
      </c>
    </row>
    <row r="1251" spans="1:8" x14ac:dyDescent="0.15">
      <c r="A1251" s="62" t="s">
        <v>13</v>
      </c>
      <c r="B1251" s="62">
        <v>10010</v>
      </c>
      <c r="C1251" s="62">
        <v>15</v>
      </c>
      <c r="D1251" s="62">
        <v>7.6821000000000002</v>
      </c>
      <c r="E1251" s="62">
        <v>261.1259</v>
      </c>
      <c r="F1251" s="62">
        <v>13.355</v>
      </c>
      <c r="G1251" s="62">
        <v>89.031800000000004</v>
      </c>
      <c r="H1251" s="62">
        <v>107.56010000000001</v>
      </c>
    </row>
    <row r="1252" spans="1:8" x14ac:dyDescent="0.15">
      <c r="A1252" s="62" t="s">
        <v>13</v>
      </c>
      <c r="B1252" s="62">
        <v>10010</v>
      </c>
      <c r="C1252" s="62">
        <v>15</v>
      </c>
      <c r="D1252" s="62">
        <v>7.5724</v>
      </c>
      <c r="E1252" s="62">
        <v>264.9092</v>
      </c>
      <c r="F1252" s="62">
        <v>13.548</v>
      </c>
      <c r="G1252" s="62">
        <v>90.321700000000007</v>
      </c>
      <c r="H1252" s="62">
        <v>106.3501</v>
      </c>
    </row>
    <row r="1253" spans="1:8" x14ac:dyDescent="0.15">
      <c r="A1253" s="62" t="s">
        <v>13</v>
      </c>
      <c r="B1253" s="62">
        <v>10010</v>
      </c>
      <c r="C1253" s="62">
        <v>15</v>
      </c>
      <c r="D1253" s="62">
        <v>7.5423999999999998</v>
      </c>
      <c r="E1253" s="62">
        <v>265.96269999999998</v>
      </c>
      <c r="F1253" s="62">
        <v>13.602</v>
      </c>
      <c r="G1253" s="62">
        <v>90.680899999999994</v>
      </c>
      <c r="H1253" s="62">
        <v>105.8403</v>
      </c>
    </row>
    <row r="1254" spans="1:8" x14ac:dyDescent="0.15">
      <c r="A1254" s="62" t="s">
        <v>13</v>
      </c>
      <c r="B1254" s="62">
        <v>10010</v>
      </c>
      <c r="C1254" s="62">
        <v>15</v>
      </c>
      <c r="D1254" s="62">
        <v>7.5415000000000001</v>
      </c>
      <c r="E1254" s="62">
        <v>265.99630000000002</v>
      </c>
      <c r="F1254" s="62">
        <v>13.603999999999999</v>
      </c>
      <c r="G1254" s="62">
        <v>90.692300000000003</v>
      </c>
      <c r="H1254" s="62">
        <v>105.8901</v>
      </c>
    </row>
    <row r="1255" spans="1:8" x14ac:dyDescent="0.15">
      <c r="A1255" s="62" t="s">
        <v>13</v>
      </c>
      <c r="B1255" s="62">
        <v>10010</v>
      </c>
      <c r="C1255" s="62">
        <v>15</v>
      </c>
      <c r="D1255" s="62">
        <v>7.5415999999999999</v>
      </c>
      <c r="E1255" s="62">
        <v>265.9914</v>
      </c>
      <c r="F1255" s="62">
        <v>13.603999999999999</v>
      </c>
      <c r="G1255" s="62">
        <v>90.690700000000007</v>
      </c>
      <c r="H1255" s="62">
        <v>105.9404</v>
      </c>
    </row>
    <row r="1256" spans="1:8" x14ac:dyDescent="0.15">
      <c r="A1256" s="62" t="s">
        <v>13</v>
      </c>
      <c r="B1256" s="62">
        <v>10010</v>
      </c>
      <c r="C1256" s="62">
        <v>16</v>
      </c>
      <c r="D1256" s="62">
        <v>6.6767000000000003</v>
      </c>
      <c r="E1256" s="62">
        <v>300.45030000000003</v>
      </c>
      <c r="F1256" s="62">
        <v>15.366</v>
      </c>
      <c r="G1256" s="62">
        <v>96.037099999999995</v>
      </c>
      <c r="H1256" s="62">
        <v>106.62009999999999</v>
      </c>
    </row>
    <row r="1257" spans="1:8" x14ac:dyDescent="0.15">
      <c r="A1257" s="62" t="s">
        <v>13</v>
      </c>
      <c r="B1257" s="62">
        <v>10010</v>
      </c>
      <c r="C1257" s="62">
        <v>16</v>
      </c>
      <c r="D1257" s="62">
        <v>6.6242000000000001</v>
      </c>
      <c r="E1257" s="62">
        <v>302.83150000000001</v>
      </c>
      <c r="F1257" s="62">
        <v>15.488</v>
      </c>
      <c r="G1257" s="62">
        <v>96.798199999999994</v>
      </c>
      <c r="H1257" s="62">
        <v>105.94970000000001</v>
      </c>
    </row>
    <row r="1258" spans="1:8" x14ac:dyDescent="0.15">
      <c r="A1258" s="62" t="s">
        <v>13</v>
      </c>
      <c r="B1258" s="62">
        <v>10010</v>
      </c>
      <c r="C1258" s="62">
        <v>16</v>
      </c>
      <c r="D1258" s="62">
        <v>6.6936999999999998</v>
      </c>
      <c r="E1258" s="62">
        <v>299.6841</v>
      </c>
      <c r="F1258" s="62">
        <v>15.327</v>
      </c>
      <c r="G1258" s="62">
        <v>95.792199999999994</v>
      </c>
      <c r="H1258" s="62">
        <v>106.9302</v>
      </c>
    </row>
    <row r="1259" spans="1:8" x14ac:dyDescent="0.15">
      <c r="A1259" s="62" t="s">
        <v>13</v>
      </c>
      <c r="B1259" s="62">
        <v>10010</v>
      </c>
      <c r="C1259" s="62">
        <v>16</v>
      </c>
      <c r="D1259" s="62">
        <v>6.6285999999999996</v>
      </c>
      <c r="E1259" s="62">
        <v>302.62849999999997</v>
      </c>
      <c r="F1259" s="62">
        <v>15.477</v>
      </c>
      <c r="G1259" s="62">
        <v>96.7333</v>
      </c>
      <c r="H1259" s="62">
        <v>106.0098</v>
      </c>
    </row>
    <row r="1260" spans="1:8" x14ac:dyDescent="0.15">
      <c r="A1260" s="62" t="s">
        <v>13</v>
      </c>
      <c r="B1260" s="62">
        <v>10010</v>
      </c>
      <c r="C1260" s="62">
        <v>16</v>
      </c>
      <c r="D1260" s="62">
        <v>6.6837999999999997</v>
      </c>
      <c r="E1260" s="62">
        <v>300.12889999999999</v>
      </c>
      <c r="F1260" s="62">
        <v>15.349</v>
      </c>
      <c r="G1260" s="62">
        <v>95.934299999999993</v>
      </c>
      <c r="H1260" s="62">
        <v>106.77</v>
      </c>
    </row>
    <row r="1261" spans="1:8" x14ac:dyDescent="0.15">
      <c r="A1261" s="62" t="s">
        <v>13</v>
      </c>
      <c r="B1261" s="62">
        <v>10010</v>
      </c>
      <c r="C1261" s="62">
        <v>16</v>
      </c>
      <c r="D1261" s="62">
        <v>6.6792999999999996</v>
      </c>
      <c r="E1261" s="62">
        <v>300.33100000000002</v>
      </c>
      <c r="F1261" s="62">
        <v>15.36</v>
      </c>
      <c r="G1261" s="62">
        <v>95.998900000000006</v>
      </c>
      <c r="H1261" s="62">
        <v>106.71040000000001</v>
      </c>
    </row>
    <row r="1262" spans="1:8" x14ac:dyDescent="0.15">
      <c r="A1262" s="62" t="s">
        <v>13</v>
      </c>
      <c r="B1262" s="62">
        <v>10010</v>
      </c>
      <c r="C1262" s="62">
        <v>16</v>
      </c>
      <c r="D1262" s="62">
        <v>6.6657999999999999</v>
      </c>
      <c r="E1262" s="62">
        <v>300.93880000000001</v>
      </c>
      <c r="F1262" s="62">
        <v>15.391</v>
      </c>
      <c r="G1262" s="62">
        <v>96.193200000000004</v>
      </c>
      <c r="H1262" s="62">
        <v>106.51949999999999</v>
      </c>
    </row>
    <row r="1263" spans="1:8" x14ac:dyDescent="0.15">
      <c r="A1263" s="62" t="s">
        <v>13</v>
      </c>
      <c r="B1263" s="62">
        <v>10010</v>
      </c>
      <c r="C1263" s="62">
        <v>16</v>
      </c>
      <c r="D1263" s="62">
        <v>6.6790000000000003</v>
      </c>
      <c r="E1263" s="62">
        <v>300.34620000000001</v>
      </c>
      <c r="F1263" s="62">
        <v>15.361000000000001</v>
      </c>
      <c r="G1263" s="62">
        <v>96.003799999999998</v>
      </c>
      <c r="H1263" s="62">
        <v>106.6904</v>
      </c>
    </row>
    <row r="1264" spans="1:8" x14ac:dyDescent="0.15">
      <c r="A1264" s="62" t="s">
        <v>13</v>
      </c>
      <c r="B1264" s="62">
        <v>10010</v>
      </c>
      <c r="C1264" s="62">
        <v>16</v>
      </c>
      <c r="D1264" s="62">
        <v>6.6216999999999997</v>
      </c>
      <c r="E1264" s="62">
        <v>302.94650000000001</v>
      </c>
      <c r="F1264" s="62">
        <v>15.494</v>
      </c>
      <c r="G1264" s="62">
        <v>96.834999999999994</v>
      </c>
      <c r="H1264" s="62">
        <v>105.8999</v>
      </c>
    </row>
    <row r="1265" spans="1:8" x14ac:dyDescent="0.15">
      <c r="A1265" s="62" t="s">
        <v>13</v>
      </c>
      <c r="B1265" s="62">
        <v>10010</v>
      </c>
      <c r="C1265" s="62">
        <v>16</v>
      </c>
      <c r="D1265" s="62">
        <v>6.6855000000000002</v>
      </c>
      <c r="E1265" s="62">
        <v>300.05200000000002</v>
      </c>
      <c r="F1265" s="62">
        <v>15.346</v>
      </c>
      <c r="G1265" s="62">
        <v>95.909800000000004</v>
      </c>
      <c r="H1265" s="62">
        <v>106.79</v>
      </c>
    </row>
    <row r="1266" spans="1:8" x14ac:dyDescent="0.15">
      <c r="A1266" s="62" t="s">
        <v>13</v>
      </c>
      <c r="B1266" s="62">
        <v>10010</v>
      </c>
      <c r="C1266" s="62">
        <v>16</v>
      </c>
      <c r="D1266" s="62">
        <v>6.6238000000000001</v>
      </c>
      <c r="E1266" s="62">
        <v>302.85000000000002</v>
      </c>
      <c r="F1266" s="62">
        <v>15.489000000000001</v>
      </c>
      <c r="G1266" s="62">
        <v>96.804100000000005</v>
      </c>
      <c r="H1266" s="62">
        <v>105.93989999999999</v>
      </c>
    </row>
    <row r="1267" spans="1:8" x14ac:dyDescent="0.15">
      <c r="A1267" s="62" t="s">
        <v>13</v>
      </c>
      <c r="B1267" s="62">
        <v>10010</v>
      </c>
      <c r="C1267" s="62">
        <v>16</v>
      </c>
      <c r="D1267" s="62">
        <v>6.7008000000000001</v>
      </c>
      <c r="E1267" s="62">
        <v>299.37020000000001</v>
      </c>
      <c r="F1267" s="62">
        <v>15.311</v>
      </c>
      <c r="G1267" s="62">
        <v>95.691800000000001</v>
      </c>
      <c r="H1267" s="62">
        <v>107.0303</v>
      </c>
    </row>
    <row r="1268" spans="1:8" x14ac:dyDescent="0.15">
      <c r="A1268" s="62" t="s">
        <v>13</v>
      </c>
      <c r="B1268" s="62">
        <v>10010</v>
      </c>
      <c r="C1268" s="62">
        <v>16</v>
      </c>
      <c r="D1268" s="62">
        <v>6.9176000000000002</v>
      </c>
      <c r="E1268" s="62">
        <v>289.9871</v>
      </c>
      <c r="F1268" s="62">
        <v>14.831</v>
      </c>
      <c r="G1268" s="62">
        <v>92.692599999999999</v>
      </c>
      <c r="H1268" s="62">
        <v>110.29</v>
      </c>
    </row>
    <row r="1269" spans="1:8" x14ac:dyDescent="0.15">
      <c r="A1269" s="62" t="s">
        <v>13</v>
      </c>
      <c r="B1269" s="62">
        <v>10010</v>
      </c>
      <c r="C1269" s="62">
        <v>16</v>
      </c>
      <c r="D1269" s="62">
        <v>6.6905999999999999</v>
      </c>
      <c r="E1269" s="62">
        <v>299.82670000000002</v>
      </c>
      <c r="F1269" s="62">
        <v>15.334</v>
      </c>
      <c r="G1269" s="62">
        <v>95.837800000000001</v>
      </c>
      <c r="H1269" s="62">
        <v>106.8901</v>
      </c>
    </row>
    <row r="1270" spans="1:8" x14ac:dyDescent="0.15">
      <c r="A1270" s="62" t="s">
        <v>13</v>
      </c>
      <c r="B1270" s="62">
        <v>10010</v>
      </c>
      <c r="C1270" s="62">
        <v>16</v>
      </c>
      <c r="D1270" s="62">
        <v>6.7047999999999996</v>
      </c>
      <c r="E1270" s="62">
        <v>299.18880000000001</v>
      </c>
      <c r="F1270" s="62">
        <v>15.301</v>
      </c>
      <c r="G1270" s="62">
        <v>95.633799999999994</v>
      </c>
      <c r="H1270" s="62">
        <v>107.0698</v>
      </c>
    </row>
    <row r="1271" spans="1:8" x14ac:dyDescent="0.15">
      <c r="A1271" s="62" t="s">
        <v>13</v>
      </c>
      <c r="B1271" s="62">
        <v>10010</v>
      </c>
      <c r="C1271" s="62">
        <v>16</v>
      </c>
      <c r="D1271" s="62">
        <v>6.6214000000000004</v>
      </c>
      <c r="E1271" s="62">
        <v>302.96010000000001</v>
      </c>
      <c r="F1271" s="62">
        <v>15.494</v>
      </c>
      <c r="G1271" s="62">
        <v>96.839299999999994</v>
      </c>
      <c r="H1271" s="62">
        <v>105.8999</v>
      </c>
    </row>
    <row r="1272" spans="1:8" x14ac:dyDescent="0.15">
      <c r="A1272" s="62" t="s">
        <v>13</v>
      </c>
      <c r="B1272" s="62">
        <v>10010</v>
      </c>
      <c r="C1272" s="62">
        <v>16</v>
      </c>
      <c r="D1272" s="62">
        <v>6.7131999999999996</v>
      </c>
      <c r="E1272" s="62">
        <v>298.8141</v>
      </c>
      <c r="F1272" s="62">
        <v>15.282</v>
      </c>
      <c r="G1272" s="62">
        <v>95.514099999999999</v>
      </c>
      <c r="H1272" s="62">
        <v>107.1802</v>
      </c>
    </row>
    <row r="1273" spans="1:8" x14ac:dyDescent="0.15">
      <c r="A1273" s="62" t="s">
        <v>13</v>
      </c>
      <c r="B1273" s="62">
        <v>10010</v>
      </c>
      <c r="C1273" s="62">
        <v>16</v>
      </c>
      <c r="D1273" s="62">
        <v>6.6463999999999999</v>
      </c>
      <c r="E1273" s="62">
        <v>301.82029999999997</v>
      </c>
      <c r="F1273" s="62">
        <v>15.436</v>
      </c>
      <c r="G1273" s="62">
        <v>96.474999999999994</v>
      </c>
      <c r="H1273" s="62">
        <v>106.2803</v>
      </c>
    </row>
    <row r="1274" spans="1:8" x14ac:dyDescent="0.15">
      <c r="A1274" s="62" t="s">
        <v>13</v>
      </c>
      <c r="B1274" s="62">
        <v>10010</v>
      </c>
      <c r="C1274" s="62">
        <v>16</v>
      </c>
      <c r="D1274" s="62">
        <v>6.6943999999999999</v>
      </c>
      <c r="E1274" s="62">
        <v>299.65499999999997</v>
      </c>
      <c r="F1274" s="62">
        <v>15.324999999999999</v>
      </c>
      <c r="G1274" s="62">
        <v>95.782899999999998</v>
      </c>
      <c r="H1274" s="62">
        <v>106.9199</v>
      </c>
    </row>
    <row r="1275" spans="1:8" x14ac:dyDescent="0.15">
      <c r="A1275" s="62" t="s">
        <v>13</v>
      </c>
      <c r="B1275" s="62">
        <v>10010</v>
      </c>
      <c r="C1275" s="62">
        <v>16</v>
      </c>
      <c r="D1275" s="62">
        <v>6.6208999999999998</v>
      </c>
      <c r="E1275" s="62">
        <v>302.98099999999999</v>
      </c>
      <c r="F1275" s="62">
        <v>15.494999999999999</v>
      </c>
      <c r="G1275" s="62">
        <v>96.846000000000004</v>
      </c>
      <c r="H1275" s="62">
        <v>105.8896</v>
      </c>
    </row>
    <row r="1276" spans="1:8" x14ac:dyDescent="0.15">
      <c r="A1276" s="62" t="s">
        <v>13</v>
      </c>
      <c r="B1276" s="62">
        <v>10010</v>
      </c>
      <c r="C1276" s="62">
        <v>16</v>
      </c>
      <c r="D1276" s="62">
        <v>6.6794000000000002</v>
      </c>
      <c r="E1276" s="62">
        <v>300.32940000000002</v>
      </c>
      <c r="F1276" s="62">
        <v>15.36</v>
      </c>
      <c r="G1276" s="62">
        <v>95.998400000000004</v>
      </c>
      <c r="H1276" s="62">
        <v>106.69970000000001</v>
      </c>
    </row>
    <row r="1277" spans="1:8" x14ac:dyDescent="0.15">
      <c r="A1277" s="62" t="s">
        <v>13</v>
      </c>
      <c r="B1277" s="62">
        <v>10010</v>
      </c>
      <c r="C1277" s="62">
        <v>16</v>
      </c>
      <c r="D1277" s="62">
        <v>6.6227</v>
      </c>
      <c r="E1277" s="62">
        <v>302.8999</v>
      </c>
      <c r="F1277" s="62">
        <v>15.491</v>
      </c>
      <c r="G1277" s="62">
        <v>96.820099999999996</v>
      </c>
      <c r="H1277" s="62">
        <v>105.9199</v>
      </c>
    </row>
    <row r="1278" spans="1:8" x14ac:dyDescent="0.15">
      <c r="A1278" s="62" t="s">
        <v>13</v>
      </c>
      <c r="B1278" s="62">
        <v>10010</v>
      </c>
      <c r="C1278" s="62">
        <v>16</v>
      </c>
      <c r="D1278" s="62">
        <v>6.7111000000000001</v>
      </c>
      <c r="E1278" s="62">
        <v>298.90699999999998</v>
      </c>
      <c r="F1278" s="62">
        <v>15.287000000000001</v>
      </c>
      <c r="G1278" s="62">
        <v>95.543800000000005</v>
      </c>
      <c r="H1278" s="62">
        <v>107.1699</v>
      </c>
    </row>
    <row r="1279" spans="1:8" x14ac:dyDescent="0.15">
      <c r="A1279" s="62" t="s">
        <v>13</v>
      </c>
      <c r="B1279" s="62">
        <v>10010</v>
      </c>
      <c r="C1279" s="62">
        <v>16</v>
      </c>
      <c r="D1279" s="62">
        <v>6.6932999999999998</v>
      </c>
      <c r="E1279" s="62">
        <v>299.702</v>
      </c>
      <c r="F1279" s="62">
        <v>15.327999999999999</v>
      </c>
      <c r="G1279" s="62">
        <v>95.797899999999998</v>
      </c>
      <c r="H1279" s="62">
        <v>106.8994</v>
      </c>
    </row>
    <row r="1280" spans="1:8" x14ac:dyDescent="0.15">
      <c r="A1280" s="62" t="s">
        <v>13</v>
      </c>
      <c r="B1280" s="62">
        <v>10010</v>
      </c>
      <c r="C1280" s="62">
        <v>16</v>
      </c>
      <c r="D1280" s="62">
        <v>6.6219999999999999</v>
      </c>
      <c r="E1280" s="62">
        <v>302.93079999999998</v>
      </c>
      <c r="F1280" s="62">
        <v>15.493</v>
      </c>
      <c r="G1280" s="62">
        <v>96.829899999999995</v>
      </c>
      <c r="H1280" s="62">
        <v>105.87990000000001</v>
      </c>
    </row>
    <row r="1281" spans="1:8" x14ac:dyDescent="0.15">
      <c r="A1281" s="62" t="s">
        <v>13</v>
      </c>
      <c r="B1281" s="62">
        <v>10010</v>
      </c>
      <c r="C1281" s="62">
        <v>16</v>
      </c>
      <c r="D1281" s="62">
        <v>6.6745999999999999</v>
      </c>
      <c r="E1281" s="62">
        <v>300.54230000000001</v>
      </c>
      <c r="F1281" s="62">
        <v>15.371</v>
      </c>
      <c r="G1281" s="62">
        <v>96.066500000000005</v>
      </c>
      <c r="H1281" s="62">
        <v>106.5605</v>
      </c>
    </row>
    <row r="1282" spans="1:8" x14ac:dyDescent="0.15">
      <c r="A1282" s="62" t="s">
        <v>13</v>
      </c>
      <c r="B1282" s="62">
        <v>10010</v>
      </c>
      <c r="C1282" s="62">
        <v>16</v>
      </c>
      <c r="D1282" s="62">
        <v>6.6322999999999999</v>
      </c>
      <c r="E1282" s="62">
        <v>302.46019999999999</v>
      </c>
      <c r="F1282" s="62">
        <v>15.468999999999999</v>
      </c>
      <c r="G1282" s="62">
        <v>96.679500000000004</v>
      </c>
      <c r="H1282" s="62">
        <v>106.0996</v>
      </c>
    </row>
    <row r="1283" spans="1:8" x14ac:dyDescent="0.15">
      <c r="A1283" s="62" t="s">
        <v>13</v>
      </c>
      <c r="B1283" s="62">
        <v>10010</v>
      </c>
      <c r="C1283" s="62">
        <v>16</v>
      </c>
      <c r="D1283" s="62">
        <v>6.6859000000000002</v>
      </c>
      <c r="E1283" s="62">
        <v>300.0335</v>
      </c>
      <c r="F1283" s="62">
        <v>15.345000000000001</v>
      </c>
      <c r="G1283" s="62">
        <v>95.903899999999993</v>
      </c>
      <c r="H1283" s="62">
        <v>106.87990000000001</v>
      </c>
    </row>
    <row r="1284" spans="1:8" x14ac:dyDescent="0.15">
      <c r="A1284" s="62" t="s">
        <v>13</v>
      </c>
      <c r="B1284" s="62">
        <v>10010</v>
      </c>
      <c r="C1284" s="62">
        <v>16</v>
      </c>
      <c r="D1284" s="62">
        <v>10.4169</v>
      </c>
      <c r="E1284" s="62">
        <v>192.5729</v>
      </c>
      <c r="F1284" s="62">
        <v>9.8490000000000002</v>
      </c>
      <c r="G1284" s="62">
        <v>61.554699999999997</v>
      </c>
      <c r="H1284" s="62">
        <v>159.9502</v>
      </c>
    </row>
    <row r="1285" spans="1:8" x14ac:dyDescent="0.15">
      <c r="A1285" s="62" t="s">
        <v>13</v>
      </c>
      <c r="B1285" s="62">
        <v>10010</v>
      </c>
      <c r="C1285" s="62">
        <v>16</v>
      </c>
      <c r="D1285" s="62">
        <v>12.4107</v>
      </c>
      <c r="E1285" s="62">
        <v>161.63489999999999</v>
      </c>
      <c r="F1285" s="62">
        <v>8.266</v>
      </c>
      <c r="G1285" s="62">
        <v>51.665599999999998</v>
      </c>
      <c r="H1285" s="62">
        <v>187.79</v>
      </c>
    </row>
    <row r="1286" spans="1:8" x14ac:dyDescent="0.15">
      <c r="A1286" s="62" t="s">
        <v>13</v>
      </c>
      <c r="B1286" s="62">
        <v>10010</v>
      </c>
      <c r="C1286" s="62">
        <v>16</v>
      </c>
      <c r="D1286" s="62">
        <v>6.6627999999999998</v>
      </c>
      <c r="E1286" s="62">
        <v>301.0761</v>
      </c>
      <c r="F1286" s="62">
        <v>15.398</v>
      </c>
      <c r="G1286" s="62">
        <v>96.237099999999998</v>
      </c>
      <c r="H1286" s="62">
        <v>106.48050000000001</v>
      </c>
    </row>
    <row r="1287" spans="1:8" x14ac:dyDescent="0.15">
      <c r="A1287" s="62" t="s">
        <v>13</v>
      </c>
      <c r="B1287" s="62">
        <v>10010</v>
      </c>
      <c r="C1287" s="62">
        <v>16</v>
      </c>
      <c r="D1287" s="62">
        <v>6.6631999999999998</v>
      </c>
      <c r="E1287" s="62">
        <v>301.05790000000002</v>
      </c>
      <c r="F1287" s="62">
        <v>15.397</v>
      </c>
      <c r="G1287" s="62">
        <v>96.231300000000005</v>
      </c>
      <c r="H1287" s="62">
        <v>106.4395</v>
      </c>
    </row>
    <row r="1288" spans="1:8" x14ac:dyDescent="0.15">
      <c r="A1288" s="62" t="s">
        <v>13</v>
      </c>
      <c r="B1288" s="62">
        <v>10010</v>
      </c>
      <c r="C1288" s="62">
        <v>16</v>
      </c>
      <c r="D1288" s="62">
        <v>6.6101000000000001</v>
      </c>
      <c r="E1288" s="62">
        <v>303.47460000000001</v>
      </c>
      <c r="F1288" s="62">
        <v>15.521000000000001</v>
      </c>
      <c r="G1288" s="62">
        <v>97.003799999999998</v>
      </c>
      <c r="H1288" s="62">
        <v>105.71</v>
      </c>
    </row>
    <row r="1289" spans="1:8" x14ac:dyDescent="0.15">
      <c r="A1289" s="62" t="s">
        <v>13</v>
      </c>
      <c r="B1289" s="62">
        <v>10010</v>
      </c>
      <c r="C1289" s="62">
        <v>16</v>
      </c>
      <c r="D1289" s="62">
        <v>6.6928000000000001</v>
      </c>
      <c r="E1289" s="62">
        <v>299.72410000000002</v>
      </c>
      <c r="F1289" s="62">
        <v>15.329000000000001</v>
      </c>
      <c r="G1289" s="62">
        <v>95.805000000000007</v>
      </c>
      <c r="H1289" s="62">
        <v>106.8809</v>
      </c>
    </row>
    <row r="1290" spans="1:8" x14ac:dyDescent="0.15">
      <c r="A1290" s="62" t="s">
        <v>13</v>
      </c>
      <c r="B1290" s="62">
        <v>10010</v>
      </c>
      <c r="C1290" s="62">
        <v>16</v>
      </c>
      <c r="D1290" s="62">
        <v>6.6778000000000004</v>
      </c>
      <c r="E1290" s="62">
        <v>300.39789999999999</v>
      </c>
      <c r="F1290" s="62">
        <v>15.363</v>
      </c>
      <c r="G1290" s="62">
        <v>96.020300000000006</v>
      </c>
      <c r="H1290" s="62">
        <v>106.6797</v>
      </c>
    </row>
    <row r="1291" spans="1:8" x14ac:dyDescent="0.15">
      <c r="A1291" s="62" t="s">
        <v>13</v>
      </c>
      <c r="B1291" s="62">
        <v>10010</v>
      </c>
      <c r="C1291" s="62">
        <v>16</v>
      </c>
      <c r="D1291" s="62">
        <v>6.6173999999999999</v>
      </c>
      <c r="E1291" s="62">
        <v>303.14060000000001</v>
      </c>
      <c r="F1291" s="62">
        <v>15.504</v>
      </c>
      <c r="G1291" s="62">
        <v>96.897000000000006</v>
      </c>
      <c r="H1291" s="62">
        <v>105.8096</v>
      </c>
    </row>
    <row r="1292" spans="1:8" x14ac:dyDescent="0.15">
      <c r="A1292" s="62" t="s">
        <v>13</v>
      </c>
      <c r="B1292" s="62">
        <v>10010</v>
      </c>
      <c r="C1292" s="62">
        <v>16</v>
      </c>
      <c r="D1292" s="62">
        <v>6.6167999999999996</v>
      </c>
      <c r="E1292" s="62">
        <v>303.16699999999997</v>
      </c>
      <c r="F1292" s="62">
        <v>15.505000000000001</v>
      </c>
      <c r="G1292" s="62">
        <v>96.905500000000004</v>
      </c>
      <c r="H1292" s="62">
        <v>105.7998</v>
      </c>
    </row>
    <row r="1293" spans="1:8" x14ac:dyDescent="0.15">
      <c r="A1293" s="62" t="s">
        <v>13</v>
      </c>
      <c r="B1293" s="62">
        <v>10010</v>
      </c>
      <c r="C1293" s="62">
        <v>16</v>
      </c>
      <c r="D1293" s="62">
        <v>6.6558000000000002</v>
      </c>
      <c r="E1293" s="62">
        <v>301.39400000000001</v>
      </c>
      <c r="F1293" s="62">
        <v>15.414</v>
      </c>
      <c r="G1293" s="62">
        <v>96.338700000000003</v>
      </c>
      <c r="H1293" s="62">
        <v>106.3496</v>
      </c>
    </row>
    <row r="1294" spans="1:8" x14ac:dyDescent="0.15">
      <c r="A1294" s="62" t="s">
        <v>13</v>
      </c>
      <c r="B1294" s="62">
        <v>10010</v>
      </c>
      <c r="C1294" s="62">
        <v>16</v>
      </c>
      <c r="D1294" s="62">
        <v>6.6696</v>
      </c>
      <c r="E1294" s="62">
        <v>300.76780000000002</v>
      </c>
      <c r="F1294" s="62">
        <v>15.382</v>
      </c>
      <c r="G1294" s="62">
        <v>96.138599999999997</v>
      </c>
      <c r="H1294" s="62">
        <v>106.5205</v>
      </c>
    </row>
    <row r="1295" spans="1:8" x14ac:dyDescent="0.15">
      <c r="A1295" s="62" t="s">
        <v>13</v>
      </c>
      <c r="B1295" s="62">
        <v>10010</v>
      </c>
      <c r="C1295" s="62">
        <v>16</v>
      </c>
      <c r="D1295" s="62">
        <v>6.6089000000000002</v>
      </c>
      <c r="E1295" s="62">
        <v>303.53250000000003</v>
      </c>
      <c r="F1295" s="62">
        <v>15.523999999999999</v>
      </c>
      <c r="G1295" s="62">
        <v>97.022300000000001</v>
      </c>
      <c r="H1295" s="62">
        <v>105.6797</v>
      </c>
    </row>
    <row r="1296" spans="1:8" x14ac:dyDescent="0.15">
      <c r="A1296" s="62" t="s">
        <v>13</v>
      </c>
      <c r="B1296" s="62">
        <v>10010</v>
      </c>
      <c r="C1296" s="62">
        <v>16</v>
      </c>
      <c r="D1296" s="62">
        <v>6.6712999999999996</v>
      </c>
      <c r="E1296" s="62">
        <v>300.6902</v>
      </c>
      <c r="F1296" s="62">
        <v>15.378</v>
      </c>
      <c r="G1296" s="62">
        <v>96.113799999999998</v>
      </c>
      <c r="H1296" s="62">
        <v>106.5801</v>
      </c>
    </row>
    <row r="1297" spans="1:8" x14ac:dyDescent="0.15">
      <c r="A1297" s="62" t="s">
        <v>13</v>
      </c>
      <c r="B1297" s="62">
        <v>10010</v>
      </c>
      <c r="C1297" s="62">
        <v>16</v>
      </c>
      <c r="D1297" s="62">
        <v>6.6154000000000002</v>
      </c>
      <c r="E1297" s="62">
        <v>303.23349999999999</v>
      </c>
      <c r="F1297" s="62">
        <v>15.507999999999999</v>
      </c>
      <c r="G1297" s="62">
        <v>96.926699999999997</v>
      </c>
      <c r="H1297" s="62">
        <v>105.79</v>
      </c>
    </row>
    <row r="1298" spans="1:8" x14ac:dyDescent="0.15">
      <c r="A1298" s="62" t="s">
        <v>13</v>
      </c>
      <c r="B1298" s="62">
        <v>10010</v>
      </c>
      <c r="C1298" s="62">
        <v>16</v>
      </c>
      <c r="D1298" s="62">
        <v>6.6711</v>
      </c>
      <c r="E1298" s="62">
        <v>300.70060000000001</v>
      </c>
      <c r="F1298" s="62">
        <v>15.379</v>
      </c>
      <c r="G1298" s="62">
        <v>96.117099999999994</v>
      </c>
      <c r="H1298" s="62">
        <v>106.5498</v>
      </c>
    </row>
    <row r="1299" spans="1:8" x14ac:dyDescent="0.15">
      <c r="A1299" s="62" t="s">
        <v>13</v>
      </c>
      <c r="B1299" s="62">
        <v>10010</v>
      </c>
      <c r="C1299" s="62">
        <v>16</v>
      </c>
      <c r="D1299" s="62">
        <v>6.6204999999999998</v>
      </c>
      <c r="E1299" s="62">
        <v>303</v>
      </c>
      <c r="F1299" s="62">
        <v>15.496</v>
      </c>
      <c r="G1299" s="62">
        <v>96.852099999999993</v>
      </c>
      <c r="H1299" s="62">
        <v>105.85939999999999</v>
      </c>
    </row>
    <row r="1300" spans="1:8" x14ac:dyDescent="0.15">
      <c r="A1300" s="62" t="s">
        <v>13</v>
      </c>
      <c r="B1300" s="62">
        <v>10010</v>
      </c>
      <c r="C1300" s="62">
        <v>16</v>
      </c>
      <c r="D1300" s="62">
        <v>6.6802000000000001</v>
      </c>
      <c r="E1300" s="62">
        <v>300.2919</v>
      </c>
      <c r="F1300" s="62">
        <v>15.358000000000001</v>
      </c>
      <c r="G1300" s="62">
        <v>95.986400000000003</v>
      </c>
      <c r="H1300" s="62">
        <v>106.71</v>
      </c>
    </row>
    <row r="1301" spans="1:8" x14ac:dyDescent="0.15">
      <c r="A1301" s="62" t="s">
        <v>13</v>
      </c>
      <c r="B1301" s="62">
        <v>10010</v>
      </c>
      <c r="C1301" s="62">
        <v>16</v>
      </c>
      <c r="D1301" s="62">
        <v>6.6039000000000003</v>
      </c>
      <c r="E1301" s="62">
        <v>303.76260000000002</v>
      </c>
      <c r="F1301" s="62">
        <v>15.535</v>
      </c>
      <c r="G1301" s="62">
        <v>97.095799999999997</v>
      </c>
      <c r="H1301" s="62">
        <v>105.62009999999999</v>
      </c>
    </row>
    <row r="1302" spans="1:8" x14ac:dyDescent="0.15">
      <c r="A1302" s="62" t="s">
        <v>13</v>
      </c>
      <c r="B1302" s="62">
        <v>10010</v>
      </c>
      <c r="C1302" s="62">
        <v>16</v>
      </c>
      <c r="D1302" s="62">
        <v>6.6771000000000003</v>
      </c>
      <c r="E1302" s="62">
        <v>300.43130000000002</v>
      </c>
      <c r="F1302" s="62">
        <v>15.365</v>
      </c>
      <c r="G1302" s="62">
        <v>96.031000000000006</v>
      </c>
      <c r="H1302" s="62">
        <v>106.6504</v>
      </c>
    </row>
    <row r="1303" spans="1:8" x14ac:dyDescent="0.15">
      <c r="A1303" s="62" t="s">
        <v>13</v>
      </c>
      <c r="B1303" s="62">
        <v>10010</v>
      </c>
      <c r="C1303" s="62">
        <v>16</v>
      </c>
      <c r="D1303" s="62">
        <v>7.0076999999999998</v>
      </c>
      <c r="E1303" s="62">
        <v>286.25740000000002</v>
      </c>
      <c r="F1303" s="62">
        <v>14.64</v>
      </c>
      <c r="G1303" s="62">
        <v>91.500399999999999</v>
      </c>
      <c r="H1303" s="62">
        <v>111.4297</v>
      </c>
    </row>
    <row r="1304" spans="1:8" x14ac:dyDescent="0.15">
      <c r="A1304" s="62" t="s">
        <v>13</v>
      </c>
      <c r="B1304" s="62">
        <v>10010</v>
      </c>
      <c r="C1304" s="62">
        <v>16</v>
      </c>
      <c r="D1304" s="62">
        <v>6.6699000000000002</v>
      </c>
      <c r="E1304" s="62">
        <v>300.75510000000003</v>
      </c>
      <c r="F1304" s="62">
        <v>15.382</v>
      </c>
      <c r="G1304" s="62">
        <v>96.134500000000003</v>
      </c>
      <c r="H1304" s="62">
        <v>106.54</v>
      </c>
    </row>
    <row r="1305" spans="1:8" x14ac:dyDescent="0.15">
      <c r="A1305" s="62" t="s">
        <v>13</v>
      </c>
      <c r="B1305" s="62">
        <v>10010</v>
      </c>
      <c r="C1305" s="62">
        <v>16</v>
      </c>
      <c r="D1305" s="62">
        <v>6.665</v>
      </c>
      <c r="E1305" s="62">
        <v>300.97550000000001</v>
      </c>
      <c r="F1305" s="62">
        <v>15.393000000000001</v>
      </c>
      <c r="G1305" s="62">
        <v>96.204899999999995</v>
      </c>
      <c r="H1305" s="62">
        <v>106.5508</v>
      </c>
    </row>
    <row r="1306" spans="1:8" x14ac:dyDescent="0.15">
      <c r="A1306" s="62" t="s">
        <v>13</v>
      </c>
      <c r="B1306" s="62">
        <v>10010</v>
      </c>
      <c r="C1306" s="62">
        <v>16</v>
      </c>
      <c r="D1306" s="62">
        <v>6.6135000000000002</v>
      </c>
      <c r="E1306" s="62">
        <v>303.32139999999998</v>
      </c>
      <c r="F1306" s="62">
        <v>15.513</v>
      </c>
      <c r="G1306" s="62">
        <v>96.954800000000006</v>
      </c>
      <c r="H1306" s="62">
        <v>105.7197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Roman,Standaard"&amp;12&amp;A</oddHeader>
    <oddFooter>&amp;C&amp;"Times New Roman,Standaard"&amp;12Pagina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8"/>
  <sheetViews>
    <sheetView topLeftCell="A59" zoomScale="130" zoomScaleNormal="130" zoomScalePageLayoutView="130" workbookViewId="0">
      <selection activeCell="H110" sqref="H110"/>
    </sheetView>
  </sheetViews>
  <sheetFormatPr baseColWidth="10" defaultRowHeight="13" x14ac:dyDescent="0.15"/>
  <cols>
    <col min="1" max="1" width="22.83203125" style="1" customWidth="1"/>
    <col min="2" max="2" width="8.83203125" customWidth="1"/>
    <col min="3" max="3" width="8.1640625" customWidth="1"/>
    <col min="4" max="4" width="8.6640625" customWidth="1"/>
    <col min="12" max="12" width="10.83203125" style="1"/>
    <col min="13" max="13" width="22.1640625" customWidth="1"/>
    <col min="14" max="14" width="18.83203125" customWidth="1"/>
  </cols>
  <sheetData>
    <row r="1" spans="1:20" x14ac:dyDescent="0.15">
      <c r="B1" t="s">
        <v>25</v>
      </c>
      <c r="D1" t="str">
        <f>data!C1</f>
        <v>node1118.muk.os</v>
      </c>
    </row>
    <row r="2" spans="1:20" ht="14" thickBot="1" x14ac:dyDescent="0.2"/>
    <row r="3" spans="1:20" ht="14" thickBot="1" x14ac:dyDescent="0.2">
      <c r="E3" s="67" t="s">
        <v>20</v>
      </c>
      <c r="F3" s="68"/>
      <c r="G3" s="68"/>
      <c r="H3" s="69"/>
      <c r="I3" s="67" t="s">
        <v>7</v>
      </c>
      <c r="J3" s="68"/>
      <c r="K3" s="69"/>
      <c r="L3" s="26"/>
    </row>
    <row r="4" spans="1:20" ht="14" thickBot="1" x14ac:dyDescent="0.2">
      <c r="A4" s="29" t="s">
        <v>27</v>
      </c>
      <c r="B4" s="12" t="s">
        <v>3</v>
      </c>
      <c r="C4" s="13" t="s">
        <v>17</v>
      </c>
      <c r="D4" s="14" t="s">
        <v>14</v>
      </c>
      <c r="E4" s="15" t="s">
        <v>21</v>
      </c>
      <c r="F4" s="16" t="s">
        <v>23</v>
      </c>
      <c r="G4" s="16" t="s">
        <v>22</v>
      </c>
      <c r="H4" s="17" t="s">
        <v>24</v>
      </c>
      <c r="I4" s="15" t="s">
        <v>21</v>
      </c>
      <c r="J4" s="16" t="s">
        <v>23</v>
      </c>
      <c r="K4" s="17" t="s">
        <v>22</v>
      </c>
      <c r="L4" s="27"/>
      <c r="N4" t="s">
        <v>3</v>
      </c>
      <c r="O4" s="2" t="s">
        <v>17</v>
      </c>
      <c r="P4" s="2" t="s">
        <v>14</v>
      </c>
      <c r="Q4" s="2" t="s">
        <v>15</v>
      </c>
      <c r="R4" s="2" t="s">
        <v>16</v>
      </c>
      <c r="S4" s="2" t="s">
        <v>18</v>
      </c>
      <c r="T4" s="2" t="s">
        <v>19</v>
      </c>
    </row>
    <row r="5" spans="1:20" x14ac:dyDescent="0.15">
      <c r="A5" s="1" t="str">
        <f t="shared" ref="A5:A40" ca="1" si="0">N5 &amp; TEXT($O5,"000000") &amp; TEXT($P5, "000")</f>
        <v>OpenBLAS002500001</v>
      </c>
      <c r="B5" s="11" t="str">
        <f t="shared" ref="B5:B40" ca="1" si="1">N5</f>
        <v>OpenBLAS</v>
      </c>
      <c r="C5" s="22">
        <f t="shared" ref="C5:C40" ca="1" si="2">O5</f>
        <v>2500</v>
      </c>
      <c r="D5" s="23">
        <f t="shared" ref="D5:D40" ca="1" si="3">P5</f>
        <v>1</v>
      </c>
      <c r="E5" s="11">
        <f ca="1">AVERAGE(OFFSET(data!$A$1,$Q5-1,3,$R5,1))</f>
        <v>1.6224799999999999</v>
      </c>
      <c r="F5" s="22">
        <f ca="1">MIN(OFFSET(data!$A$1,$Q5-1,3,$R5,1))</f>
        <v>1.6132</v>
      </c>
      <c r="G5" s="22">
        <f ca="1">MAX(OFFSET(data!$A$1,$Q5-1,3,$R5,1))</f>
        <v>1.6322000000000001</v>
      </c>
      <c r="H5" s="24">
        <f t="shared" ref="H5:H40" ca="1" si="4">(G5-F5)/E5</f>
        <v>1.1710467925644771E-2</v>
      </c>
      <c r="I5" s="11">
        <f ca="1">AVERAGE(OFFSET(data!$A$1,$Q5-1,4,$R5,1))</f>
        <v>19.261119999999998</v>
      </c>
      <c r="J5" s="22">
        <f ca="1">MIN(OFFSET(data!$A$1,$Q5-1,4,$R5,1))</f>
        <v>19.1465</v>
      </c>
      <c r="K5" s="23">
        <f ca="1">MAX(OFFSET(data!$A$1,$Q5-1,4,$R5,1))</f>
        <v>19.370999999999999</v>
      </c>
      <c r="L5" s="28"/>
      <c r="N5" t="str">
        <f ca="1">OFFSET(data!$A$1,$Q5-1,0)</f>
        <v>OpenBLAS</v>
      </c>
      <c r="O5">
        <f ca="1">OFFSET(data!$A$1,$Q5-1,1)</f>
        <v>2500</v>
      </c>
      <c r="P5">
        <f ca="1">OFFSET(data!$A$1,$Q5-1,2)</f>
        <v>1</v>
      </c>
      <c r="Q5">
        <v>8</v>
      </c>
      <c r="R5">
        <v>5</v>
      </c>
      <c r="S5">
        <f ca="1">IF(AVERAGE(OFFSET(data!$A$1,$Q5,1,$R5-1,1))=O5,1,0)</f>
        <v>1</v>
      </c>
      <c r="T5">
        <f ca="1">IF(AVERAGE(OFFSET(data!$A$1,$Q5,2,$R5-1,1))=P5,1,0)</f>
        <v>1</v>
      </c>
    </row>
    <row r="6" spans="1:20" x14ac:dyDescent="0.15">
      <c r="A6" s="1" t="str">
        <f t="shared" ca="1" si="0"/>
        <v>OpenBLAS002500015</v>
      </c>
      <c r="B6" s="4" t="str">
        <f t="shared" ca="1" si="1"/>
        <v>OpenBLAS</v>
      </c>
      <c r="C6" s="3">
        <f t="shared" ca="1" si="2"/>
        <v>2500</v>
      </c>
      <c r="D6" s="9">
        <f t="shared" ca="1" si="3"/>
        <v>15</v>
      </c>
      <c r="E6" s="4">
        <f ca="1">AVERAGE(OFFSET(data!$A$1,$Q6-1,3,$R6,1))</f>
        <v>0.12417400000000006</v>
      </c>
      <c r="F6" s="3">
        <f ca="1">MIN(OFFSET(data!$A$1,$Q6-1,3,$R6,1))</f>
        <v>0.12330000000000001</v>
      </c>
      <c r="G6" s="3">
        <f ca="1">MAX(OFFSET(data!$A$1,$Q6-1,3,$R6,1))</f>
        <v>0.1293</v>
      </c>
      <c r="H6" s="5">
        <f t="shared" ca="1" si="4"/>
        <v>4.8319293894051804E-2</v>
      </c>
      <c r="I6" s="4">
        <f ca="1">AVERAGE(OFFSET(data!$A$1,$Q6-1,4,$R6,1))</f>
        <v>251.70312799999999</v>
      </c>
      <c r="J6" s="3">
        <f ca="1">MIN(OFFSET(data!$A$1,$Q6-1,4,$R6,1))</f>
        <v>241.7672</v>
      </c>
      <c r="K6" s="9">
        <f ca="1">MAX(OFFSET(data!$A$1,$Q6-1,4,$R6,1))</f>
        <v>253.4247</v>
      </c>
      <c r="L6" s="28"/>
      <c r="N6" t="str">
        <f ca="1">OFFSET(data!$A$1,$Q6-1,0)</f>
        <v>OpenBLAS</v>
      </c>
      <c r="O6">
        <f ca="1">OFFSET(data!$A$1,$Q6-1,1)</f>
        <v>2500</v>
      </c>
      <c r="P6">
        <f ca="1">OFFSET(data!$A$1,$Q6-1,2)</f>
        <v>15</v>
      </c>
      <c r="Q6">
        <f t="shared" ref="Q6:Q22" si="5">Q5+R5+1</f>
        <v>14</v>
      </c>
      <c r="R6">
        <v>50</v>
      </c>
      <c r="S6">
        <f ca="1">IF(AVERAGE(OFFSET(data!$A$1,$Q6,1,$R6-1,1))=O6,1,0)</f>
        <v>1</v>
      </c>
      <c r="T6">
        <f ca="1">IF(AVERAGE(OFFSET(data!$A$1,$Q6,2,$R6-1,1))=P6,1,0)</f>
        <v>1</v>
      </c>
    </row>
    <row r="7" spans="1:20" x14ac:dyDescent="0.15">
      <c r="A7" s="1" t="str">
        <f t="shared" ca="1" si="0"/>
        <v>OpenBLAS002500016</v>
      </c>
      <c r="B7" s="4" t="str">
        <f t="shared" ca="1" si="1"/>
        <v>OpenBLAS</v>
      </c>
      <c r="C7" s="3">
        <f t="shared" ca="1" si="2"/>
        <v>2500</v>
      </c>
      <c r="D7" s="9">
        <f t="shared" ca="1" si="3"/>
        <v>16</v>
      </c>
      <c r="E7" s="4">
        <f ca="1">AVERAGE(OFFSET(data!$A$1,$Q7-1,3,$R7,1))</f>
        <v>0.20255199999999998</v>
      </c>
      <c r="F7" s="3">
        <f ca="1">MIN(OFFSET(data!$A$1,$Q7-1,3,$R7,1))</f>
        <v>0.1145</v>
      </c>
      <c r="G7" s="3">
        <f ca="1">MAX(OFFSET(data!$A$1,$Q7-1,3,$R7,1))</f>
        <v>0.2291</v>
      </c>
      <c r="H7" s="5">
        <f t="shared" ca="1" si="4"/>
        <v>0.56578063904577591</v>
      </c>
      <c r="I7" s="4">
        <f ca="1">AVERAGE(OFFSET(data!$A$1,$Q7-1,4,$R7,1))</f>
        <v>160.74579999999997</v>
      </c>
      <c r="J7" s="3">
        <f ca="1">MIN(OFFSET(data!$A$1,$Q7-1,4,$R7,1))</f>
        <v>136.42449999999999</v>
      </c>
      <c r="K7" s="9">
        <f ca="1">MAX(OFFSET(data!$A$1,$Q7-1,4,$R7,1))</f>
        <v>272.89499999999998</v>
      </c>
      <c r="L7" s="28"/>
      <c r="N7" t="str">
        <f ca="1">OFFSET(data!$A$1,$Q7-1,0)</f>
        <v>OpenBLAS</v>
      </c>
      <c r="O7">
        <f ca="1">OFFSET(data!$A$1,$Q7-1,1)</f>
        <v>2500</v>
      </c>
      <c r="P7">
        <f ca="1">OFFSET(data!$A$1,$Q7-1,2)</f>
        <v>16</v>
      </c>
      <c r="Q7">
        <f t="shared" si="5"/>
        <v>65</v>
      </c>
      <c r="R7">
        <v>50</v>
      </c>
      <c r="S7">
        <f ca="1">IF(AVERAGE(OFFSET(data!$A$1,$Q7,1,$R7-1,1))=O7,1,0)</f>
        <v>1</v>
      </c>
      <c r="T7">
        <f ca="1">IF(AVERAGE(OFFSET(data!$A$1,$Q7,2,$R7-1,1))=P7,1,0)</f>
        <v>1</v>
      </c>
    </row>
    <row r="8" spans="1:20" x14ac:dyDescent="0.15">
      <c r="A8" s="1" t="str">
        <f t="shared" ca="1" si="0"/>
        <v>OpenBLAS002505001</v>
      </c>
      <c r="B8" s="4" t="str">
        <f t="shared" ca="1" si="1"/>
        <v>OpenBLAS</v>
      </c>
      <c r="C8" s="3">
        <f t="shared" ca="1" si="2"/>
        <v>2505</v>
      </c>
      <c r="D8" s="9">
        <f t="shared" ca="1" si="3"/>
        <v>1</v>
      </c>
      <c r="E8" s="4">
        <f ca="1">AVERAGE(OFFSET(data!$A$1,$Q8-1,3,$R8,1))</f>
        <v>1.6311800000000001</v>
      </c>
      <c r="F8" s="3">
        <f ca="1">MIN(OFFSET(data!$A$1,$Q8-1,3,$R8,1))</f>
        <v>1.6311</v>
      </c>
      <c r="G8" s="3">
        <f ca="1">MAX(OFFSET(data!$A$1,$Q8-1,3,$R8,1))</f>
        <v>1.6312</v>
      </c>
      <c r="H8" s="5">
        <f t="shared" ca="1" si="4"/>
        <v>6.1305312718393427E-5</v>
      </c>
      <c r="I8" s="4">
        <f ca="1">AVERAGE(OFFSET(data!$A$1,$Q8-1,4,$R8,1))</f>
        <v>19.272740000000006</v>
      </c>
      <c r="J8" s="3">
        <f ca="1">MIN(OFFSET(data!$A$1,$Q8-1,4,$R8,1))</f>
        <v>19.272300000000001</v>
      </c>
      <c r="K8" s="9">
        <f ca="1">MAX(OFFSET(data!$A$1,$Q8-1,4,$R8,1))</f>
        <v>19.273800000000001</v>
      </c>
      <c r="L8" s="28"/>
      <c r="N8" t="str">
        <f ca="1">OFFSET(data!$A$1,$Q8-1,0)</f>
        <v>OpenBLAS</v>
      </c>
      <c r="O8">
        <f ca="1">OFFSET(data!$A$1,$Q8-1,1)</f>
        <v>2505</v>
      </c>
      <c r="P8">
        <f ca="1">OFFSET(data!$A$1,$Q8-1,2)</f>
        <v>1</v>
      </c>
      <c r="Q8">
        <f t="shared" si="5"/>
        <v>116</v>
      </c>
      <c r="R8">
        <v>5</v>
      </c>
      <c r="S8">
        <f ca="1">IF(AVERAGE(OFFSET(data!$A$1,$Q8,1,$R8-1,1))=O8,1,0)</f>
        <v>1</v>
      </c>
      <c r="T8">
        <f ca="1">IF(AVERAGE(OFFSET(data!$A$1,$Q8,2,$R8-1,1))=P8,1,0)</f>
        <v>1</v>
      </c>
    </row>
    <row r="9" spans="1:20" x14ac:dyDescent="0.15">
      <c r="A9" s="1" t="str">
        <f t="shared" ca="1" si="0"/>
        <v>OpenBLAS002505015</v>
      </c>
      <c r="B9" s="4" t="str">
        <f t="shared" ca="1" si="1"/>
        <v>OpenBLAS</v>
      </c>
      <c r="C9" s="3">
        <f t="shared" ca="1" si="2"/>
        <v>2505</v>
      </c>
      <c r="D9" s="9">
        <f t="shared" ca="1" si="3"/>
        <v>15</v>
      </c>
      <c r="E9" s="4">
        <f ca="1">AVERAGE(OFFSET(data!$A$1,$Q9-1,3,$R9,1))</f>
        <v>0.12412000000000002</v>
      </c>
      <c r="F9" s="3">
        <f ca="1">MIN(OFFSET(data!$A$1,$Q9-1,3,$R9,1))</f>
        <v>0.1232</v>
      </c>
      <c r="G9" s="3">
        <f ca="1">MAX(OFFSET(data!$A$1,$Q9-1,3,$R9,1))</f>
        <v>0.1258</v>
      </c>
      <c r="H9" s="5">
        <f t="shared" ca="1" si="4"/>
        <v>2.0947470190138501E-2</v>
      </c>
      <c r="I9" s="4">
        <f ca="1">AVERAGE(OFFSET(data!$A$1,$Q9-1,4,$R9,1))</f>
        <v>253.280688</v>
      </c>
      <c r="J9" s="3">
        <f ca="1">MIN(OFFSET(data!$A$1,$Q9-1,4,$R9,1))</f>
        <v>249.8296</v>
      </c>
      <c r="K9" s="9">
        <f ca="1">MAX(OFFSET(data!$A$1,$Q9-1,4,$R9,1))</f>
        <v>255.25810000000001</v>
      </c>
      <c r="L9" s="28"/>
      <c r="N9" t="str">
        <f ca="1">OFFSET(data!$A$1,$Q9-1,0)</f>
        <v>OpenBLAS</v>
      </c>
      <c r="O9">
        <f ca="1">OFFSET(data!$A$1,$Q9-1,1)</f>
        <v>2505</v>
      </c>
      <c r="P9">
        <f ca="1">OFFSET(data!$A$1,$Q9-1,2)</f>
        <v>15</v>
      </c>
      <c r="Q9">
        <f t="shared" si="5"/>
        <v>122</v>
      </c>
      <c r="R9">
        <v>50</v>
      </c>
      <c r="S9">
        <f ca="1">IF(AVERAGE(OFFSET(data!$A$1,$Q9,1,$R9-1,1))=O9,1,0)</f>
        <v>1</v>
      </c>
      <c r="T9">
        <f ca="1">IF(AVERAGE(OFFSET(data!$A$1,$Q9,2,$R9-1,1))=P9,1,0)</f>
        <v>1</v>
      </c>
    </row>
    <row r="10" spans="1:20" x14ac:dyDescent="0.15">
      <c r="A10" s="1" t="str">
        <f t="shared" ca="1" si="0"/>
        <v>OpenBLAS002505016</v>
      </c>
      <c r="B10" s="4" t="str">
        <f t="shared" ca="1" si="1"/>
        <v>OpenBLAS</v>
      </c>
      <c r="C10" s="3">
        <f t="shared" ca="1" si="2"/>
        <v>2505</v>
      </c>
      <c r="D10" s="9">
        <f t="shared" ca="1" si="3"/>
        <v>16</v>
      </c>
      <c r="E10" s="4">
        <f ca="1">AVERAGE(OFFSET(data!$A$1,$Q10-1,3,$R10,1))</f>
        <v>0.11756600000000002</v>
      </c>
      <c r="F10" s="3">
        <f ca="1">MIN(OFFSET(data!$A$1,$Q10-1,3,$R10,1))</f>
        <v>0.11609999999999999</v>
      </c>
      <c r="G10" s="3">
        <f ca="1">MAX(OFFSET(data!$A$1,$Q10-1,3,$R10,1))</f>
        <v>0.1331</v>
      </c>
      <c r="H10" s="5">
        <f t="shared" ca="1" si="4"/>
        <v>0.14459962914448055</v>
      </c>
      <c r="I10" s="4">
        <f ca="1">AVERAGE(OFFSET(data!$A$1,$Q10-1,4,$R10,1))</f>
        <v>267.63091200000008</v>
      </c>
      <c r="J10" s="3">
        <f ca="1">MIN(OFFSET(data!$A$1,$Q10-1,4,$R10,1))</f>
        <v>236.1893</v>
      </c>
      <c r="K10" s="9">
        <f ca="1">MAX(OFFSET(data!$A$1,$Q10-1,4,$R10,1))</f>
        <v>270.82549999999998</v>
      </c>
      <c r="L10" s="28"/>
      <c r="N10" t="str">
        <f ca="1">OFFSET(data!$A$1,$Q10-1,0)</f>
        <v>OpenBLAS</v>
      </c>
      <c r="O10">
        <f ca="1">OFFSET(data!$A$1,$Q10-1,1)</f>
        <v>2505</v>
      </c>
      <c r="P10">
        <f ca="1">OFFSET(data!$A$1,$Q10-1,2)</f>
        <v>16</v>
      </c>
      <c r="Q10">
        <f t="shared" si="5"/>
        <v>173</v>
      </c>
      <c r="R10">
        <v>50</v>
      </c>
      <c r="S10">
        <f ca="1">IF(AVERAGE(OFFSET(data!$A$1,$Q10,1,$R10-1,1))=O10,1,0)</f>
        <v>1</v>
      </c>
      <c r="T10">
        <f ca="1">IF(AVERAGE(OFFSET(data!$A$1,$Q10,2,$R10-1,1))=P10,1,0)</f>
        <v>1</v>
      </c>
    </row>
    <row r="11" spans="1:20" x14ac:dyDescent="0.15">
      <c r="A11" s="1" t="str">
        <f t="shared" ca="1" si="0"/>
        <v>OpenBLAS002510001</v>
      </c>
      <c r="B11" s="4" t="str">
        <f t="shared" ca="1" si="1"/>
        <v>OpenBLAS</v>
      </c>
      <c r="C11" s="3">
        <f t="shared" ca="1" si="2"/>
        <v>2510</v>
      </c>
      <c r="D11" s="9">
        <f t="shared" ca="1" si="3"/>
        <v>1</v>
      </c>
      <c r="E11" s="4">
        <f ca="1">AVERAGE(OFFSET(data!$A$1,$Q11-1,3,$R11,1))</f>
        <v>1.6291199999999999</v>
      </c>
      <c r="F11" s="3">
        <f ca="1">MIN(OFFSET(data!$A$1,$Q11-1,3,$R11,1))</f>
        <v>1.629</v>
      </c>
      <c r="G11" s="3">
        <f ca="1">MAX(OFFSET(data!$A$1,$Q11-1,3,$R11,1))</f>
        <v>1.6292</v>
      </c>
      <c r="H11" s="5">
        <f t="shared" ca="1" si="4"/>
        <v>1.2276566489882759E-4</v>
      </c>
      <c r="I11" s="4">
        <f ca="1">AVERAGE(OFFSET(data!$A$1,$Q11-1,4,$R11,1))</f>
        <v>19.413319999999999</v>
      </c>
      <c r="J11" s="3">
        <f ca="1">MIN(OFFSET(data!$A$1,$Q11-1,4,$R11,1))</f>
        <v>19.412400000000002</v>
      </c>
      <c r="K11" s="9">
        <f ca="1">MAX(OFFSET(data!$A$1,$Q11-1,4,$R11,1))</f>
        <v>19.414100000000001</v>
      </c>
      <c r="L11" s="28"/>
      <c r="N11" t="str">
        <f ca="1">OFFSET(data!$A$1,$Q11-1,0)</f>
        <v>OpenBLAS</v>
      </c>
      <c r="O11">
        <f ca="1">OFFSET(data!$A$1,$Q11-1,1)</f>
        <v>2510</v>
      </c>
      <c r="P11">
        <f ca="1">OFFSET(data!$A$1,$Q11-1,2)</f>
        <v>1</v>
      </c>
      <c r="Q11">
        <f t="shared" si="5"/>
        <v>224</v>
      </c>
      <c r="R11">
        <v>5</v>
      </c>
      <c r="S11">
        <f ca="1">IF(AVERAGE(OFFSET(data!$A$1,$Q11,1,$R11-1,1))=O11,1,0)</f>
        <v>1</v>
      </c>
      <c r="T11">
        <f ca="1">IF(AVERAGE(OFFSET(data!$A$1,$Q11,2,$R11-1,1))=P11,1,0)</f>
        <v>1</v>
      </c>
    </row>
    <row r="12" spans="1:20" x14ac:dyDescent="0.15">
      <c r="A12" s="1" t="str">
        <f t="shared" ca="1" si="0"/>
        <v>OpenBLAS002510015</v>
      </c>
      <c r="B12" s="4" t="str">
        <f t="shared" ca="1" si="1"/>
        <v>OpenBLAS</v>
      </c>
      <c r="C12" s="3">
        <f t="shared" ca="1" si="2"/>
        <v>2510</v>
      </c>
      <c r="D12" s="9">
        <f t="shared" ca="1" si="3"/>
        <v>15</v>
      </c>
      <c r="E12" s="4">
        <f ca="1">AVERAGE(OFFSET(data!$A$1,$Q12-1,3,$R12,1))</f>
        <v>0.12219399999999996</v>
      </c>
      <c r="F12" s="3">
        <f ca="1">MIN(OFFSET(data!$A$1,$Q12-1,3,$R12,1))</f>
        <v>0.1217</v>
      </c>
      <c r="G12" s="3">
        <f ca="1">MAX(OFFSET(data!$A$1,$Q12-1,3,$R12,1))</f>
        <v>0.1226</v>
      </c>
      <c r="H12" s="5">
        <f t="shared" ca="1" si="4"/>
        <v>7.3653370869273312E-3</v>
      </c>
      <c r="I12" s="4">
        <f ca="1">AVERAGE(OFFSET(data!$A$1,$Q12-1,4,$R12,1))</f>
        <v>258.82318600000008</v>
      </c>
      <c r="J12" s="3">
        <f ca="1">MIN(OFFSET(data!$A$1,$Q12-1,4,$R12,1))</f>
        <v>257.95229999999998</v>
      </c>
      <c r="K12" s="9">
        <f ca="1">MAX(OFFSET(data!$A$1,$Q12-1,4,$R12,1))</f>
        <v>259.89420000000001</v>
      </c>
      <c r="L12" s="28"/>
      <c r="N12" t="str">
        <f ca="1">OFFSET(data!$A$1,$Q12-1,0)</f>
        <v>OpenBLAS</v>
      </c>
      <c r="O12">
        <f ca="1">OFFSET(data!$A$1,$Q12-1,1)</f>
        <v>2510</v>
      </c>
      <c r="P12">
        <f ca="1">OFFSET(data!$A$1,$Q12-1,2)</f>
        <v>15</v>
      </c>
      <c r="Q12">
        <f t="shared" si="5"/>
        <v>230</v>
      </c>
      <c r="R12">
        <v>50</v>
      </c>
      <c r="S12">
        <f ca="1">IF(AVERAGE(OFFSET(data!$A$1,$Q12,1,$R12-1,1))=O12,1,0)</f>
        <v>1</v>
      </c>
      <c r="T12">
        <f ca="1">IF(AVERAGE(OFFSET(data!$A$1,$Q12,2,$R12-1,1))=P12,1,0)</f>
        <v>1</v>
      </c>
    </row>
    <row r="13" spans="1:20" x14ac:dyDescent="0.15">
      <c r="A13" s="1" t="str">
        <f t="shared" ca="1" si="0"/>
        <v>OpenBLAS002510016</v>
      </c>
      <c r="B13" s="4" t="str">
        <f t="shared" ca="1" si="1"/>
        <v>OpenBLAS</v>
      </c>
      <c r="C13" s="3">
        <f t="shared" ca="1" si="2"/>
        <v>2510</v>
      </c>
      <c r="D13" s="9">
        <f t="shared" ca="1" si="3"/>
        <v>16</v>
      </c>
      <c r="E13" s="4">
        <f ca="1">AVERAGE(OFFSET(data!$A$1,$Q13-1,3,$R13,1))</f>
        <v>0.11903799999999995</v>
      </c>
      <c r="F13" s="3">
        <f ca="1">MIN(OFFSET(data!$A$1,$Q13-1,3,$R13,1))</f>
        <v>0.1183</v>
      </c>
      <c r="G13" s="3">
        <f ca="1">MAX(OFFSET(data!$A$1,$Q13-1,3,$R13,1))</f>
        <v>0.12590000000000001</v>
      </c>
      <c r="H13" s="5">
        <f t="shared" ca="1" si="4"/>
        <v>6.3845158688822165E-2</v>
      </c>
      <c r="I13" s="4">
        <f ca="1">AVERAGE(OFFSET(data!$A$1,$Q13-1,4,$R13,1))</f>
        <v>265.71807200000001</v>
      </c>
      <c r="J13" s="3">
        <f ca="1">MIN(OFFSET(data!$A$1,$Q13-1,4,$R13,1))</f>
        <v>251.14500000000001</v>
      </c>
      <c r="K13" s="9">
        <f ca="1">MAX(OFFSET(data!$A$1,$Q13-1,4,$R13,1))</f>
        <v>267.24549999999999</v>
      </c>
      <c r="L13" s="28"/>
      <c r="N13" t="str">
        <f ca="1">OFFSET(data!$A$1,$Q13-1,0)</f>
        <v>OpenBLAS</v>
      </c>
      <c r="O13">
        <f ca="1">OFFSET(data!$A$1,$Q13-1,1)</f>
        <v>2510</v>
      </c>
      <c r="P13">
        <f ca="1">OFFSET(data!$A$1,$Q13-1,2)</f>
        <v>16</v>
      </c>
      <c r="Q13">
        <f t="shared" si="5"/>
        <v>281</v>
      </c>
      <c r="R13">
        <v>50</v>
      </c>
      <c r="S13">
        <f ca="1">IF(AVERAGE(OFFSET(data!$A$1,$Q13,1,$R13-1,1))=O13,1,0)</f>
        <v>1</v>
      </c>
      <c r="T13">
        <f ca="1">IF(AVERAGE(OFFSET(data!$A$1,$Q13,2,$R13-1,1))=P13,1,0)</f>
        <v>1</v>
      </c>
    </row>
    <row r="14" spans="1:20" x14ac:dyDescent="0.15">
      <c r="A14" s="1" t="str">
        <f t="shared" ca="1" si="0"/>
        <v>OpenBLAS010000001</v>
      </c>
      <c r="B14" s="4" t="str">
        <f t="shared" ca="1" si="1"/>
        <v>OpenBLAS</v>
      </c>
      <c r="C14" s="3">
        <f t="shared" ca="1" si="2"/>
        <v>10000</v>
      </c>
      <c r="D14" s="9">
        <f t="shared" ca="1" si="3"/>
        <v>1</v>
      </c>
      <c r="E14" s="4">
        <f ca="1">AVERAGE(OFFSET(data!$A$1,$Q14-1,3,$R14,1))</f>
        <v>102.48743999999999</v>
      </c>
      <c r="F14" s="3">
        <f ca="1">MIN(OFFSET(data!$A$1,$Q14-1,3,$R14,1))</f>
        <v>102.3207</v>
      </c>
      <c r="G14" s="3">
        <f ca="1">MAX(OFFSET(data!$A$1,$Q14-1,3,$R14,1))</f>
        <v>102.8214</v>
      </c>
      <c r="H14" s="5">
        <f t="shared" ca="1" si="4"/>
        <v>4.8854766984129452E-3</v>
      </c>
      <c r="I14" s="4">
        <f ca="1">AVERAGE(OFFSET(data!$A$1,$Q14-1,4,$R14,1))</f>
        <v>19.514659999999999</v>
      </c>
      <c r="J14" s="3">
        <f ca="1">MIN(OFFSET(data!$A$1,$Q14-1,4,$R14,1))</f>
        <v>19.4512</v>
      </c>
      <c r="K14" s="9">
        <f ca="1">MAX(OFFSET(data!$A$1,$Q14-1,4,$R14,1))</f>
        <v>19.546399999999998</v>
      </c>
      <c r="L14" s="28"/>
      <c r="N14" t="str">
        <f ca="1">OFFSET(data!$A$1,$Q14-1,0)</f>
        <v>OpenBLAS</v>
      </c>
      <c r="O14">
        <f ca="1">OFFSET(data!$A$1,$Q14-1,1)</f>
        <v>10000</v>
      </c>
      <c r="P14">
        <f ca="1">OFFSET(data!$A$1,$Q14-1,2)</f>
        <v>1</v>
      </c>
      <c r="Q14">
        <f t="shared" si="5"/>
        <v>332</v>
      </c>
      <c r="R14">
        <v>5</v>
      </c>
      <c r="S14">
        <f ca="1">IF(AVERAGE(OFFSET(data!$A$1,$Q14,1,$R14-1,1))=O14,1,0)</f>
        <v>1</v>
      </c>
      <c r="T14">
        <f ca="1">IF(AVERAGE(OFFSET(data!$A$1,$Q14,2,$R14-1,1))=P14,1,0)</f>
        <v>1</v>
      </c>
    </row>
    <row r="15" spans="1:20" x14ac:dyDescent="0.15">
      <c r="A15" s="1" t="str">
        <f t="shared" ca="1" si="0"/>
        <v>OpenBLAS010000015</v>
      </c>
      <c r="B15" s="4" t="str">
        <f t="shared" ca="1" si="1"/>
        <v>OpenBLAS</v>
      </c>
      <c r="C15" s="3">
        <f t="shared" ca="1" si="2"/>
        <v>10000</v>
      </c>
      <c r="D15" s="9">
        <f t="shared" ca="1" si="3"/>
        <v>15</v>
      </c>
      <c r="E15" s="4">
        <f ca="1">AVERAGE(OFFSET(data!$A$1,$Q15-1,3,$R15,1))</f>
        <v>7.1949560000000012</v>
      </c>
      <c r="F15" s="3">
        <f ca="1">MIN(OFFSET(data!$A$1,$Q15-1,3,$R15,1))</f>
        <v>7.1694000000000004</v>
      </c>
      <c r="G15" s="3">
        <f ca="1">MAX(OFFSET(data!$A$1,$Q15-1,3,$R15,1))</f>
        <v>7.2176</v>
      </c>
      <c r="H15" s="5">
        <f t="shared" ca="1" si="4"/>
        <v>6.6991375624812118E-3</v>
      </c>
      <c r="I15" s="4">
        <f ca="1">AVERAGE(OFFSET(data!$A$1,$Q15-1,4,$R15,1))</f>
        <v>277.97332600000004</v>
      </c>
      <c r="J15" s="3">
        <f ca="1">MIN(OFFSET(data!$A$1,$Q15-1,4,$R15,1))</f>
        <v>277.10149999999999</v>
      </c>
      <c r="K15" s="9">
        <f ca="1">MAX(OFFSET(data!$A$1,$Q15-1,4,$R15,1))</f>
        <v>278.96319999999997</v>
      </c>
      <c r="L15" s="28"/>
      <c r="N15" t="str">
        <f ca="1">OFFSET(data!$A$1,$Q15-1,0)</f>
        <v>OpenBLAS</v>
      </c>
      <c r="O15">
        <f ca="1">OFFSET(data!$A$1,$Q15-1,1)</f>
        <v>10000</v>
      </c>
      <c r="P15">
        <f ca="1">OFFSET(data!$A$1,$Q15-1,2)</f>
        <v>15</v>
      </c>
      <c r="Q15">
        <f t="shared" si="5"/>
        <v>338</v>
      </c>
      <c r="R15">
        <v>50</v>
      </c>
      <c r="S15">
        <f ca="1">IF(AVERAGE(OFFSET(data!$A$1,$Q15,1,$R15-1,1))=O15,1,0)</f>
        <v>1</v>
      </c>
      <c r="T15">
        <f ca="1">IF(AVERAGE(OFFSET(data!$A$1,$Q15,2,$R15-1,1))=P15,1,0)</f>
        <v>1</v>
      </c>
    </row>
    <row r="16" spans="1:20" x14ac:dyDescent="0.15">
      <c r="A16" s="1" t="str">
        <f t="shared" ca="1" si="0"/>
        <v>OpenBLAS010000016</v>
      </c>
      <c r="B16" s="4" t="str">
        <f t="shared" ca="1" si="1"/>
        <v>OpenBLAS</v>
      </c>
      <c r="C16" s="3">
        <f t="shared" ca="1" si="2"/>
        <v>10000</v>
      </c>
      <c r="D16" s="9">
        <f t="shared" ca="1" si="3"/>
        <v>16</v>
      </c>
      <c r="E16" s="4">
        <f ca="1">AVERAGE(OFFSET(data!$A$1,$Q16-1,3,$R16,1))</f>
        <v>6.9889620000000017</v>
      </c>
      <c r="F16" s="3">
        <f ca="1">MIN(OFFSET(data!$A$1,$Q16-1,3,$R16,1))</f>
        <v>6.7944000000000004</v>
      </c>
      <c r="G16" s="3">
        <f ca="1">MAX(OFFSET(data!$A$1,$Q16-1,3,$R16,1))</f>
        <v>11.8652</v>
      </c>
      <c r="H16" s="5">
        <f t="shared" ca="1" si="4"/>
        <v>0.72554407936400256</v>
      </c>
      <c r="I16" s="4">
        <f ca="1">AVERAGE(OFFSET(data!$A$1,$Q16-1,4,$R16,1))</f>
        <v>288.90371199999998</v>
      </c>
      <c r="J16" s="3">
        <f ca="1">MIN(OFFSET(data!$A$1,$Q16-1,4,$R16,1))</f>
        <v>168.56</v>
      </c>
      <c r="K16" s="9">
        <f ca="1">MAX(OFFSET(data!$A$1,$Q16-1,4,$R16,1))</f>
        <v>294.35919999999999</v>
      </c>
      <c r="L16" s="28"/>
      <c r="N16" t="str">
        <f ca="1">OFFSET(data!$A$1,$Q16-1,0)</f>
        <v>OpenBLAS</v>
      </c>
      <c r="O16">
        <f ca="1">OFFSET(data!$A$1,$Q16-1,1)</f>
        <v>10000</v>
      </c>
      <c r="P16">
        <f ca="1">OFFSET(data!$A$1,$Q16-1,2)</f>
        <v>16</v>
      </c>
      <c r="Q16">
        <f t="shared" si="5"/>
        <v>389</v>
      </c>
      <c r="R16">
        <v>50</v>
      </c>
      <c r="S16">
        <f ca="1">IF(AVERAGE(OFFSET(data!$A$1,$Q16,1,$R16-1,1))=O16,1,0)</f>
        <v>1</v>
      </c>
      <c r="T16">
        <f ca="1">IF(AVERAGE(OFFSET(data!$A$1,$Q16,2,$R16-1,1))=P16,1,0)</f>
        <v>1</v>
      </c>
    </row>
    <row r="17" spans="1:20" x14ac:dyDescent="0.15">
      <c r="A17" s="1" t="str">
        <f t="shared" ca="1" si="0"/>
        <v>OpenBLAS010005001</v>
      </c>
      <c r="B17" s="4" t="str">
        <f t="shared" ca="1" si="1"/>
        <v>OpenBLAS</v>
      </c>
      <c r="C17" s="3">
        <f t="shared" ca="1" si="2"/>
        <v>10005</v>
      </c>
      <c r="D17" s="9">
        <f t="shared" ca="1" si="3"/>
        <v>1</v>
      </c>
      <c r="E17" s="4">
        <f ca="1">AVERAGE(OFFSET(data!$A$1,$Q17-1,3,$R17,1))</f>
        <v>103.20922</v>
      </c>
      <c r="F17" s="3">
        <f ca="1">MIN(OFFSET(data!$A$1,$Q17-1,3,$R17,1))</f>
        <v>103.2062</v>
      </c>
      <c r="G17" s="3">
        <f ca="1">MAX(OFFSET(data!$A$1,$Q17-1,3,$R17,1))</f>
        <v>103.21420000000001</v>
      </c>
      <c r="H17" s="5">
        <f t="shared" ca="1" si="4"/>
        <v>7.7512454798222261E-5</v>
      </c>
      <c r="I17" s="4">
        <f ca="1">AVERAGE(OFFSET(data!$A$1,$Q17-1,4,$R17,1))</f>
        <v>19.4072</v>
      </c>
      <c r="J17" s="3">
        <f ca="1">MIN(OFFSET(data!$A$1,$Q17-1,4,$R17,1))</f>
        <v>19.406300000000002</v>
      </c>
      <c r="K17" s="9">
        <f ca="1">MAX(OFFSET(data!$A$1,$Q17-1,4,$R17,1))</f>
        <v>19.407800000000002</v>
      </c>
      <c r="L17" s="28"/>
      <c r="N17" t="str">
        <f ca="1">OFFSET(data!$A$1,$Q17-1,0)</f>
        <v>OpenBLAS</v>
      </c>
      <c r="O17">
        <f ca="1">OFFSET(data!$A$1,$Q17-1,1)</f>
        <v>10005</v>
      </c>
      <c r="P17">
        <f ca="1">OFFSET(data!$A$1,$Q17-1,2)</f>
        <v>1</v>
      </c>
      <c r="Q17">
        <f t="shared" si="5"/>
        <v>440</v>
      </c>
      <c r="R17">
        <v>5</v>
      </c>
      <c r="S17">
        <f ca="1">IF(AVERAGE(OFFSET(data!$A$1,$Q17,1,$R17-1,1))=O17,1,0)</f>
        <v>1</v>
      </c>
      <c r="T17">
        <f ca="1">IF(AVERAGE(OFFSET(data!$A$1,$Q17,2,$R17-1,1))=P17,1,0)</f>
        <v>1</v>
      </c>
    </row>
    <row r="18" spans="1:20" x14ac:dyDescent="0.15">
      <c r="A18" s="1" t="str">
        <f t="shared" ca="1" si="0"/>
        <v>OpenBLAS010005015</v>
      </c>
      <c r="B18" s="4" t="str">
        <f t="shared" ca="1" si="1"/>
        <v>OpenBLAS</v>
      </c>
      <c r="C18" s="3">
        <f t="shared" ca="1" si="2"/>
        <v>10005</v>
      </c>
      <c r="D18" s="9">
        <f t="shared" ca="1" si="3"/>
        <v>15</v>
      </c>
      <c r="E18" s="4">
        <f ca="1">AVERAGE(OFFSET(data!$A$1,$Q18-1,3,$R18,1))</f>
        <v>7.2431159999999997</v>
      </c>
      <c r="F18" s="3">
        <f ca="1">MIN(OFFSET(data!$A$1,$Q18-1,3,$R18,1))</f>
        <v>7.2145000000000001</v>
      </c>
      <c r="G18" s="3">
        <f ca="1">MAX(OFFSET(data!$A$1,$Q18-1,3,$R18,1))</f>
        <v>7.39</v>
      </c>
      <c r="H18" s="5">
        <f t="shared" ca="1" si="4"/>
        <v>2.4229903262628895E-2</v>
      </c>
      <c r="I18" s="4">
        <f ca="1">AVERAGE(OFFSET(data!$A$1,$Q18-1,4,$R18,1))</f>
        <v>276.54202799999996</v>
      </c>
      <c r="J18" s="3">
        <f ca="1">MIN(OFFSET(data!$A$1,$Q18-1,4,$R18,1))</f>
        <v>271.04160000000002</v>
      </c>
      <c r="K18" s="9">
        <f ca="1">MAX(OFFSET(data!$A$1,$Q18-1,4,$R18,1))</f>
        <v>277.63560000000001</v>
      </c>
      <c r="L18" s="28"/>
      <c r="N18" t="str">
        <f ca="1">OFFSET(data!$A$1,$Q18-1,0)</f>
        <v>OpenBLAS</v>
      </c>
      <c r="O18">
        <f ca="1">OFFSET(data!$A$1,$Q18-1,1)</f>
        <v>10005</v>
      </c>
      <c r="P18">
        <f ca="1">OFFSET(data!$A$1,$Q18-1,2)</f>
        <v>15</v>
      </c>
      <c r="Q18">
        <f t="shared" si="5"/>
        <v>446</v>
      </c>
      <c r="R18">
        <v>50</v>
      </c>
      <c r="S18">
        <f ca="1">IF(AVERAGE(OFFSET(data!$A$1,$Q18,1,$R18-1,1))=O18,1,0)</f>
        <v>1</v>
      </c>
      <c r="T18">
        <f ca="1">IF(AVERAGE(OFFSET(data!$A$1,$Q18,2,$R18-1,1))=P18,1,0)</f>
        <v>1</v>
      </c>
    </row>
    <row r="19" spans="1:20" x14ac:dyDescent="0.15">
      <c r="A19" s="1" t="str">
        <f t="shared" ca="1" si="0"/>
        <v>OpenBLAS010005016</v>
      </c>
      <c r="B19" s="4" t="str">
        <f t="shared" ca="1" si="1"/>
        <v>OpenBLAS</v>
      </c>
      <c r="C19" s="3">
        <f t="shared" ca="1" si="2"/>
        <v>10005</v>
      </c>
      <c r="D19" s="9">
        <f t="shared" ca="1" si="3"/>
        <v>16</v>
      </c>
      <c r="E19" s="4">
        <f ca="1">AVERAGE(OFFSET(data!$A$1,$Q19-1,3,$R19,1))</f>
        <v>7.0587099999999996</v>
      </c>
      <c r="F19" s="3">
        <f ca="1">MIN(OFFSET(data!$A$1,$Q19-1,3,$R19,1))</f>
        <v>6.7645</v>
      </c>
      <c r="G19" s="3">
        <f ca="1">MAX(OFFSET(data!$A$1,$Q19-1,3,$R19,1))</f>
        <v>12.0532</v>
      </c>
      <c r="H19" s="5">
        <f t="shared" ca="1" si="4"/>
        <v>0.7492445503498516</v>
      </c>
      <c r="I19" s="4">
        <f ca="1">AVERAGE(OFFSET(data!$A$1,$Q19-1,4,$R19,1))</f>
        <v>287.22814199999999</v>
      </c>
      <c r="J19" s="3">
        <f ca="1">MIN(OFFSET(data!$A$1,$Q19-1,4,$R19,1))</f>
        <v>166.18010000000001</v>
      </c>
      <c r="K19" s="9">
        <f ca="1">MAX(OFFSET(data!$A$1,$Q19-1,4,$R19,1))</f>
        <v>296.10329999999999</v>
      </c>
      <c r="L19" s="28"/>
      <c r="N19" t="str">
        <f ca="1">OFFSET(data!$A$1,$Q19-1,0)</f>
        <v>OpenBLAS</v>
      </c>
      <c r="O19">
        <f ca="1">OFFSET(data!$A$1,$Q19-1,1)</f>
        <v>10005</v>
      </c>
      <c r="P19">
        <f ca="1">OFFSET(data!$A$1,$Q19-1,2)</f>
        <v>16</v>
      </c>
      <c r="Q19">
        <f t="shared" si="5"/>
        <v>497</v>
      </c>
      <c r="R19">
        <v>50</v>
      </c>
      <c r="S19">
        <f ca="1">IF(AVERAGE(OFFSET(data!$A$1,$Q19,1,$R19-1,1))=O19,1,0)</f>
        <v>1</v>
      </c>
      <c r="T19">
        <f ca="1">IF(AVERAGE(OFFSET(data!$A$1,$Q19,2,$R19-1,1))=P19,1,0)</f>
        <v>1</v>
      </c>
    </row>
    <row r="20" spans="1:20" x14ac:dyDescent="0.15">
      <c r="A20" s="1" t="str">
        <f t="shared" ca="1" si="0"/>
        <v>OpenBLAS010010001</v>
      </c>
      <c r="B20" s="4" t="str">
        <f t="shared" ca="1" si="1"/>
        <v>OpenBLAS</v>
      </c>
      <c r="C20" s="3">
        <f t="shared" ca="1" si="2"/>
        <v>10010</v>
      </c>
      <c r="D20" s="9">
        <f t="shared" ca="1" si="3"/>
        <v>1</v>
      </c>
      <c r="E20" s="4">
        <f ca="1">AVERAGE(OFFSET(data!$A$1,$Q20-1,3,$R20,1))</f>
        <v>102.51640000000002</v>
      </c>
      <c r="F20" s="3">
        <f ca="1">MIN(OFFSET(data!$A$1,$Q20-1,3,$R20,1))</f>
        <v>102.4997</v>
      </c>
      <c r="G20" s="3">
        <f ca="1">MAX(OFFSET(data!$A$1,$Q20-1,3,$R20,1))</f>
        <v>102.52330000000001</v>
      </c>
      <c r="H20" s="5">
        <f t="shared" ca="1" si="4"/>
        <v>2.3020706930795305E-4</v>
      </c>
      <c r="I20" s="4">
        <f ca="1">AVERAGE(OFFSET(data!$A$1,$Q20-1,4,$R20,1))</f>
        <v>19.56766</v>
      </c>
      <c r="J20" s="3">
        <f ca="1">MIN(OFFSET(data!$A$1,$Q20-1,4,$R20,1))</f>
        <v>19.566400000000002</v>
      </c>
      <c r="K20" s="9">
        <f ca="1">MAX(OFFSET(data!$A$1,$Q20-1,4,$R20,1))</f>
        <v>19.570799999999998</v>
      </c>
      <c r="L20" s="28"/>
      <c r="N20" t="str">
        <f ca="1">OFFSET(data!$A$1,$Q20-1,0)</f>
        <v>OpenBLAS</v>
      </c>
      <c r="O20">
        <f ca="1">OFFSET(data!$A$1,$Q20-1,1)</f>
        <v>10010</v>
      </c>
      <c r="P20">
        <f ca="1">OFFSET(data!$A$1,$Q20-1,2)</f>
        <v>1</v>
      </c>
      <c r="Q20">
        <f t="shared" si="5"/>
        <v>548</v>
      </c>
      <c r="R20">
        <v>5</v>
      </c>
      <c r="S20">
        <f ca="1">IF(AVERAGE(OFFSET(data!$A$1,$Q20,1,$R20-1,1))=O20,1,0)</f>
        <v>1</v>
      </c>
      <c r="T20">
        <f ca="1">IF(AVERAGE(OFFSET(data!$A$1,$Q20,2,$R20-1,1))=P20,1,0)</f>
        <v>1</v>
      </c>
    </row>
    <row r="21" spans="1:20" x14ac:dyDescent="0.15">
      <c r="A21" s="1" t="str">
        <f t="shared" ca="1" si="0"/>
        <v>OpenBLAS010010015</v>
      </c>
      <c r="B21" s="4" t="str">
        <f t="shared" ca="1" si="1"/>
        <v>OpenBLAS</v>
      </c>
      <c r="C21" s="3">
        <f t="shared" ca="1" si="2"/>
        <v>10010</v>
      </c>
      <c r="D21" s="9">
        <f t="shared" ca="1" si="3"/>
        <v>15</v>
      </c>
      <c r="E21" s="4">
        <f ca="1">AVERAGE(OFFSET(data!$A$1,$Q21-1,3,$R21,1))</f>
        <v>7.1831819999999995</v>
      </c>
      <c r="F21" s="3">
        <f ca="1">MIN(OFFSET(data!$A$1,$Q21-1,3,$R21,1))</f>
        <v>7.1593</v>
      </c>
      <c r="G21" s="3">
        <f ca="1">MAX(OFFSET(data!$A$1,$Q21-1,3,$R21,1))</f>
        <v>7.2367999999999997</v>
      </c>
      <c r="H21" s="5">
        <f t="shared" ca="1" si="4"/>
        <v>1.0789090405895282E-2</v>
      </c>
      <c r="I21" s="4">
        <f ca="1">AVERAGE(OFFSET(data!$A$1,$Q21-1,4,$R21,1))</f>
        <v>279.26536799999991</v>
      </c>
      <c r="J21" s="3">
        <f ca="1">MIN(OFFSET(data!$A$1,$Q21-1,4,$R21,1))</f>
        <v>277.1934</v>
      </c>
      <c r="K21" s="9">
        <f ca="1">MAX(OFFSET(data!$A$1,$Q21-1,4,$R21,1))</f>
        <v>280.1943</v>
      </c>
      <c r="L21" s="28"/>
      <c r="N21" t="str">
        <f ca="1">OFFSET(data!$A$1,$Q21-1,0)</f>
        <v>OpenBLAS</v>
      </c>
      <c r="O21">
        <f ca="1">OFFSET(data!$A$1,$Q21-1,1)</f>
        <v>10010</v>
      </c>
      <c r="P21">
        <f ca="1">OFFSET(data!$A$1,$Q21-1,2)</f>
        <v>15</v>
      </c>
      <c r="Q21">
        <f t="shared" si="5"/>
        <v>554</v>
      </c>
      <c r="R21">
        <v>50</v>
      </c>
      <c r="S21">
        <f ca="1">IF(AVERAGE(OFFSET(data!$A$1,$Q21,1,$R21-1,1))=O21,1,0)</f>
        <v>1</v>
      </c>
      <c r="T21">
        <f ca="1">IF(AVERAGE(OFFSET(data!$A$1,$Q21,2,$R21-1,1))=P21,1,0)</f>
        <v>1</v>
      </c>
    </row>
    <row r="22" spans="1:20" ht="14" thickBot="1" x14ac:dyDescent="0.2">
      <c r="A22" s="1" t="str">
        <f t="shared" ca="1" si="0"/>
        <v>OpenBLAS010010016</v>
      </c>
      <c r="B22" s="6" t="str">
        <f t="shared" ca="1" si="1"/>
        <v>OpenBLAS</v>
      </c>
      <c r="C22" s="7">
        <f t="shared" ca="1" si="2"/>
        <v>10010</v>
      </c>
      <c r="D22" s="10">
        <f t="shared" ca="1" si="3"/>
        <v>16</v>
      </c>
      <c r="E22" s="6">
        <f ca="1">AVERAGE(OFFSET(data!$A$1,$Q22-1,3,$R22,1))</f>
        <v>6.9492600000000007</v>
      </c>
      <c r="F22" s="7">
        <f ca="1">MIN(OFFSET(data!$A$1,$Q22-1,3,$R22,1))</f>
        <v>6.7728999999999999</v>
      </c>
      <c r="G22" s="7">
        <f ca="1">MAX(OFFSET(data!$A$1,$Q22-1,3,$R22,1))</f>
        <v>11.683199999999999</v>
      </c>
      <c r="H22" s="8">
        <f t="shared" ca="1" si="4"/>
        <v>0.70659321999752478</v>
      </c>
      <c r="I22" s="6">
        <f ca="1">AVERAGE(OFFSET(data!$A$1,$Q22-1,4,$R22,1))</f>
        <v>291.31797</v>
      </c>
      <c r="J22" s="7">
        <f ca="1">MIN(OFFSET(data!$A$1,$Q22-1,4,$R22,1))</f>
        <v>171.70050000000001</v>
      </c>
      <c r="K22" s="10">
        <f ca="1">MAX(OFFSET(data!$A$1,$Q22-1,4,$R22,1))</f>
        <v>296.1798</v>
      </c>
      <c r="L22" s="28"/>
      <c r="N22" t="str">
        <f ca="1">OFFSET(data!$A$1,$Q22-1,0)</f>
        <v>OpenBLAS</v>
      </c>
      <c r="O22">
        <f ca="1">OFFSET(data!$A$1,$Q22-1,1)</f>
        <v>10010</v>
      </c>
      <c r="P22">
        <f ca="1">OFFSET(data!$A$1,$Q22-1,2)</f>
        <v>16</v>
      </c>
      <c r="Q22">
        <f t="shared" si="5"/>
        <v>605</v>
      </c>
      <c r="R22">
        <v>50</v>
      </c>
      <c r="S22">
        <f ca="1">IF(AVERAGE(OFFSET(data!$A$1,$Q22,1,$R22-1,1))=O22,1,0)</f>
        <v>1</v>
      </c>
      <c r="T22">
        <f ca="1">IF(AVERAGE(OFFSET(data!$A$1,$Q22,2,$R22-1,1))=P22,1,0)</f>
        <v>1</v>
      </c>
    </row>
    <row r="23" spans="1:20" x14ac:dyDescent="0.15">
      <c r="A23" s="1" t="str">
        <f t="shared" ca="1" si="0"/>
        <v>IntelMKL002500001</v>
      </c>
      <c r="B23" s="18" t="str">
        <f t="shared" ca="1" si="1"/>
        <v>IntelMKL</v>
      </c>
      <c r="C23" s="19">
        <f t="shared" ca="1" si="2"/>
        <v>2500</v>
      </c>
      <c r="D23" s="20">
        <f t="shared" ca="1" si="3"/>
        <v>1</v>
      </c>
      <c r="E23" s="18">
        <f ca="1">AVERAGE(OFFSET(data!$A$1,$Q23-1,3,$R23,1))</f>
        <v>1.6034600000000001</v>
      </c>
      <c r="F23" s="19">
        <f ca="1">MIN(OFFSET(data!$A$1,$Q23-1,3,$R23,1))</f>
        <v>1.6033999999999999</v>
      </c>
      <c r="G23" s="19">
        <f ca="1">MAX(OFFSET(data!$A$1,$Q23-1,3,$R23,1))</f>
        <v>1.6034999999999999</v>
      </c>
      <c r="H23" s="21">
        <f t="shared" ca="1" si="4"/>
        <v>6.2365135394702072E-5</v>
      </c>
      <c r="I23" s="18">
        <f ca="1">AVERAGE(OFFSET(data!$A$1,$Q23-1,4,$R23,1))</f>
        <v>19.489080000000001</v>
      </c>
      <c r="J23" s="19">
        <f ca="1">MIN(OFFSET(data!$A$1,$Q23-1,4,$R23,1))</f>
        <v>19.488</v>
      </c>
      <c r="K23" s="20">
        <f ca="1">MAX(OFFSET(data!$A$1,$Q23-1,4,$R23,1))</f>
        <v>19.489899999999999</v>
      </c>
      <c r="L23" s="28"/>
      <c r="N23" t="str">
        <f ca="1">OFFSET(data!$A$1,$Q23-1,0)</f>
        <v>IntelMKL</v>
      </c>
      <c r="O23">
        <f ca="1">OFFSET(data!$A$1,$Q23-1,1)</f>
        <v>2500</v>
      </c>
      <c r="P23">
        <f ca="1">OFFSET(data!$A$1,$Q23-1,2)</f>
        <v>1</v>
      </c>
      <c r="Q23">
        <v>660</v>
      </c>
      <c r="R23">
        <v>5</v>
      </c>
      <c r="S23">
        <f ca="1">IF(AVERAGE(OFFSET(data!$A$1,$Q23,1,$R23-1,1))=O23,1,0)</f>
        <v>1</v>
      </c>
      <c r="T23">
        <f ca="1">IF(AVERAGE(OFFSET(data!$A$1,$Q23,2,$R23-1,1))=P23,1,0)</f>
        <v>1</v>
      </c>
    </row>
    <row r="24" spans="1:20" x14ac:dyDescent="0.15">
      <c r="A24" s="1" t="str">
        <f t="shared" ca="1" si="0"/>
        <v>IntelMKL002500015</v>
      </c>
      <c r="B24" s="4" t="str">
        <f t="shared" ca="1" si="1"/>
        <v>IntelMKL</v>
      </c>
      <c r="C24" s="3">
        <f t="shared" ca="1" si="2"/>
        <v>2500</v>
      </c>
      <c r="D24" s="9">
        <f t="shared" ca="1" si="3"/>
        <v>15</v>
      </c>
      <c r="E24" s="4">
        <f ca="1">AVERAGE(OFFSET(data!$A$1,$Q24-1,3,$R24,1))</f>
        <v>0.12407800000000004</v>
      </c>
      <c r="F24" s="3">
        <f ca="1">MIN(OFFSET(data!$A$1,$Q24-1,3,$R24,1))</f>
        <v>0.124</v>
      </c>
      <c r="G24" s="3">
        <f ca="1">MAX(OFFSET(data!$A$1,$Q24-1,3,$R24,1))</f>
        <v>0.12429999999999999</v>
      </c>
      <c r="H24" s="5">
        <f t="shared" ca="1" si="4"/>
        <v>2.4178339431647402E-3</v>
      </c>
      <c r="I24" s="4">
        <f ca="1">AVERAGE(OFFSET(data!$A$1,$Q24-1,4,$R24,1))</f>
        <v>251.86468399999998</v>
      </c>
      <c r="J24" s="3">
        <f ca="1">MIN(OFFSET(data!$A$1,$Q24-1,4,$R24,1))</f>
        <v>251.39779999999999</v>
      </c>
      <c r="K24" s="9">
        <f ca="1">MAX(OFFSET(data!$A$1,$Q24-1,4,$R24,1))</f>
        <v>252.03039999999999</v>
      </c>
      <c r="L24" s="28"/>
      <c r="N24" t="str">
        <f ca="1">OFFSET(data!$A$1,$Q24-1,0)</f>
        <v>IntelMKL</v>
      </c>
      <c r="O24">
        <f ca="1">OFFSET(data!$A$1,$Q24-1,1)</f>
        <v>2500</v>
      </c>
      <c r="P24">
        <f ca="1">OFFSET(data!$A$1,$Q24-1,2)</f>
        <v>15</v>
      </c>
      <c r="Q24">
        <f t="shared" ref="Q24:Q40" si="6">Q23+R23+1</f>
        <v>666</v>
      </c>
      <c r="R24">
        <v>50</v>
      </c>
      <c r="S24">
        <f ca="1">IF(AVERAGE(OFFSET(data!$A$1,$Q24,1,$R24-1,1))=O24,1,0)</f>
        <v>1</v>
      </c>
      <c r="T24">
        <f ca="1">IF(AVERAGE(OFFSET(data!$A$1,$Q24,2,$R24-1,1))=P24,1,0)</f>
        <v>1</v>
      </c>
    </row>
    <row r="25" spans="1:20" x14ac:dyDescent="0.15">
      <c r="A25" s="1" t="str">
        <f t="shared" ca="1" si="0"/>
        <v>IntelMKL002500016</v>
      </c>
      <c r="B25" s="4" t="str">
        <f t="shared" ca="1" si="1"/>
        <v>IntelMKL</v>
      </c>
      <c r="C25" s="3">
        <f t="shared" ca="1" si="2"/>
        <v>2500</v>
      </c>
      <c r="D25" s="9">
        <f t="shared" ca="1" si="3"/>
        <v>16</v>
      </c>
      <c r="E25" s="4">
        <f ca="1">AVERAGE(OFFSET(data!$A$1,$Q25-1,3,$R25,1))</f>
        <v>0.11107600000000001</v>
      </c>
      <c r="F25" s="3">
        <f ca="1">MIN(OFFSET(data!$A$1,$Q25-1,3,$R25,1))</f>
        <v>0.10970000000000001</v>
      </c>
      <c r="G25" s="3">
        <f ca="1">MAX(OFFSET(data!$A$1,$Q25-1,3,$R25,1))</f>
        <v>0.11360000000000001</v>
      </c>
      <c r="H25" s="5">
        <f t="shared" ca="1" si="4"/>
        <v>3.5111095106053515E-2</v>
      </c>
      <c r="I25" s="4">
        <f ca="1">AVERAGE(OFFSET(data!$A$1,$Q25-1,4,$R25,1))</f>
        <v>281.34522199999998</v>
      </c>
      <c r="J25" s="3">
        <f ca="1">MIN(OFFSET(data!$A$1,$Q25-1,4,$R25,1))</f>
        <v>275.07830000000001</v>
      </c>
      <c r="K25" s="9">
        <f ca="1">MAX(OFFSET(data!$A$1,$Q25-1,4,$R25,1))</f>
        <v>284.95100000000002</v>
      </c>
      <c r="L25" s="28"/>
      <c r="N25" t="str">
        <f ca="1">OFFSET(data!$A$1,$Q25-1,0)</f>
        <v>IntelMKL</v>
      </c>
      <c r="O25">
        <f ca="1">OFFSET(data!$A$1,$Q25-1,1)</f>
        <v>2500</v>
      </c>
      <c r="P25">
        <f ca="1">OFFSET(data!$A$1,$Q25-1,2)</f>
        <v>16</v>
      </c>
      <c r="Q25">
        <f t="shared" si="6"/>
        <v>717</v>
      </c>
      <c r="R25">
        <v>50</v>
      </c>
      <c r="S25">
        <f ca="1">IF(AVERAGE(OFFSET(data!$A$1,$Q25,1,$R25-1,1))=O25,1,0)</f>
        <v>1</v>
      </c>
      <c r="T25">
        <f ca="1">IF(AVERAGE(OFFSET(data!$A$1,$Q25,2,$R25-1,1))=P25,1,0)</f>
        <v>1</v>
      </c>
    </row>
    <row r="26" spans="1:20" x14ac:dyDescent="0.15">
      <c r="A26" s="1" t="str">
        <f t="shared" ca="1" si="0"/>
        <v>IntelMKL002505001</v>
      </c>
      <c r="B26" s="4" t="str">
        <f t="shared" ca="1" si="1"/>
        <v>IntelMKL</v>
      </c>
      <c r="C26" s="3">
        <f t="shared" ca="1" si="2"/>
        <v>2505</v>
      </c>
      <c r="D26" s="9">
        <f t="shared" ca="1" si="3"/>
        <v>1</v>
      </c>
      <c r="E26" s="4">
        <f ca="1">AVERAGE(OFFSET(data!$A$1,$Q26-1,3,$R26,1))</f>
        <v>1.6195599999999999</v>
      </c>
      <c r="F26" s="3">
        <f ca="1">MIN(OFFSET(data!$A$1,$Q26-1,3,$R26,1))</f>
        <v>1.6194999999999999</v>
      </c>
      <c r="G26" s="3">
        <f ca="1">MAX(OFFSET(data!$A$1,$Q26-1,3,$R26,1))</f>
        <v>1.6195999999999999</v>
      </c>
      <c r="H26" s="5">
        <f t="shared" ca="1" si="4"/>
        <v>6.1745165353546027E-5</v>
      </c>
      <c r="I26" s="4">
        <f ca="1">AVERAGE(OFFSET(data!$A$1,$Q26-1,4,$R26,1))</f>
        <v>19.411399999999997</v>
      </c>
      <c r="J26" s="3">
        <f ca="1">MIN(OFFSET(data!$A$1,$Q26-1,4,$R26,1))</f>
        <v>19.410399999999999</v>
      </c>
      <c r="K26" s="9">
        <f ca="1">MAX(OFFSET(data!$A$1,$Q26-1,4,$R26,1))</f>
        <v>19.412099999999999</v>
      </c>
      <c r="L26" s="28"/>
      <c r="N26" t="str">
        <f ca="1">OFFSET(data!$A$1,$Q26-1,0)</f>
        <v>IntelMKL</v>
      </c>
      <c r="O26">
        <f ca="1">OFFSET(data!$A$1,$Q26-1,1)</f>
        <v>2505</v>
      </c>
      <c r="P26">
        <f ca="1">OFFSET(data!$A$1,$Q26-1,2)</f>
        <v>1</v>
      </c>
      <c r="Q26">
        <f t="shared" si="6"/>
        <v>768</v>
      </c>
      <c r="R26">
        <v>5</v>
      </c>
      <c r="S26">
        <f ca="1">IF(AVERAGE(OFFSET(data!$A$1,$Q26,1,$R26-1,1))=O26,1,0)</f>
        <v>1</v>
      </c>
      <c r="T26">
        <f ca="1">IF(AVERAGE(OFFSET(data!$A$1,$Q26,2,$R26-1,1))=P26,1,0)</f>
        <v>1</v>
      </c>
    </row>
    <row r="27" spans="1:20" x14ac:dyDescent="0.15">
      <c r="A27" s="1" t="str">
        <f t="shared" ca="1" si="0"/>
        <v>IntelMKL002505015</v>
      </c>
      <c r="B27" s="4" t="str">
        <f t="shared" ca="1" si="1"/>
        <v>IntelMKL</v>
      </c>
      <c r="C27" s="3">
        <f t="shared" ca="1" si="2"/>
        <v>2505</v>
      </c>
      <c r="D27" s="9">
        <f t="shared" ca="1" si="3"/>
        <v>15</v>
      </c>
      <c r="E27" s="4">
        <f ca="1">AVERAGE(OFFSET(data!$A$1,$Q27-1,3,$R27,1))</f>
        <v>0.12492599999999986</v>
      </c>
      <c r="F27" s="3">
        <f ca="1">MIN(OFFSET(data!$A$1,$Q27-1,3,$R27,1))</f>
        <v>0.12479999999999999</v>
      </c>
      <c r="G27" s="3">
        <f ca="1">MAX(OFFSET(data!$A$1,$Q27-1,3,$R27,1))</f>
        <v>0.13</v>
      </c>
      <c r="H27" s="5">
        <f t="shared" ca="1" si="4"/>
        <v>4.1624641787938586E-2</v>
      </c>
      <c r="I27" s="4">
        <f ca="1">AVERAGE(OFFSET(data!$A$1,$Q27-1,4,$R27,1))</f>
        <v>251.62396799999999</v>
      </c>
      <c r="J27" s="3">
        <f ca="1">MIN(OFFSET(data!$A$1,$Q27-1,4,$R27,1))</f>
        <v>241.76840000000001</v>
      </c>
      <c r="K27" s="9">
        <f ca="1">MAX(OFFSET(data!$A$1,$Q27-1,4,$R27,1))</f>
        <v>251.9101</v>
      </c>
      <c r="L27" s="28"/>
      <c r="N27" t="str">
        <f ca="1">OFFSET(data!$A$1,$Q27-1,0)</f>
        <v>IntelMKL</v>
      </c>
      <c r="O27">
        <f ca="1">OFFSET(data!$A$1,$Q27-1,1)</f>
        <v>2505</v>
      </c>
      <c r="P27">
        <f ca="1">OFFSET(data!$A$1,$Q27-1,2)</f>
        <v>15</v>
      </c>
      <c r="Q27">
        <f t="shared" si="6"/>
        <v>774</v>
      </c>
      <c r="R27">
        <v>50</v>
      </c>
      <c r="S27">
        <f ca="1">IF(AVERAGE(OFFSET(data!$A$1,$Q27,1,$R27-1,1))=O27,1,0)</f>
        <v>1</v>
      </c>
      <c r="T27">
        <f ca="1">IF(AVERAGE(OFFSET(data!$A$1,$Q27,2,$R27-1,1))=P27,1,0)</f>
        <v>1</v>
      </c>
    </row>
    <row r="28" spans="1:20" x14ac:dyDescent="0.15">
      <c r="A28" s="1" t="str">
        <f t="shared" ca="1" si="0"/>
        <v>IntelMKL002505016</v>
      </c>
      <c r="B28" s="4" t="str">
        <f t="shared" ca="1" si="1"/>
        <v>IntelMKL</v>
      </c>
      <c r="C28" s="3">
        <f t="shared" ca="1" si="2"/>
        <v>2505</v>
      </c>
      <c r="D28" s="9">
        <f t="shared" ca="1" si="3"/>
        <v>16</v>
      </c>
      <c r="E28" s="4">
        <f ca="1">AVERAGE(OFFSET(data!$A$1,$Q28-1,3,$R28,1))</f>
        <v>0.112786</v>
      </c>
      <c r="F28" s="3">
        <f ca="1">MIN(OFFSET(data!$A$1,$Q28-1,3,$R28,1))</f>
        <v>0.1118</v>
      </c>
      <c r="G28" s="3">
        <f ca="1">MAX(OFFSET(data!$A$1,$Q28-1,3,$R28,1))</f>
        <v>0.1144</v>
      </c>
      <c r="H28" s="5">
        <f t="shared" ca="1" si="4"/>
        <v>2.3052506516766311E-2</v>
      </c>
      <c r="I28" s="4">
        <f ca="1">AVERAGE(OFFSET(data!$A$1,$Q28-1,4,$R28,1))</f>
        <v>278.73924200000005</v>
      </c>
      <c r="J28" s="3">
        <f ca="1">MIN(OFFSET(data!$A$1,$Q28-1,4,$R28,1))</f>
        <v>274.8306</v>
      </c>
      <c r="K28" s="9">
        <f ca="1">MAX(OFFSET(data!$A$1,$Q28-1,4,$R28,1))</f>
        <v>281.08929999999998</v>
      </c>
      <c r="L28" s="28"/>
      <c r="N28" t="str">
        <f ca="1">OFFSET(data!$A$1,$Q28-1,0)</f>
        <v>IntelMKL</v>
      </c>
      <c r="O28">
        <f ca="1">OFFSET(data!$A$1,$Q28-1,1)</f>
        <v>2505</v>
      </c>
      <c r="P28">
        <f ca="1">OFFSET(data!$A$1,$Q28-1,2)</f>
        <v>16</v>
      </c>
      <c r="Q28">
        <f t="shared" si="6"/>
        <v>825</v>
      </c>
      <c r="R28">
        <v>50</v>
      </c>
      <c r="S28">
        <f ca="1">IF(AVERAGE(OFFSET(data!$A$1,$Q28,1,$R28-1,1))=O28,1,0)</f>
        <v>1</v>
      </c>
      <c r="T28">
        <f ca="1">IF(AVERAGE(OFFSET(data!$A$1,$Q28,2,$R28-1,1))=P28,1,0)</f>
        <v>1</v>
      </c>
    </row>
    <row r="29" spans="1:20" x14ac:dyDescent="0.15">
      <c r="A29" s="1" t="str">
        <f t="shared" ca="1" si="0"/>
        <v>IntelMKL002510001</v>
      </c>
      <c r="B29" s="4" t="str">
        <f t="shared" ca="1" si="1"/>
        <v>IntelMKL</v>
      </c>
      <c r="C29" s="3">
        <f t="shared" ca="1" si="2"/>
        <v>2510</v>
      </c>
      <c r="D29" s="9">
        <f t="shared" ca="1" si="3"/>
        <v>1</v>
      </c>
      <c r="E29" s="4">
        <f ca="1">AVERAGE(OFFSET(data!$A$1,$Q29-1,3,$R29,1))</f>
        <v>1.6132399999999998</v>
      </c>
      <c r="F29" s="3">
        <f ca="1">MIN(OFFSET(data!$A$1,$Q29-1,3,$R29,1))</f>
        <v>1.6132</v>
      </c>
      <c r="G29" s="3">
        <f ca="1">MAX(OFFSET(data!$A$1,$Q29-1,3,$R29,1))</f>
        <v>1.6133</v>
      </c>
      <c r="H29" s="5">
        <f t="shared" ca="1" si="4"/>
        <v>6.1987057102470187E-5</v>
      </c>
      <c r="I29" s="4">
        <f ca="1">AVERAGE(OFFSET(data!$A$1,$Q29-1,4,$R29,1))</f>
        <v>19.60426</v>
      </c>
      <c r="J29" s="3">
        <f ca="1">MIN(OFFSET(data!$A$1,$Q29-1,4,$R29,1))</f>
        <v>19.6035</v>
      </c>
      <c r="K29" s="9">
        <f ca="1">MAX(OFFSET(data!$A$1,$Q29-1,4,$R29,1))</f>
        <v>19.604900000000001</v>
      </c>
      <c r="L29" s="28"/>
      <c r="N29" t="str">
        <f ca="1">OFFSET(data!$A$1,$Q29-1,0)</f>
        <v>IntelMKL</v>
      </c>
      <c r="O29">
        <f ca="1">OFFSET(data!$A$1,$Q29-1,1)</f>
        <v>2510</v>
      </c>
      <c r="P29">
        <f ca="1">OFFSET(data!$A$1,$Q29-1,2)</f>
        <v>1</v>
      </c>
      <c r="Q29">
        <f t="shared" si="6"/>
        <v>876</v>
      </c>
      <c r="R29">
        <v>5</v>
      </c>
      <c r="S29">
        <f ca="1">IF(AVERAGE(OFFSET(data!$A$1,$Q29,1,$R29-1,1))=O29,1,0)</f>
        <v>1</v>
      </c>
      <c r="T29">
        <f ca="1">IF(AVERAGE(OFFSET(data!$A$1,$Q29,2,$R29-1,1))=P29,1,0)</f>
        <v>1</v>
      </c>
    </row>
    <row r="30" spans="1:20" x14ac:dyDescent="0.15">
      <c r="A30" s="1" t="str">
        <f t="shared" ca="1" si="0"/>
        <v>IntelMKL002510015</v>
      </c>
      <c r="B30" s="4" t="str">
        <f t="shared" ca="1" si="1"/>
        <v>IntelMKL</v>
      </c>
      <c r="C30" s="3">
        <f t="shared" ca="1" si="2"/>
        <v>2510</v>
      </c>
      <c r="D30" s="9">
        <f t="shared" ca="1" si="3"/>
        <v>15</v>
      </c>
      <c r="E30" s="4">
        <f ca="1">AVERAGE(OFFSET(data!$A$1,$Q30-1,3,$R30,1))</f>
        <v>0.12841399999999997</v>
      </c>
      <c r="F30" s="3">
        <f ca="1">MIN(OFFSET(data!$A$1,$Q30-1,3,$R30,1))</f>
        <v>0.12759999999999999</v>
      </c>
      <c r="G30" s="3">
        <f ca="1">MAX(OFFSET(data!$A$1,$Q30-1,3,$R30,1))</f>
        <v>0.13300000000000001</v>
      </c>
      <c r="H30" s="5">
        <f t="shared" ca="1" si="4"/>
        <v>4.2051489712959779E-2</v>
      </c>
      <c r="I30" s="4">
        <f ca="1">AVERAGE(OFFSET(data!$A$1,$Q30-1,4,$R30,1))</f>
        <v>246.30835799999997</v>
      </c>
      <c r="J30" s="3">
        <f ca="1">MIN(OFFSET(data!$A$1,$Q30-1,4,$R30,1))</f>
        <v>237.85589999999999</v>
      </c>
      <c r="K30" s="9">
        <f ca="1">MAX(OFFSET(data!$A$1,$Q30-1,4,$R30,1))</f>
        <v>247.82159999999999</v>
      </c>
      <c r="L30" s="28"/>
      <c r="N30" t="str">
        <f ca="1">OFFSET(data!$A$1,$Q30-1,0)</f>
        <v>IntelMKL</v>
      </c>
      <c r="O30">
        <f ca="1">OFFSET(data!$A$1,$Q30-1,1)</f>
        <v>2510</v>
      </c>
      <c r="P30">
        <f ca="1">OFFSET(data!$A$1,$Q30-1,2)</f>
        <v>15</v>
      </c>
      <c r="Q30">
        <f t="shared" si="6"/>
        <v>882</v>
      </c>
      <c r="R30">
        <v>50</v>
      </c>
      <c r="S30">
        <f ca="1">IF(AVERAGE(OFFSET(data!$A$1,$Q30,1,$R30-1,1))=O30,1,0)</f>
        <v>1</v>
      </c>
      <c r="T30">
        <f ca="1">IF(AVERAGE(OFFSET(data!$A$1,$Q30,2,$R30-1,1))=P30,1,0)</f>
        <v>1</v>
      </c>
    </row>
    <row r="31" spans="1:20" x14ac:dyDescent="0.15">
      <c r="A31" s="1" t="str">
        <f t="shared" ca="1" si="0"/>
        <v>IntelMKL002510016</v>
      </c>
      <c r="B31" s="4" t="str">
        <f t="shared" ca="1" si="1"/>
        <v>IntelMKL</v>
      </c>
      <c r="C31" s="3">
        <f t="shared" ca="1" si="2"/>
        <v>2510</v>
      </c>
      <c r="D31" s="9">
        <f t="shared" ca="1" si="3"/>
        <v>16</v>
      </c>
      <c r="E31" s="4">
        <f ca="1">AVERAGE(OFFSET(data!$A$1,$Q31-1,3,$R31,1))</f>
        <v>0.15484399999999998</v>
      </c>
      <c r="F31" s="3">
        <f ca="1">MIN(OFFSET(data!$A$1,$Q31-1,3,$R31,1))</f>
        <v>0.1137</v>
      </c>
      <c r="G31" s="3">
        <f ca="1">MAX(OFFSET(data!$A$1,$Q31-1,3,$R31,1))</f>
        <v>0.2316</v>
      </c>
      <c r="H31" s="5">
        <f t="shared" ca="1" si="4"/>
        <v>0.76141148510759227</v>
      </c>
      <c r="I31" s="4">
        <f ca="1">AVERAGE(OFFSET(data!$A$1,$Q31-1,4,$R31,1))</f>
        <v>223.82353199999997</v>
      </c>
      <c r="J31" s="3">
        <f ca="1">MIN(OFFSET(data!$A$1,$Q31-1,4,$R31,1))</f>
        <v>136.54419999999999</v>
      </c>
      <c r="K31" s="9">
        <f ca="1">MAX(OFFSET(data!$A$1,$Q31-1,4,$R31,1))</f>
        <v>278.19170000000003</v>
      </c>
      <c r="L31" s="28"/>
      <c r="N31" t="str">
        <f ca="1">OFFSET(data!$A$1,$Q31-1,0)</f>
        <v>IntelMKL</v>
      </c>
      <c r="O31">
        <f ca="1">OFFSET(data!$A$1,$Q31-1,1)</f>
        <v>2510</v>
      </c>
      <c r="P31">
        <f ca="1">OFFSET(data!$A$1,$Q31-1,2)</f>
        <v>16</v>
      </c>
      <c r="Q31">
        <f t="shared" si="6"/>
        <v>933</v>
      </c>
      <c r="R31">
        <v>50</v>
      </c>
      <c r="S31">
        <f ca="1">IF(AVERAGE(OFFSET(data!$A$1,$Q31,1,$R31-1,1))=O31,1,0)</f>
        <v>1</v>
      </c>
      <c r="T31">
        <f ca="1">IF(AVERAGE(OFFSET(data!$A$1,$Q31,2,$R31-1,1))=P31,1,0)</f>
        <v>1</v>
      </c>
    </row>
    <row r="32" spans="1:20" x14ac:dyDescent="0.15">
      <c r="A32" s="1" t="str">
        <f t="shared" ca="1" si="0"/>
        <v>IntelMKL010000001</v>
      </c>
      <c r="B32" s="4" t="str">
        <f t="shared" ca="1" si="1"/>
        <v>IntelMKL</v>
      </c>
      <c r="C32" s="3">
        <f t="shared" ca="1" si="2"/>
        <v>10000</v>
      </c>
      <c r="D32" s="9">
        <f t="shared" ca="1" si="3"/>
        <v>1</v>
      </c>
      <c r="E32" s="4">
        <f ca="1">AVERAGE(OFFSET(data!$A$1,$Q32-1,3,$R32,1))</f>
        <v>101.66200000000001</v>
      </c>
      <c r="F32" s="3">
        <f ca="1">MIN(OFFSET(data!$A$1,$Q32-1,3,$R32,1))</f>
        <v>101.6614</v>
      </c>
      <c r="G32" s="3">
        <f ca="1">MAX(OFFSET(data!$A$1,$Q32-1,3,$R32,1))</f>
        <v>101.6632</v>
      </c>
      <c r="H32" s="5">
        <f t="shared" ca="1" si="4"/>
        <v>1.770573075488295E-5</v>
      </c>
      <c r="I32" s="4">
        <f ca="1">AVERAGE(OFFSET(data!$A$1,$Q32-1,4,$R32,1))</f>
        <v>19.673020000000001</v>
      </c>
      <c r="J32" s="3">
        <f ca="1">MIN(OFFSET(data!$A$1,$Q32-1,4,$R32,1))</f>
        <v>19.672799999999999</v>
      </c>
      <c r="K32" s="9">
        <f ca="1">MAX(OFFSET(data!$A$1,$Q32-1,4,$R32,1))</f>
        <v>19.673100000000002</v>
      </c>
      <c r="L32" s="28"/>
      <c r="N32" t="str">
        <f ca="1">OFFSET(data!$A$1,$Q32-1,0)</f>
        <v>IntelMKL</v>
      </c>
      <c r="O32">
        <f ca="1">OFFSET(data!$A$1,$Q32-1,1)</f>
        <v>10000</v>
      </c>
      <c r="P32">
        <f ca="1">OFFSET(data!$A$1,$Q32-1,2)</f>
        <v>1</v>
      </c>
      <c r="Q32">
        <f t="shared" si="6"/>
        <v>984</v>
      </c>
      <c r="R32">
        <v>5</v>
      </c>
      <c r="S32">
        <f ca="1">IF(AVERAGE(OFFSET(data!$A$1,$Q32,1,$R32-1,1))=O32,1,0)</f>
        <v>1</v>
      </c>
      <c r="T32">
        <f ca="1">IF(AVERAGE(OFFSET(data!$A$1,$Q32,2,$R32-1,1))=P32,1,0)</f>
        <v>1</v>
      </c>
    </row>
    <row r="33" spans="1:20" x14ac:dyDescent="0.15">
      <c r="A33" s="1" t="str">
        <f t="shared" ca="1" si="0"/>
        <v>IntelMKL010000015</v>
      </c>
      <c r="B33" s="4" t="str">
        <f t="shared" ca="1" si="1"/>
        <v>IntelMKL</v>
      </c>
      <c r="C33" s="3">
        <f t="shared" ca="1" si="2"/>
        <v>10000</v>
      </c>
      <c r="D33" s="9">
        <f t="shared" ca="1" si="3"/>
        <v>15</v>
      </c>
      <c r="E33" s="4">
        <f ca="1">AVERAGE(OFFSET(data!$A$1,$Q33-1,3,$R33,1))</f>
        <v>7.5557760000000007</v>
      </c>
      <c r="F33" s="3">
        <f ca="1">MIN(OFFSET(data!$A$1,$Q33-1,3,$R33,1))</f>
        <v>7.4618000000000002</v>
      </c>
      <c r="G33" s="3">
        <f ca="1">MAX(OFFSET(data!$A$1,$Q33-1,3,$R33,1))</f>
        <v>7.6463000000000001</v>
      </c>
      <c r="H33" s="5">
        <f t="shared" ca="1" si="4"/>
        <v>2.4418405204177554E-2</v>
      </c>
      <c r="I33" s="4">
        <f ca="1">AVERAGE(OFFSET(data!$A$1,$Q33-1,4,$R33,1))</f>
        <v>264.71744199999995</v>
      </c>
      <c r="J33" s="3">
        <f ca="1">MIN(OFFSET(data!$A$1,$Q33-1,4,$R33,1))</f>
        <v>261.56549999999999</v>
      </c>
      <c r="K33" s="9">
        <f ca="1">MAX(OFFSET(data!$A$1,$Q33-1,4,$R33,1))</f>
        <v>268.03219999999999</v>
      </c>
      <c r="L33" s="28"/>
      <c r="N33" t="str">
        <f ca="1">OFFSET(data!$A$1,$Q33-1,0)</f>
        <v>IntelMKL</v>
      </c>
      <c r="O33">
        <f ca="1">OFFSET(data!$A$1,$Q33-1,1)</f>
        <v>10000</v>
      </c>
      <c r="P33">
        <f ca="1">OFFSET(data!$A$1,$Q33-1,2)</f>
        <v>15</v>
      </c>
      <c r="Q33">
        <f t="shared" si="6"/>
        <v>990</v>
      </c>
      <c r="R33">
        <v>50</v>
      </c>
      <c r="S33">
        <f ca="1">IF(AVERAGE(OFFSET(data!$A$1,$Q33,1,$R33-1,1))=O33,1,0)</f>
        <v>1</v>
      </c>
      <c r="T33">
        <f ca="1">IF(AVERAGE(OFFSET(data!$A$1,$Q33,2,$R33-1,1))=P33,1,0)</f>
        <v>1</v>
      </c>
    </row>
    <row r="34" spans="1:20" x14ac:dyDescent="0.15">
      <c r="A34" s="1" t="str">
        <f t="shared" ca="1" si="0"/>
        <v>IntelMKL010000016</v>
      </c>
      <c r="B34" s="4" t="str">
        <f t="shared" ca="1" si="1"/>
        <v>IntelMKL</v>
      </c>
      <c r="C34" s="3">
        <f t="shared" ca="1" si="2"/>
        <v>10000</v>
      </c>
      <c r="D34" s="9">
        <f t="shared" ca="1" si="3"/>
        <v>16</v>
      </c>
      <c r="E34" s="4">
        <f ca="1">AVERAGE(OFFSET(data!$A$1,$Q34-1,3,$R34,1))</f>
        <v>6.9017360000000005</v>
      </c>
      <c r="F34" s="3">
        <f ca="1">MIN(OFFSET(data!$A$1,$Q34-1,3,$R34,1))</f>
        <v>6.6454000000000004</v>
      </c>
      <c r="G34" s="3">
        <f ca="1">MAX(OFFSET(data!$A$1,$Q34-1,3,$R34,1))</f>
        <v>12.332100000000001</v>
      </c>
      <c r="H34" s="5">
        <f t="shared" ca="1" si="4"/>
        <v>0.82395211871332075</v>
      </c>
      <c r="I34" s="4">
        <f ca="1">AVERAGE(OFFSET(data!$A$1,$Q34-1,4,$R34,1))</f>
        <v>293.05729400000007</v>
      </c>
      <c r="J34" s="3">
        <f ca="1">MIN(OFFSET(data!$A$1,$Q34-1,4,$R34,1))</f>
        <v>162.17869999999999</v>
      </c>
      <c r="K34" s="9">
        <f ca="1">MAX(OFFSET(data!$A$1,$Q34-1,4,$R34,1))</f>
        <v>300.96069999999997</v>
      </c>
      <c r="L34" s="28"/>
      <c r="N34" t="str">
        <f ca="1">OFFSET(data!$A$1,$Q34-1,0)</f>
        <v>IntelMKL</v>
      </c>
      <c r="O34">
        <f ca="1">OFFSET(data!$A$1,$Q34-1,1)</f>
        <v>10000</v>
      </c>
      <c r="P34">
        <f ca="1">OFFSET(data!$A$1,$Q34-1,2)</f>
        <v>16</v>
      </c>
      <c r="Q34">
        <f t="shared" si="6"/>
        <v>1041</v>
      </c>
      <c r="R34">
        <v>50</v>
      </c>
      <c r="S34">
        <f ca="1">IF(AVERAGE(OFFSET(data!$A$1,$Q34,1,$R34-1,1))=O34,1,0)</f>
        <v>1</v>
      </c>
      <c r="T34">
        <f ca="1">IF(AVERAGE(OFFSET(data!$A$1,$Q34,2,$R34-1,1))=P34,1,0)</f>
        <v>1</v>
      </c>
    </row>
    <row r="35" spans="1:20" x14ac:dyDescent="0.15">
      <c r="A35" s="1" t="str">
        <f t="shared" ca="1" si="0"/>
        <v>IntelMKL010005001</v>
      </c>
      <c r="B35" s="4" t="str">
        <f t="shared" ca="1" si="1"/>
        <v>IntelMKL</v>
      </c>
      <c r="C35" s="3">
        <f t="shared" ca="1" si="2"/>
        <v>10005</v>
      </c>
      <c r="D35" s="9">
        <f t="shared" ca="1" si="3"/>
        <v>1</v>
      </c>
      <c r="E35" s="4">
        <f ca="1">AVERAGE(OFFSET(data!$A$1,$Q35-1,3,$R35,1))</f>
        <v>102.36470000000001</v>
      </c>
      <c r="F35" s="3">
        <f ca="1">MIN(OFFSET(data!$A$1,$Q35-1,3,$R35,1))</f>
        <v>102.364</v>
      </c>
      <c r="G35" s="3">
        <f ca="1">MAX(OFFSET(data!$A$1,$Q35-1,3,$R35,1))</f>
        <v>102.3656</v>
      </c>
      <c r="H35" s="5">
        <f t="shared" ca="1" si="4"/>
        <v>1.5630388209961743E-5</v>
      </c>
      <c r="I35" s="4">
        <f ca="1">AVERAGE(OFFSET(data!$A$1,$Q35-1,4,$R35,1))</f>
        <v>19.567299999999999</v>
      </c>
      <c r="J35" s="3">
        <f ca="1">MIN(OFFSET(data!$A$1,$Q35-1,4,$R35,1))</f>
        <v>19.5671</v>
      </c>
      <c r="K35" s="9">
        <f ca="1">MAX(OFFSET(data!$A$1,$Q35-1,4,$R35,1))</f>
        <v>19.567399999999999</v>
      </c>
      <c r="L35" s="28"/>
      <c r="N35" t="str">
        <f ca="1">OFFSET(data!$A$1,$Q35-1,0)</f>
        <v>IntelMKL</v>
      </c>
      <c r="O35">
        <f ca="1">OFFSET(data!$A$1,$Q35-1,1)</f>
        <v>10005</v>
      </c>
      <c r="P35">
        <f ca="1">OFFSET(data!$A$1,$Q35-1,2)</f>
        <v>1</v>
      </c>
      <c r="Q35">
        <f t="shared" si="6"/>
        <v>1092</v>
      </c>
      <c r="R35">
        <v>5</v>
      </c>
      <c r="S35">
        <f ca="1">IF(AVERAGE(OFFSET(data!$A$1,$Q35,1,$R35-1,1))=O35,1,0)</f>
        <v>1</v>
      </c>
      <c r="T35">
        <f ca="1">IF(AVERAGE(OFFSET(data!$A$1,$Q35,2,$R35-1,1))=P35,1,0)</f>
        <v>1</v>
      </c>
    </row>
    <row r="36" spans="1:20" x14ac:dyDescent="0.15">
      <c r="A36" s="1" t="str">
        <f t="shared" ca="1" si="0"/>
        <v>IntelMKL010005015</v>
      </c>
      <c r="B36" s="4" t="str">
        <f t="shared" ca="1" si="1"/>
        <v>IntelMKL</v>
      </c>
      <c r="C36" s="3">
        <f t="shared" ca="1" si="2"/>
        <v>10005</v>
      </c>
      <c r="D36" s="9">
        <f t="shared" ca="1" si="3"/>
        <v>15</v>
      </c>
      <c r="E36" s="4">
        <f ca="1">AVERAGE(OFFSET(data!$A$1,$Q36-1,3,$R36,1))</f>
        <v>7.5590920000000006</v>
      </c>
      <c r="F36" s="3">
        <f ca="1">MIN(OFFSET(data!$A$1,$Q36-1,3,$R36,1))</f>
        <v>7.5126999999999997</v>
      </c>
      <c r="G36" s="3">
        <f ca="1">MAX(OFFSET(data!$A$1,$Q36-1,3,$R36,1))</f>
        <v>7.6817000000000002</v>
      </c>
      <c r="H36" s="5">
        <f t="shared" ca="1" si="4"/>
        <v>2.2357182582246712E-2</v>
      </c>
      <c r="I36" s="4">
        <f ca="1">AVERAGE(OFFSET(data!$A$1,$Q36-1,4,$R36,1))</f>
        <v>264.99177999999995</v>
      </c>
      <c r="J36" s="3">
        <f ca="1">MIN(OFFSET(data!$A$1,$Q36-1,4,$R36,1))</f>
        <v>260.74869999999999</v>
      </c>
      <c r="K36" s="9">
        <f ca="1">MAX(OFFSET(data!$A$1,$Q36-1,4,$R36,1))</f>
        <v>266.61430000000001</v>
      </c>
      <c r="L36" s="28"/>
      <c r="N36" t="str">
        <f ca="1">OFFSET(data!$A$1,$Q36-1,0)</f>
        <v>IntelMKL</v>
      </c>
      <c r="O36">
        <f ca="1">OFFSET(data!$A$1,$Q36-1,1)</f>
        <v>10005</v>
      </c>
      <c r="P36">
        <f ca="1">OFFSET(data!$A$1,$Q36-1,2)</f>
        <v>15</v>
      </c>
      <c r="Q36">
        <f t="shared" si="6"/>
        <v>1098</v>
      </c>
      <c r="R36">
        <v>50</v>
      </c>
      <c r="S36">
        <f ca="1">IF(AVERAGE(OFFSET(data!$A$1,$Q36,1,$R36-1,1))=O36,1,0)</f>
        <v>1</v>
      </c>
      <c r="T36">
        <f ca="1">IF(AVERAGE(OFFSET(data!$A$1,$Q36,2,$R36-1,1))=P36,1,0)</f>
        <v>1</v>
      </c>
    </row>
    <row r="37" spans="1:20" x14ac:dyDescent="0.15">
      <c r="A37" s="1" t="str">
        <f t="shared" ca="1" si="0"/>
        <v>IntelMKL010005016</v>
      </c>
      <c r="B37" s="4" t="str">
        <f t="shared" ca="1" si="1"/>
        <v>IntelMKL</v>
      </c>
      <c r="C37" s="3">
        <f t="shared" ca="1" si="2"/>
        <v>10005</v>
      </c>
      <c r="D37" s="9">
        <f t="shared" ca="1" si="3"/>
        <v>16</v>
      </c>
      <c r="E37" s="4">
        <f ca="1">AVERAGE(OFFSET(data!$A$1,$Q37-1,3,$R37,1))</f>
        <v>7.0843139999999991</v>
      </c>
      <c r="F37" s="3">
        <f ca="1">MIN(OFFSET(data!$A$1,$Q37-1,3,$R37,1))</f>
        <v>6.7339000000000002</v>
      </c>
      <c r="G37" s="3">
        <f ca="1">MAX(OFFSET(data!$A$1,$Q37-1,3,$R37,1))</f>
        <v>12.2857</v>
      </c>
      <c r="H37" s="5">
        <f t="shared" ca="1" si="4"/>
        <v>0.78367503190852361</v>
      </c>
      <c r="I37" s="4">
        <f ca="1">AVERAGE(OFFSET(data!$A$1,$Q37-1,4,$R37,1))</f>
        <v>287.55012199999999</v>
      </c>
      <c r="J37" s="3">
        <f ca="1">MIN(OFFSET(data!$A$1,$Q37-1,4,$R37,1))</f>
        <v>163.03569999999999</v>
      </c>
      <c r="K37" s="9">
        <f ca="1">MAX(OFFSET(data!$A$1,$Q37-1,4,$R37,1))</f>
        <v>297.45209999999997</v>
      </c>
      <c r="L37" s="28"/>
      <c r="N37" t="str">
        <f ca="1">OFFSET(data!$A$1,$Q37-1,0)</f>
        <v>IntelMKL</v>
      </c>
      <c r="O37">
        <f ca="1">OFFSET(data!$A$1,$Q37-1,1)</f>
        <v>10005</v>
      </c>
      <c r="P37">
        <f ca="1">OFFSET(data!$A$1,$Q37-1,2)</f>
        <v>16</v>
      </c>
      <c r="Q37">
        <f t="shared" si="6"/>
        <v>1149</v>
      </c>
      <c r="R37">
        <v>50</v>
      </c>
      <c r="S37">
        <f ca="1">IF(AVERAGE(OFFSET(data!$A$1,$Q37,1,$R37-1,1))=O37,1,0)</f>
        <v>1</v>
      </c>
      <c r="T37">
        <f ca="1">IF(AVERAGE(OFFSET(data!$A$1,$Q37,2,$R37-1,1))=P37,1,0)</f>
        <v>1</v>
      </c>
    </row>
    <row r="38" spans="1:20" x14ac:dyDescent="0.15">
      <c r="A38" s="1" t="str">
        <f t="shared" ca="1" si="0"/>
        <v>IntelMKL010010001</v>
      </c>
      <c r="B38" s="4" t="str">
        <f t="shared" ca="1" si="1"/>
        <v>IntelMKL</v>
      </c>
      <c r="C38" s="3">
        <f t="shared" ca="1" si="2"/>
        <v>10010</v>
      </c>
      <c r="D38" s="9">
        <f t="shared" ca="1" si="3"/>
        <v>1</v>
      </c>
      <c r="E38" s="4">
        <f ca="1">AVERAGE(OFFSET(data!$A$1,$Q38-1,3,$R38,1))</f>
        <v>101.61082</v>
      </c>
      <c r="F38" s="3">
        <f ca="1">MIN(OFFSET(data!$A$1,$Q38-1,3,$R38,1))</f>
        <v>101.61</v>
      </c>
      <c r="G38" s="3">
        <f ca="1">MAX(OFFSET(data!$A$1,$Q38-1,3,$R38,1))</f>
        <v>101.61199999999999</v>
      </c>
      <c r="H38" s="5">
        <f t="shared" ca="1" si="4"/>
        <v>1.9682943214072465E-5</v>
      </c>
      <c r="I38" s="4">
        <f ca="1">AVERAGE(OFFSET(data!$A$1,$Q38-1,4,$R38,1))</f>
        <v>19.742039999999999</v>
      </c>
      <c r="J38" s="3">
        <f ca="1">MIN(OFFSET(data!$A$1,$Q38-1,4,$R38,1))</f>
        <v>19.741800000000001</v>
      </c>
      <c r="K38" s="9">
        <f ca="1">MAX(OFFSET(data!$A$1,$Q38-1,4,$R38,1))</f>
        <v>19.7422</v>
      </c>
      <c r="L38" s="28"/>
      <c r="N38" t="str">
        <f ca="1">OFFSET(data!$A$1,$Q38-1,0)</f>
        <v>IntelMKL</v>
      </c>
      <c r="O38">
        <f ca="1">OFFSET(data!$A$1,$Q38-1,1)</f>
        <v>10010</v>
      </c>
      <c r="P38">
        <f ca="1">OFFSET(data!$A$1,$Q38-1,2)</f>
        <v>1</v>
      </c>
      <c r="Q38">
        <f t="shared" si="6"/>
        <v>1200</v>
      </c>
      <c r="R38">
        <v>5</v>
      </c>
      <c r="S38">
        <f ca="1">IF(AVERAGE(OFFSET(data!$A$1,$Q38,1,$R38-1,1))=O38,1,0)</f>
        <v>1</v>
      </c>
      <c r="T38">
        <f ca="1">IF(AVERAGE(OFFSET(data!$A$1,$Q38,2,$R38-1,1))=P38,1,0)</f>
        <v>1</v>
      </c>
    </row>
    <row r="39" spans="1:20" x14ac:dyDescent="0.15">
      <c r="A39" s="1" t="str">
        <f t="shared" ca="1" si="0"/>
        <v>IntelMKL010010015</v>
      </c>
      <c r="B39" s="4" t="str">
        <f t="shared" ca="1" si="1"/>
        <v>IntelMKL</v>
      </c>
      <c r="C39" s="3">
        <f t="shared" ca="1" si="2"/>
        <v>10010</v>
      </c>
      <c r="D39" s="9">
        <f t="shared" ca="1" si="3"/>
        <v>15</v>
      </c>
      <c r="E39" s="4">
        <f ca="1">AVERAGE(OFFSET(data!$A$1,$Q39-1,3,$R39,1))</f>
        <v>7.5743959999999992</v>
      </c>
      <c r="F39" s="3">
        <f ca="1">MIN(OFFSET(data!$A$1,$Q39-1,3,$R39,1))</f>
        <v>7.5311000000000003</v>
      </c>
      <c r="G39" s="3">
        <f ca="1">MAX(OFFSET(data!$A$1,$Q39-1,3,$R39,1))</f>
        <v>7.6954000000000002</v>
      </c>
      <c r="H39" s="5">
        <f t="shared" ca="1" si="4"/>
        <v>2.1691498569654914E-2</v>
      </c>
      <c r="I39" s="4">
        <f ca="1">AVERAGE(OFFSET(data!$A$1,$Q39-1,4,$R39,1))</f>
        <v>264.8564540000001</v>
      </c>
      <c r="J39" s="3">
        <f ca="1">MIN(OFFSET(data!$A$1,$Q39-1,4,$R39,1))</f>
        <v>260.67520000000002</v>
      </c>
      <c r="K39" s="9">
        <f ca="1">MAX(OFFSET(data!$A$1,$Q39-1,4,$R39,1))</f>
        <v>266.36149999999998</v>
      </c>
      <c r="L39" s="28"/>
      <c r="N39" t="str">
        <f ca="1">OFFSET(data!$A$1,$Q39-1,0)</f>
        <v>IntelMKL</v>
      </c>
      <c r="O39">
        <f ca="1">OFFSET(data!$A$1,$Q39-1,1)</f>
        <v>10010</v>
      </c>
      <c r="P39">
        <f ca="1">OFFSET(data!$A$1,$Q39-1,2)</f>
        <v>15</v>
      </c>
      <c r="Q39">
        <f t="shared" si="6"/>
        <v>1206</v>
      </c>
      <c r="R39">
        <v>50</v>
      </c>
      <c r="S39">
        <f ca="1">IF(AVERAGE(OFFSET(data!$A$1,$Q39,1,$R39-1,1))=O39,1,0)</f>
        <v>1</v>
      </c>
      <c r="T39">
        <f ca="1">IF(AVERAGE(OFFSET(data!$A$1,$Q39,2,$R39-1,1))=P39,1,0)</f>
        <v>1</v>
      </c>
    </row>
    <row r="40" spans="1:20" ht="14" thickBot="1" x14ac:dyDescent="0.2">
      <c r="A40" s="1" t="str">
        <f t="shared" ca="1" si="0"/>
        <v>IntelMKL010010016</v>
      </c>
      <c r="B40" s="6" t="str">
        <f t="shared" ca="1" si="1"/>
        <v>IntelMKL</v>
      </c>
      <c r="C40" s="7">
        <f t="shared" ca="1" si="2"/>
        <v>10010</v>
      </c>
      <c r="D40" s="10">
        <f t="shared" ca="1" si="3"/>
        <v>16</v>
      </c>
      <c r="E40" s="6">
        <f ca="1">AVERAGE(OFFSET(data!$A$1,$Q40-1,3,$R40,1))</f>
        <v>6.8603040000000002</v>
      </c>
      <c r="F40" s="7">
        <f ca="1">MIN(OFFSET(data!$A$1,$Q40-1,3,$R40,1))</f>
        <v>6.6039000000000003</v>
      </c>
      <c r="G40" s="7">
        <f ca="1">MAX(OFFSET(data!$A$1,$Q40-1,3,$R40,1))</f>
        <v>12.4107</v>
      </c>
      <c r="H40" s="8">
        <f t="shared" ca="1" si="4"/>
        <v>0.84643479356016871</v>
      </c>
      <c r="I40" s="6">
        <f ca="1">AVERAGE(OFFSET(data!$A$1,$Q40-1,4,$R40,1))</f>
        <v>295.81011399999994</v>
      </c>
      <c r="J40" s="7">
        <f ca="1">MIN(OFFSET(data!$A$1,$Q40-1,4,$R40,1))</f>
        <v>161.63489999999999</v>
      </c>
      <c r="K40" s="10">
        <f ca="1">MAX(OFFSET(data!$A$1,$Q40-1,4,$R40,1))</f>
        <v>303.76260000000002</v>
      </c>
      <c r="L40" s="28"/>
      <c r="N40" t="str">
        <f ca="1">OFFSET(data!$A$1,$Q40-1,0)</f>
        <v>IntelMKL</v>
      </c>
      <c r="O40">
        <f ca="1">OFFSET(data!$A$1,$Q40-1,1)</f>
        <v>10010</v>
      </c>
      <c r="P40">
        <f ca="1">OFFSET(data!$A$1,$Q40-1,2)</f>
        <v>16</v>
      </c>
      <c r="Q40">
        <f t="shared" si="6"/>
        <v>1257</v>
      </c>
      <c r="R40">
        <v>50</v>
      </c>
      <c r="S40">
        <f ca="1">IF(AVERAGE(OFFSET(data!$A$1,$Q40,1,$R40-1,1))=O40,1,0)</f>
        <v>1</v>
      </c>
      <c r="T40">
        <f ca="1">IF(AVERAGE(OFFSET(data!$A$1,$Q40,2,$R40-1,1))=P40,1,0)</f>
        <v>1</v>
      </c>
    </row>
    <row r="46" spans="1:20" ht="14" thickBot="1" x14ac:dyDescent="0.2"/>
    <row r="47" spans="1:20" ht="14" thickBot="1" x14ac:dyDescent="0.2">
      <c r="D47" s="70" t="s">
        <v>26</v>
      </c>
      <c r="E47" s="71"/>
      <c r="F47" s="72"/>
      <c r="G47" s="73" t="s">
        <v>7</v>
      </c>
      <c r="H47" s="71"/>
      <c r="I47" s="72"/>
    </row>
    <row r="48" spans="1:20" ht="14" thickBot="1" x14ac:dyDescent="0.2">
      <c r="B48" s="46" t="s">
        <v>28</v>
      </c>
      <c r="C48" s="47" t="s">
        <v>29</v>
      </c>
      <c r="D48" s="56">
        <f ca="1">D5</f>
        <v>1</v>
      </c>
      <c r="E48" s="57">
        <f ca="1">D6</f>
        <v>15</v>
      </c>
      <c r="F48" s="58">
        <f ca="1">D7</f>
        <v>16</v>
      </c>
      <c r="G48" s="59">
        <f ca="1">D5</f>
        <v>1</v>
      </c>
      <c r="H48" s="57">
        <f ca="1">D6</f>
        <v>15</v>
      </c>
      <c r="I48" s="58">
        <f ca="1">D7</f>
        <v>16</v>
      </c>
    </row>
    <row r="49" spans="2:16" x14ac:dyDescent="0.15">
      <c r="B49" s="11" t="str">
        <f ca="1">B5</f>
        <v>OpenBLAS</v>
      </c>
      <c r="C49" s="39">
        <f ca="1">C5</f>
        <v>2500</v>
      </c>
      <c r="D49" s="41">
        <f t="shared" ref="D49:D60" ca="1" si="7">VLOOKUP(N49,datatable,8,FALSE)</f>
        <v>1.1710467925644771E-2</v>
      </c>
      <c r="E49" s="32">
        <f t="shared" ref="E49:E60" ca="1" si="8">VLOOKUP(O49,datatable,8,FALSE)</f>
        <v>4.8319293894051804E-2</v>
      </c>
      <c r="F49" s="24">
        <f t="shared" ref="F49:F60" ca="1" si="9">VLOOKUP(P49,datatable,8,FALSE)</f>
        <v>0.56578063904577591</v>
      </c>
      <c r="G49" s="48">
        <f t="shared" ref="G49:G60" ca="1" si="10">VLOOKUP(N49,datatable,9,FALSE)</f>
        <v>19.261119999999998</v>
      </c>
      <c r="H49" s="33">
        <f t="shared" ref="H49:H60" ca="1" si="11">VLOOKUP(O49,datatable,9,FALSE)</f>
        <v>251.70312799999999</v>
      </c>
      <c r="I49" s="34">
        <f t="shared" ref="I49:I60" ca="1" si="12">VLOOKUP(P49,datatable,9,FALSE)</f>
        <v>160.74579999999997</v>
      </c>
      <c r="N49" t="str">
        <f t="shared" ref="N49:N60" ca="1" si="13">$B49 &amp; TEXT($C49,"000000") &amp; TEXT(D$48,"000")</f>
        <v>OpenBLAS002500001</v>
      </c>
      <c r="O49" s="1" t="str">
        <f t="shared" ref="O49:O60" ca="1" si="14">$B49 &amp; TEXT($C49,"000000") &amp; TEXT(E$48,"000")</f>
        <v>OpenBLAS002500015</v>
      </c>
      <c r="P49" s="1" t="str">
        <f t="shared" ref="P49:P60" ca="1" si="15">$B49 &amp; TEXT($C49,"000000") &amp; TEXT(F$48,"000")</f>
        <v>OpenBLAS002500016</v>
      </c>
    </row>
    <row r="50" spans="2:16" x14ac:dyDescent="0.15">
      <c r="B50" s="4" t="str">
        <f ca="1">B8</f>
        <v>OpenBLAS</v>
      </c>
      <c r="C50" s="40">
        <f ca="1">C8</f>
        <v>2505</v>
      </c>
      <c r="D50" s="42">
        <f t="shared" ca="1" si="7"/>
        <v>6.1305312718393427E-5</v>
      </c>
      <c r="E50" s="30">
        <f t="shared" ca="1" si="8"/>
        <v>2.0947470190138501E-2</v>
      </c>
      <c r="F50" s="5">
        <f t="shared" ca="1" si="9"/>
        <v>0.14459962914448055</v>
      </c>
      <c r="G50" s="49">
        <f t="shared" ca="1" si="10"/>
        <v>19.272740000000006</v>
      </c>
      <c r="H50" s="31">
        <f t="shared" ca="1" si="11"/>
        <v>253.280688</v>
      </c>
      <c r="I50" s="35">
        <f t="shared" ca="1" si="12"/>
        <v>267.63091200000008</v>
      </c>
      <c r="N50" s="1" t="str">
        <f t="shared" ca="1" si="13"/>
        <v>OpenBLAS002505001</v>
      </c>
      <c r="O50" s="1" t="str">
        <f t="shared" ca="1" si="14"/>
        <v>OpenBLAS002505015</v>
      </c>
      <c r="P50" s="1" t="str">
        <f t="shared" ca="1" si="15"/>
        <v>OpenBLAS002505016</v>
      </c>
    </row>
    <row r="51" spans="2:16" x14ac:dyDescent="0.15">
      <c r="B51" s="4" t="str">
        <f ca="1">B11</f>
        <v>OpenBLAS</v>
      </c>
      <c r="C51" s="40">
        <f ca="1">C11</f>
        <v>2510</v>
      </c>
      <c r="D51" s="42">
        <f t="shared" ca="1" si="7"/>
        <v>1.2276566489882759E-4</v>
      </c>
      <c r="E51" s="30">
        <f t="shared" ca="1" si="8"/>
        <v>7.3653370869273312E-3</v>
      </c>
      <c r="F51" s="5">
        <f t="shared" ca="1" si="9"/>
        <v>6.3845158688822165E-2</v>
      </c>
      <c r="G51" s="49">
        <f t="shared" ca="1" si="10"/>
        <v>19.413319999999999</v>
      </c>
      <c r="H51" s="31">
        <f t="shared" ca="1" si="11"/>
        <v>258.82318600000008</v>
      </c>
      <c r="I51" s="35">
        <f t="shared" ca="1" si="12"/>
        <v>265.71807200000001</v>
      </c>
      <c r="N51" s="1" t="str">
        <f t="shared" ca="1" si="13"/>
        <v>OpenBLAS002510001</v>
      </c>
      <c r="O51" s="1" t="str">
        <f t="shared" ca="1" si="14"/>
        <v>OpenBLAS002510015</v>
      </c>
      <c r="P51" s="1" t="str">
        <f t="shared" ca="1" si="15"/>
        <v>OpenBLAS002510016</v>
      </c>
    </row>
    <row r="52" spans="2:16" x14ac:dyDescent="0.15">
      <c r="B52" s="4" t="str">
        <f ca="1">B14</f>
        <v>OpenBLAS</v>
      </c>
      <c r="C52" s="40">
        <f ca="1">C14</f>
        <v>10000</v>
      </c>
      <c r="D52" s="42">
        <f t="shared" ca="1" si="7"/>
        <v>4.8854766984129452E-3</v>
      </c>
      <c r="E52" s="30">
        <f t="shared" ca="1" si="8"/>
        <v>6.6991375624812118E-3</v>
      </c>
      <c r="F52" s="5">
        <f t="shared" ca="1" si="9"/>
        <v>0.72554407936400256</v>
      </c>
      <c r="G52" s="49">
        <f t="shared" ca="1" si="10"/>
        <v>19.514659999999999</v>
      </c>
      <c r="H52" s="31">
        <f t="shared" ca="1" si="11"/>
        <v>277.97332600000004</v>
      </c>
      <c r="I52" s="35">
        <f t="shared" ca="1" si="12"/>
        <v>288.90371199999998</v>
      </c>
      <c r="N52" s="1" t="str">
        <f t="shared" ca="1" si="13"/>
        <v>OpenBLAS010000001</v>
      </c>
      <c r="O52" s="1" t="str">
        <f t="shared" ca="1" si="14"/>
        <v>OpenBLAS010000015</v>
      </c>
      <c r="P52" s="1" t="str">
        <f t="shared" ca="1" si="15"/>
        <v>OpenBLAS010000016</v>
      </c>
    </row>
    <row r="53" spans="2:16" x14ac:dyDescent="0.15">
      <c r="B53" s="4" t="str">
        <f ca="1">B17</f>
        <v>OpenBLAS</v>
      </c>
      <c r="C53" s="40">
        <f ca="1">C17</f>
        <v>10005</v>
      </c>
      <c r="D53" s="42">
        <f t="shared" ca="1" si="7"/>
        <v>7.7512454798222261E-5</v>
      </c>
      <c r="E53" s="30">
        <f t="shared" ca="1" si="8"/>
        <v>2.4229903262628895E-2</v>
      </c>
      <c r="F53" s="5">
        <f t="shared" ca="1" si="9"/>
        <v>0.7492445503498516</v>
      </c>
      <c r="G53" s="49">
        <f t="shared" ca="1" si="10"/>
        <v>19.4072</v>
      </c>
      <c r="H53" s="31">
        <f t="shared" ca="1" si="11"/>
        <v>276.54202799999996</v>
      </c>
      <c r="I53" s="35">
        <f t="shared" ca="1" si="12"/>
        <v>287.22814199999999</v>
      </c>
      <c r="N53" s="1" t="str">
        <f t="shared" ca="1" si="13"/>
        <v>OpenBLAS010005001</v>
      </c>
      <c r="O53" s="1" t="str">
        <f t="shared" ca="1" si="14"/>
        <v>OpenBLAS010005015</v>
      </c>
      <c r="P53" s="1" t="str">
        <f t="shared" ca="1" si="15"/>
        <v>OpenBLAS010005016</v>
      </c>
    </row>
    <row r="54" spans="2:16" ht="14" thickBot="1" x14ac:dyDescent="0.2">
      <c r="B54" s="6" t="str">
        <f ca="1">B20</f>
        <v>OpenBLAS</v>
      </c>
      <c r="C54" s="44">
        <f ca="1">C20</f>
        <v>10010</v>
      </c>
      <c r="D54" s="43">
        <f t="shared" ca="1" si="7"/>
        <v>2.3020706930795305E-4</v>
      </c>
      <c r="E54" s="36">
        <f t="shared" ca="1" si="8"/>
        <v>1.0789090405895282E-2</v>
      </c>
      <c r="F54" s="8">
        <f t="shared" ca="1" si="9"/>
        <v>0.70659321999752478</v>
      </c>
      <c r="G54" s="50">
        <f t="shared" ca="1" si="10"/>
        <v>19.56766</v>
      </c>
      <c r="H54" s="37">
        <f t="shared" ca="1" si="11"/>
        <v>279.26536799999991</v>
      </c>
      <c r="I54" s="38">
        <f t="shared" ca="1" si="12"/>
        <v>291.31797</v>
      </c>
      <c r="N54" s="1" t="str">
        <f t="shared" ca="1" si="13"/>
        <v>OpenBLAS010010001</v>
      </c>
      <c r="O54" s="1" t="str">
        <f t="shared" ca="1" si="14"/>
        <v>OpenBLAS010010015</v>
      </c>
      <c r="P54" s="1" t="str">
        <f t="shared" ca="1" si="15"/>
        <v>OpenBLAS010010016</v>
      </c>
    </row>
    <row r="55" spans="2:16" x14ac:dyDescent="0.15">
      <c r="B55" s="18" t="str">
        <f ca="1">B23</f>
        <v>IntelMKL</v>
      </c>
      <c r="C55" s="45">
        <f ca="1">C23</f>
        <v>2500</v>
      </c>
      <c r="D55" s="51">
        <f t="shared" ca="1" si="7"/>
        <v>6.2365135394702072E-5</v>
      </c>
      <c r="E55" s="52">
        <f t="shared" ca="1" si="8"/>
        <v>2.4178339431647402E-3</v>
      </c>
      <c r="F55" s="21">
        <f t="shared" ca="1" si="9"/>
        <v>3.5111095106053515E-2</v>
      </c>
      <c r="G55" s="53">
        <f t="shared" ca="1" si="10"/>
        <v>19.489080000000001</v>
      </c>
      <c r="H55" s="54">
        <f t="shared" ca="1" si="11"/>
        <v>251.86468399999998</v>
      </c>
      <c r="I55" s="55">
        <f t="shared" ca="1" si="12"/>
        <v>281.34522199999998</v>
      </c>
      <c r="N55" s="1" t="str">
        <f t="shared" ca="1" si="13"/>
        <v>IntelMKL002500001</v>
      </c>
      <c r="O55" s="1" t="str">
        <f t="shared" ca="1" si="14"/>
        <v>IntelMKL002500015</v>
      </c>
      <c r="P55" s="1" t="str">
        <f t="shared" ca="1" si="15"/>
        <v>IntelMKL002500016</v>
      </c>
    </row>
    <row r="56" spans="2:16" x14ac:dyDescent="0.15">
      <c r="B56" s="4" t="str">
        <f ca="1">B26</f>
        <v>IntelMKL</v>
      </c>
      <c r="C56" s="40">
        <f ca="1">C26</f>
        <v>2505</v>
      </c>
      <c r="D56" s="42">
        <f t="shared" ca="1" si="7"/>
        <v>6.1745165353546027E-5</v>
      </c>
      <c r="E56" s="30">
        <f t="shared" ca="1" si="8"/>
        <v>4.1624641787938586E-2</v>
      </c>
      <c r="F56" s="5">
        <f t="shared" ca="1" si="9"/>
        <v>2.3052506516766311E-2</v>
      </c>
      <c r="G56" s="49">
        <f t="shared" ca="1" si="10"/>
        <v>19.411399999999997</v>
      </c>
      <c r="H56" s="31">
        <f t="shared" ca="1" si="11"/>
        <v>251.62396799999999</v>
      </c>
      <c r="I56" s="35">
        <f t="shared" ca="1" si="12"/>
        <v>278.73924200000005</v>
      </c>
      <c r="N56" s="1" t="str">
        <f t="shared" ca="1" si="13"/>
        <v>IntelMKL002505001</v>
      </c>
      <c r="O56" s="1" t="str">
        <f t="shared" ca="1" si="14"/>
        <v>IntelMKL002505015</v>
      </c>
      <c r="P56" s="1" t="str">
        <f t="shared" ca="1" si="15"/>
        <v>IntelMKL002505016</v>
      </c>
    </row>
    <row r="57" spans="2:16" x14ac:dyDescent="0.15">
      <c r="B57" s="4" t="str">
        <f ca="1">B29</f>
        <v>IntelMKL</v>
      </c>
      <c r="C57" s="40">
        <f ca="1">C29</f>
        <v>2510</v>
      </c>
      <c r="D57" s="42">
        <f t="shared" ca="1" si="7"/>
        <v>6.1987057102470187E-5</v>
      </c>
      <c r="E57" s="30">
        <f t="shared" ca="1" si="8"/>
        <v>4.2051489712959779E-2</v>
      </c>
      <c r="F57" s="5">
        <f t="shared" ca="1" si="9"/>
        <v>0.76141148510759227</v>
      </c>
      <c r="G57" s="49">
        <f t="shared" ca="1" si="10"/>
        <v>19.60426</v>
      </c>
      <c r="H57" s="31">
        <f t="shared" ca="1" si="11"/>
        <v>246.30835799999997</v>
      </c>
      <c r="I57" s="35">
        <f t="shared" ca="1" si="12"/>
        <v>223.82353199999997</v>
      </c>
      <c r="N57" s="1" t="str">
        <f t="shared" ca="1" si="13"/>
        <v>IntelMKL002510001</v>
      </c>
      <c r="O57" s="1" t="str">
        <f t="shared" ca="1" si="14"/>
        <v>IntelMKL002510015</v>
      </c>
      <c r="P57" s="1" t="str">
        <f t="shared" ca="1" si="15"/>
        <v>IntelMKL002510016</v>
      </c>
    </row>
    <row r="58" spans="2:16" x14ac:dyDescent="0.15">
      <c r="B58" s="4" t="str">
        <f ca="1">B32</f>
        <v>IntelMKL</v>
      </c>
      <c r="C58" s="40">
        <f ca="1">C32</f>
        <v>10000</v>
      </c>
      <c r="D58" s="42">
        <f t="shared" ca="1" si="7"/>
        <v>1.770573075488295E-5</v>
      </c>
      <c r="E58" s="30">
        <f t="shared" ca="1" si="8"/>
        <v>2.4418405204177554E-2</v>
      </c>
      <c r="F58" s="5">
        <f t="shared" ca="1" si="9"/>
        <v>0.82395211871332075</v>
      </c>
      <c r="G58" s="49">
        <f t="shared" ca="1" si="10"/>
        <v>19.673020000000001</v>
      </c>
      <c r="H58" s="31">
        <f t="shared" ca="1" si="11"/>
        <v>264.71744199999995</v>
      </c>
      <c r="I58" s="35">
        <f t="shared" ca="1" si="12"/>
        <v>293.05729400000007</v>
      </c>
      <c r="N58" s="1" t="str">
        <f t="shared" ca="1" si="13"/>
        <v>IntelMKL010000001</v>
      </c>
      <c r="O58" s="1" t="str">
        <f t="shared" ca="1" si="14"/>
        <v>IntelMKL010000015</v>
      </c>
      <c r="P58" s="1" t="str">
        <f t="shared" ca="1" si="15"/>
        <v>IntelMKL010000016</v>
      </c>
    </row>
    <row r="59" spans="2:16" x14ac:dyDescent="0.15">
      <c r="B59" s="4" t="str">
        <f ca="1">B35</f>
        <v>IntelMKL</v>
      </c>
      <c r="C59" s="40">
        <f ca="1">C35</f>
        <v>10005</v>
      </c>
      <c r="D59" s="42">
        <f t="shared" ca="1" si="7"/>
        <v>1.5630388209961743E-5</v>
      </c>
      <c r="E59" s="30">
        <f t="shared" ca="1" si="8"/>
        <v>2.2357182582246712E-2</v>
      </c>
      <c r="F59" s="5">
        <f t="shared" ca="1" si="9"/>
        <v>0.78367503190852361</v>
      </c>
      <c r="G59" s="49">
        <f t="shared" ca="1" si="10"/>
        <v>19.567299999999999</v>
      </c>
      <c r="H59" s="31">
        <f t="shared" ca="1" si="11"/>
        <v>264.99177999999995</v>
      </c>
      <c r="I59" s="35">
        <f t="shared" ca="1" si="12"/>
        <v>287.55012199999999</v>
      </c>
      <c r="N59" s="1" t="str">
        <f t="shared" ca="1" si="13"/>
        <v>IntelMKL010005001</v>
      </c>
      <c r="O59" s="1" t="str">
        <f t="shared" ca="1" si="14"/>
        <v>IntelMKL010005015</v>
      </c>
      <c r="P59" s="1" t="str">
        <f t="shared" ca="1" si="15"/>
        <v>IntelMKL010005016</v>
      </c>
    </row>
    <row r="60" spans="2:16" ht="14" thickBot="1" x14ac:dyDescent="0.2">
      <c r="B60" s="6" t="str">
        <f ca="1">B38</f>
        <v>IntelMKL</v>
      </c>
      <c r="C60" s="44">
        <f ca="1">C38</f>
        <v>10010</v>
      </c>
      <c r="D60" s="43">
        <f t="shared" ca="1" si="7"/>
        <v>1.9682943214072465E-5</v>
      </c>
      <c r="E60" s="36">
        <f t="shared" ca="1" si="8"/>
        <v>2.1691498569654914E-2</v>
      </c>
      <c r="F60" s="8">
        <f t="shared" ca="1" si="9"/>
        <v>0.84643479356016871</v>
      </c>
      <c r="G60" s="50">
        <f t="shared" ca="1" si="10"/>
        <v>19.742039999999999</v>
      </c>
      <c r="H60" s="37">
        <f t="shared" ca="1" si="11"/>
        <v>264.8564540000001</v>
      </c>
      <c r="I60" s="38">
        <f t="shared" ca="1" si="12"/>
        <v>295.81011399999994</v>
      </c>
      <c r="N60" s="1" t="str">
        <f t="shared" ca="1" si="13"/>
        <v>IntelMKL010010001</v>
      </c>
      <c r="O60" s="1" t="str">
        <f t="shared" ca="1" si="14"/>
        <v>IntelMKL010010015</v>
      </c>
      <c r="P60" s="1" t="str">
        <f t="shared" ca="1" si="15"/>
        <v>IntelMKL010010016</v>
      </c>
    </row>
    <row r="104" spans="2:4" x14ac:dyDescent="0.15">
      <c r="B104" s="25" t="s">
        <v>35</v>
      </c>
      <c r="C104" s="25"/>
      <c r="D104" s="25">
        <v>2.6</v>
      </c>
    </row>
    <row r="105" spans="2:4" x14ac:dyDescent="0.15">
      <c r="B105" s="25" t="s">
        <v>32</v>
      </c>
      <c r="C105" s="25"/>
      <c r="D105" s="25">
        <v>8</v>
      </c>
    </row>
    <row r="106" spans="2:4" x14ac:dyDescent="0.15">
      <c r="B106" s="25" t="s">
        <v>30</v>
      </c>
      <c r="C106" s="25"/>
      <c r="D106" s="25">
        <v>8</v>
      </c>
    </row>
    <row r="107" spans="2:4" x14ac:dyDescent="0.15">
      <c r="B107" s="25" t="s">
        <v>31</v>
      </c>
      <c r="C107" s="25"/>
      <c r="D107" s="25">
        <v>2</v>
      </c>
    </row>
    <row r="109" spans="2:4" x14ac:dyDescent="0.15">
      <c r="B109" t="s">
        <v>33</v>
      </c>
      <c r="D109">
        <f>D104*D105</f>
        <v>20.8</v>
      </c>
    </row>
    <row r="110" spans="2:4" x14ac:dyDescent="0.15">
      <c r="B110" s="25" t="s">
        <v>34</v>
      </c>
      <c r="C110" s="25"/>
      <c r="D110" s="25">
        <f>PRODUCT(D104:D107)</f>
        <v>332.8</v>
      </c>
    </row>
    <row r="113" spans="2:16" x14ac:dyDescent="0.15">
      <c r="B113" t="s">
        <v>36</v>
      </c>
    </row>
    <row r="114" spans="2:16" ht="14" thickBot="1" x14ac:dyDescent="0.2"/>
    <row r="115" spans="2:16" ht="14" thickBot="1" x14ac:dyDescent="0.2">
      <c r="B115" s="61"/>
      <c r="C115" s="61"/>
      <c r="D115" s="70" t="s">
        <v>26</v>
      </c>
      <c r="E115" s="71"/>
      <c r="F115" s="72"/>
      <c r="G115" s="73" t="s">
        <v>7</v>
      </c>
      <c r="H115" s="71"/>
      <c r="I115" s="72"/>
      <c r="J115" s="70" t="s">
        <v>37</v>
      </c>
      <c r="K115" s="71"/>
      <c r="L115" s="72"/>
    </row>
    <row r="116" spans="2:16" ht="14" thickBot="1" x14ac:dyDescent="0.2">
      <c r="B116" s="12" t="s">
        <v>28</v>
      </c>
      <c r="C116" s="14" t="s">
        <v>29</v>
      </c>
      <c r="D116" s="56">
        <f ca="1">D$5</f>
        <v>1</v>
      </c>
      <c r="E116" s="57">
        <f ca="1">D$6</f>
        <v>15</v>
      </c>
      <c r="F116" s="58">
        <f ca="1">D$7</f>
        <v>16</v>
      </c>
      <c r="G116" s="59">
        <f t="shared" ref="G116:L116" ca="1" si="16">D116</f>
        <v>1</v>
      </c>
      <c r="H116" s="57">
        <f t="shared" ca="1" si="16"/>
        <v>15</v>
      </c>
      <c r="I116" s="58">
        <f t="shared" ca="1" si="16"/>
        <v>16</v>
      </c>
      <c r="J116" s="56">
        <f t="shared" ca="1" si="16"/>
        <v>1</v>
      </c>
      <c r="K116" s="57">
        <f t="shared" ca="1" si="16"/>
        <v>15</v>
      </c>
      <c r="L116" s="58">
        <f t="shared" ca="1" si="16"/>
        <v>16</v>
      </c>
    </row>
    <row r="117" spans="2:16" x14ac:dyDescent="0.15">
      <c r="B117" s="11" t="str">
        <f ca="1">B$5</f>
        <v>OpenBLAS</v>
      </c>
      <c r="C117" s="23">
        <f ca="1">C$5</f>
        <v>2500</v>
      </c>
      <c r="D117" s="63">
        <f t="shared" ref="D117:D128" ca="1" si="17">VLOOKUP(N117,datatable,8,FALSE)</f>
        <v>1.1710467925644771E-2</v>
      </c>
      <c r="E117" s="32">
        <f t="shared" ref="E117:E128" ca="1" si="18">VLOOKUP(O117,datatable,8,FALSE)</f>
        <v>4.8319293894051804E-2</v>
      </c>
      <c r="F117" s="24">
        <f t="shared" ref="F117:F128" ca="1" si="19">VLOOKUP(P117,datatable,8,FALSE)</f>
        <v>0.56578063904577591</v>
      </c>
      <c r="G117" s="48">
        <f t="shared" ref="G117:G128" ca="1" si="20">VLOOKUP(N117,datatable,9,FALSE)</f>
        <v>19.261119999999998</v>
      </c>
      <c r="H117" s="33">
        <f t="shared" ref="H117:H128" ca="1" si="21">VLOOKUP(O117,datatable,9,FALSE)</f>
        <v>251.70312799999999</v>
      </c>
      <c r="I117" s="34">
        <f t="shared" ref="I117:I128" ca="1" si="22">VLOOKUP(P117,datatable,9,FALSE)</f>
        <v>160.74579999999997</v>
      </c>
      <c r="J117" s="41">
        <f t="shared" ref="J117:J128" ca="1" si="23">G117/(J$116*$D$109)</f>
        <v>0.92601538461538446</v>
      </c>
      <c r="K117" s="32">
        <f t="shared" ref="K117:K128" ca="1" si="24">H117/(K$116*$D$109)</f>
        <v>0.80674079487179484</v>
      </c>
      <c r="L117" s="24">
        <f t="shared" ref="L117:L128" ca="1" si="25">I117/(L$116*$D$109)</f>
        <v>0.48301021634615376</v>
      </c>
      <c r="N117" s="60" t="str">
        <f t="shared" ref="N117:N128" ca="1" si="26">$B117 &amp; TEXT($C117,"000000") &amp; TEXT(G$116,"000")</f>
        <v>OpenBLAS002500001</v>
      </c>
      <c r="O117" s="60" t="str">
        <f t="shared" ref="O117:O128" ca="1" si="27">$B117 &amp; TEXT($C117,"000000") &amp; TEXT(H$116,"000")</f>
        <v>OpenBLAS002500015</v>
      </c>
      <c r="P117" s="60" t="str">
        <f t="shared" ref="P117:P128" ca="1" si="28">$B117 &amp; TEXT($C117,"000000") &amp; TEXT(I$116,"000")</f>
        <v>OpenBLAS002500016</v>
      </c>
    </row>
    <row r="118" spans="2:16" x14ac:dyDescent="0.15">
      <c r="B118" s="4" t="str">
        <f ca="1">B$8</f>
        <v>OpenBLAS</v>
      </c>
      <c r="C118" s="9">
        <f ca="1">C$8</f>
        <v>2505</v>
      </c>
      <c r="D118" s="64">
        <f t="shared" ca="1" si="17"/>
        <v>6.1305312718393427E-5</v>
      </c>
      <c r="E118" s="30">
        <f t="shared" ca="1" si="18"/>
        <v>2.0947470190138501E-2</v>
      </c>
      <c r="F118" s="5">
        <f t="shared" ca="1" si="19"/>
        <v>0.14459962914448055</v>
      </c>
      <c r="G118" s="49">
        <f t="shared" ca="1" si="20"/>
        <v>19.272740000000006</v>
      </c>
      <c r="H118" s="31">
        <f t="shared" ca="1" si="21"/>
        <v>253.280688</v>
      </c>
      <c r="I118" s="35">
        <f t="shared" ca="1" si="22"/>
        <v>267.63091200000008</v>
      </c>
      <c r="J118" s="42">
        <f t="shared" ca="1" si="23"/>
        <v>0.92657403846153874</v>
      </c>
      <c r="K118" s="30">
        <f t="shared" ca="1" si="24"/>
        <v>0.8117970769230769</v>
      </c>
      <c r="L118" s="5">
        <f t="shared" ca="1" si="25"/>
        <v>0.80417942307692325</v>
      </c>
      <c r="N118" s="60" t="str">
        <f t="shared" ca="1" si="26"/>
        <v>OpenBLAS002505001</v>
      </c>
      <c r="O118" s="60" t="str">
        <f t="shared" ca="1" si="27"/>
        <v>OpenBLAS002505015</v>
      </c>
      <c r="P118" s="60" t="str">
        <f t="shared" ca="1" si="28"/>
        <v>OpenBLAS002505016</v>
      </c>
    </row>
    <row r="119" spans="2:16" x14ac:dyDescent="0.15">
      <c r="B119" s="4" t="str">
        <f ca="1">B$11</f>
        <v>OpenBLAS</v>
      </c>
      <c r="C119" s="9">
        <f ca="1">C$11</f>
        <v>2510</v>
      </c>
      <c r="D119" s="64">
        <f t="shared" ca="1" si="17"/>
        <v>1.2276566489882759E-4</v>
      </c>
      <c r="E119" s="30">
        <f t="shared" ca="1" si="18"/>
        <v>7.3653370869273312E-3</v>
      </c>
      <c r="F119" s="5">
        <f t="shared" ca="1" si="19"/>
        <v>6.3845158688822165E-2</v>
      </c>
      <c r="G119" s="49">
        <f t="shared" ca="1" si="20"/>
        <v>19.413319999999999</v>
      </c>
      <c r="H119" s="31">
        <f t="shared" ca="1" si="21"/>
        <v>258.82318600000008</v>
      </c>
      <c r="I119" s="35">
        <f t="shared" ca="1" si="22"/>
        <v>265.71807200000001</v>
      </c>
      <c r="J119" s="42">
        <f t="shared" ca="1" si="23"/>
        <v>0.93333269230769222</v>
      </c>
      <c r="K119" s="30">
        <f t="shared" ca="1" si="24"/>
        <v>0.82956149358974385</v>
      </c>
      <c r="L119" s="5">
        <f t="shared" ca="1" si="25"/>
        <v>0.79843170673076924</v>
      </c>
      <c r="N119" s="60" t="str">
        <f t="shared" ca="1" si="26"/>
        <v>OpenBLAS002510001</v>
      </c>
      <c r="O119" s="60" t="str">
        <f t="shared" ca="1" si="27"/>
        <v>OpenBLAS002510015</v>
      </c>
      <c r="P119" s="60" t="str">
        <f t="shared" ca="1" si="28"/>
        <v>OpenBLAS002510016</v>
      </c>
    </row>
    <row r="120" spans="2:16" x14ac:dyDescent="0.15">
      <c r="B120" s="4" t="str">
        <f ca="1">B$14</f>
        <v>OpenBLAS</v>
      </c>
      <c r="C120" s="9">
        <f ca="1">C$14</f>
        <v>10000</v>
      </c>
      <c r="D120" s="64">
        <f t="shared" ca="1" si="17"/>
        <v>4.8854766984129452E-3</v>
      </c>
      <c r="E120" s="30">
        <f t="shared" ca="1" si="18"/>
        <v>6.6991375624812118E-3</v>
      </c>
      <c r="F120" s="5">
        <f t="shared" ca="1" si="19"/>
        <v>0.72554407936400256</v>
      </c>
      <c r="G120" s="49">
        <f t="shared" ca="1" si="20"/>
        <v>19.514659999999999</v>
      </c>
      <c r="H120" s="31">
        <f t="shared" ca="1" si="21"/>
        <v>277.97332600000004</v>
      </c>
      <c r="I120" s="35">
        <f t="shared" ca="1" si="22"/>
        <v>288.90371199999998</v>
      </c>
      <c r="J120" s="42">
        <f t="shared" ca="1" si="23"/>
        <v>0.93820480769230763</v>
      </c>
      <c r="K120" s="30">
        <f t="shared" ca="1" si="24"/>
        <v>0.89094014743589756</v>
      </c>
      <c r="L120" s="5">
        <f t="shared" ca="1" si="25"/>
        <v>0.86810009615384609</v>
      </c>
      <c r="N120" s="60" t="str">
        <f t="shared" ca="1" si="26"/>
        <v>OpenBLAS010000001</v>
      </c>
      <c r="O120" s="60" t="str">
        <f t="shared" ca="1" si="27"/>
        <v>OpenBLAS010000015</v>
      </c>
      <c r="P120" s="60" t="str">
        <f t="shared" ca="1" si="28"/>
        <v>OpenBLAS010000016</v>
      </c>
    </row>
    <row r="121" spans="2:16" x14ac:dyDescent="0.15">
      <c r="B121" s="4" t="str">
        <f ca="1">B$17</f>
        <v>OpenBLAS</v>
      </c>
      <c r="C121" s="9">
        <f ca="1">C$17</f>
        <v>10005</v>
      </c>
      <c r="D121" s="64">
        <f t="shared" ca="1" si="17"/>
        <v>7.7512454798222261E-5</v>
      </c>
      <c r="E121" s="30">
        <f t="shared" ca="1" si="18"/>
        <v>2.4229903262628895E-2</v>
      </c>
      <c r="F121" s="5">
        <f t="shared" ca="1" si="19"/>
        <v>0.7492445503498516</v>
      </c>
      <c r="G121" s="49">
        <f t="shared" ca="1" si="20"/>
        <v>19.4072</v>
      </c>
      <c r="H121" s="31">
        <f t="shared" ca="1" si="21"/>
        <v>276.54202799999996</v>
      </c>
      <c r="I121" s="35">
        <f t="shared" ca="1" si="22"/>
        <v>287.22814199999999</v>
      </c>
      <c r="J121" s="42">
        <f t="shared" ca="1" si="23"/>
        <v>0.93303846153846148</v>
      </c>
      <c r="K121" s="30">
        <f t="shared" ca="1" si="24"/>
        <v>0.88635265384615369</v>
      </c>
      <c r="L121" s="5">
        <f t="shared" ca="1" si="25"/>
        <v>0.86306533052884615</v>
      </c>
      <c r="N121" s="60" t="str">
        <f t="shared" ca="1" si="26"/>
        <v>OpenBLAS010005001</v>
      </c>
      <c r="O121" s="60" t="str">
        <f t="shared" ca="1" si="27"/>
        <v>OpenBLAS010005015</v>
      </c>
      <c r="P121" s="60" t="str">
        <f t="shared" ca="1" si="28"/>
        <v>OpenBLAS010005016</v>
      </c>
    </row>
    <row r="122" spans="2:16" ht="14" thickBot="1" x14ac:dyDescent="0.2">
      <c r="B122" s="6" t="str">
        <f ca="1">B$20</f>
        <v>OpenBLAS</v>
      </c>
      <c r="C122" s="10">
        <f ca="1">C$20</f>
        <v>10010</v>
      </c>
      <c r="D122" s="65">
        <f t="shared" ca="1" si="17"/>
        <v>2.3020706930795305E-4</v>
      </c>
      <c r="E122" s="36">
        <f t="shared" ca="1" si="18"/>
        <v>1.0789090405895282E-2</v>
      </c>
      <c r="F122" s="8">
        <f t="shared" ca="1" si="19"/>
        <v>0.70659321999752478</v>
      </c>
      <c r="G122" s="50">
        <f t="shared" ca="1" si="20"/>
        <v>19.56766</v>
      </c>
      <c r="H122" s="37">
        <f t="shared" ca="1" si="21"/>
        <v>279.26536799999991</v>
      </c>
      <c r="I122" s="38">
        <f t="shared" ca="1" si="22"/>
        <v>291.31797</v>
      </c>
      <c r="J122" s="43">
        <f t="shared" ca="1" si="23"/>
        <v>0.94075288461538453</v>
      </c>
      <c r="K122" s="36">
        <f t="shared" ca="1" si="24"/>
        <v>0.89508130769230743</v>
      </c>
      <c r="L122" s="8">
        <f t="shared" ca="1" si="25"/>
        <v>0.87535447716346149</v>
      </c>
      <c r="N122" s="60" t="str">
        <f t="shared" ca="1" si="26"/>
        <v>OpenBLAS010010001</v>
      </c>
      <c r="O122" s="60" t="str">
        <f t="shared" ca="1" si="27"/>
        <v>OpenBLAS010010015</v>
      </c>
      <c r="P122" s="60" t="str">
        <f t="shared" ca="1" si="28"/>
        <v>OpenBLAS010010016</v>
      </c>
    </row>
    <row r="123" spans="2:16" x14ac:dyDescent="0.15">
      <c r="B123" s="18" t="str">
        <f ca="1">B$23</f>
        <v>IntelMKL</v>
      </c>
      <c r="C123" s="20">
        <f ca="1">C$23</f>
        <v>2500</v>
      </c>
      <c r="D123" s="66">
        <f t="shared" ca="1" si="17"/>
        <v>6.2365135394702072E-5</v>
      </c>
      <c r="E123" s="52">
        <f t="shared" ca="1" si="18"/>
        <v>2.4178339431647402E-3</v>
      </c>
      <c r="F123" s="21">
        <f t="shared" ca="1" si="19"/>
        <v>3.5111095106053515E-2</v>
      </c>
      <c r="G123" s="53">
        <f t="shared" ca="1" si="20"/>
        <v>19.489080000000001</v>
      </c>
      <c r="H123" s="54">
        <f t="shared" ca="1" si="21"/>
        <v>251.86468399999998</v>
      </c>
      <c r="I123" s="55">
        <f t="shared" ca="1" si="22"/>
        <v>281.34522199999998</v>
      </c>
      <c r="J123" s="51">
        <f t="shared" ca="1" si="23"/>
        <v>0.936975</v>
      </c>
      <c r="K123" s="52">
        <f t="shared" ca="1" si="24"/>
        <v>0.80725860256410253</v>
      </c>
      <c r="L123" s="21">
        <f t="shared" ca="1" si="25"/>
        <v>0.84538828725961535</v>
      </c>
      <c r="N123" s="60" t="str">
        <f t="shared" ca="1" si="26"/>
        <v>IntelMKL002500001</v>
      </c>
      <c r="O123" s="60" t="str">
        <f t="shared" ca="1" si="27"/>
        <v>IntelMKL002500015</v>
      </c>
      <c r="P123" s="60" t="str">
        <f t="shared" ca="1" si="28"/>
        <v>IntelMKL002500016</v>
      </c>
    </row>
    <row r="124" spans="2:16" x14ac:dyDescent="0.15">
      <c r="B124" s="4" t="str">
        <f ca="1">B$26</f>
        <v>IntelMKL</v>
      </c>
      <c r="C124" s="9">
        <f ca="1">C$26</f>
        <v>2505</v>
      </c>
      <c r="D124" s="64">
        <f t="shared" ca="1" si="17"/>
        <v>6.1745165353546027E-5</v>
      </c>
      <c r="E124" s="30">
        <f t="shared" ca="1" si="18"/>
        <v>4.1624641787938586E-2</v>
      </c>
      <c r="F124" s="5">
        <f t="shared" ca="1" si="19"/>
        <v>2.3052506516766311E-2</v>
      </c>
      <c r="G124" s="49">
        <f t="shared" ca="1" si="20"/>
        <v>19.411399999999997</v>
      </c>
      <c r="H124" s="31">
        <f t="shared" ca="1" si="21"/>
        <v>251.62396799999999</v>
      </c>
      <c r="I124" s="35">
        <f t="shared" ca="1" si="22"/>
        <v>278.73924200000005</v>
      </c>
      <c r="J124" s="42">
        <f t="shared" ca="1" si="23"/>
        <v>0.93324038461538439</v>
      </c>
      <c r="K124" s="30">
        <f t="shared" ca="1" si="24"/>
        <v>0.80648707692307686</v>
      </c>
      <c r="L124" s="5">
        <f t="shared" ca="1" si="25"/>
        <v>0.83755781850961553</v>
      </c>
      <c r="N124" s="60" t="str">
        <f t="shared" ca="1" si="26"/>
        <v>IntelMKL002505001</v>
      </c>
      <c r="O124" s="60" t="str">
        <f t="shared" ca="1" si="27"/>
        <v>IntelMKL002505015</v>
      </c>
      <c r="P124" s="60" t="str">
        <f t="shared" ca="1" si="28"/>
        <v>IntelMKL002505016</v>
      </c>
    </row>
    <row r="125" spans="2:16" x14ac:dyDescent="0.15">
      <c r="B125" s="4" t="str">
        <f ca="1">B$29</f>
        <v>IntelMKL</v>
      </c>
      <c r="C125" s="9">
        <f ca="1">C$29</f>
        <v>2510</v>
      </c>
      <c r="D125" s="64">
        <f t="shared" ca="1" si="17"/>
        <v>6.1987057102470187E-5</v>
      </c>
      <c r="E125" s="30">
        <f t="shared" ca="1" si="18"/>
        <v>4.2051489712959779E-2</v>
      </c>
      <c r="F125" s="5">
        <f t="shared" ca="1" si="19"/>
        <v>0.76141148510759227</v>
      </c>
      <c r="G125" s="49">
        <f t="shared" ca="1" si="20"/>
        <v>19.60426</v>
      </c>
      <c r="H125" s="31">
        <f t="shared" ca="1" si="21"/>
        <v>246.30835799999997</v>
      </c>
      <c r="I125" s="35">
        <f t="shared" ca="1" si="22"/>
        <v>223.82353199999997</v>
      </c>
      <c r="J125" s="42">
        <f t="shared" ca="1" si="23"/>
        <v>0.94251249999999998</v>
      </c>
      <c r="K125" s="30">
        <f t="shared" ca="1" si="24"/>
        <v>0.78944986538461526</v>
      </c>
      <c r="L125" s="5">
        <f t="shared" ca="1" si="25"/>
        <v>0.67254667067307683</v>
      </c>
      <c r="N125" s="60" t="str">
        <f t="shared" ca="1" si="26"/>
        <v>IntelMKL002510001</v>
      </c>
      <c r="O125" s="60" t="str">
        <f t="shared" ca="1" si="27"/>
        <v>IntelMKL002510015</v>
      </c>
      <c r="P125" s="60" t="str">
        <f t="shared" ca="1" si="28"/>
        <v>IntelMKL002510016</v>
      </c>
    </row>
    <row r="126" spans="2:16" x14ac:dyDescent="0.15">
      <c r="B126" s="4" t="str">
        <f ca="1">B$32</f>
        <v>IntelMKL</v>
      </c>
      <c r="C126" s="9">
        <f ca="1">C$32</f>
        <v>10000</v>
      </c>
      <c r="D126" s="64">
        <f t="shared" ca="1" si="17"/>
        <v>1.770573075488295E-5</v>
      </c>
      <c r="E126" s="30">
        <f t="shared" ca="1" si="18"/>
        <v>2.4418405204177554E-2</v>
      </c>
      <c r="F126" s="5">
        <f t="shared" ca="1" si="19"/>
        <v>0.82395211871332075</v>
      </c>
      <c r="G126" s="49">
        <f t="shared" ca="1" si="20"/>
        <v>19.673020000000001</v>
      </c>
      <c r="H126" s="31">
        <f t="shared" ca="1" si="21"/>
        <v>264.71744199999995</v>
      </c>
      <c r="I126" s="35">
        <f t="shared" ca="1" si="22"/>
        <v>293.05729400000007</v>
      </c>
      <c r="J126" s="42">
        <f t="shared" ca="1" si="23"/>
        <v>0.94581826923076928</v>
      </c>
      <c r="K126" s="30">
        <f t="shared" ca="1" si="24"/>
        <v>0.84845333974358961</v>
      </c>
      <c r="L126" s="5">
        <f t="shared" ca="1" si="25"/>
        <v>0.88058081129807708</v>
      </c>
      <c r="N126" s="60" t="str">
        <f t="shared" ca="1" si="26"/>
        <v>IntelMKL010000001</v>
      </c>
      <c r="O126" s="60" t="str">
        <f t="shared" ca="1" si="27"/>
        <v>IntelMKL010000015</v>
      </c>
      <c r="P126" s="60" t="str">
        <f t="shared" ca="1" si="28"/>
        <v>IntelMKL010000016</v>
      </c>
    </row>
    <row r="127" spans="2:16" x14ac:dyDescent="0.15">
      <c r="B127" s="4" t="str">
        <f ca="1">B$35</f>
        <v>IntelMKL</v>
      </c>
      <c r="C127" s="9">
        <f ca="1">C$35</f>
        <v>10005</v>
      </c>
      <c r="D127" s="64">
        <f t="shared" ca="1" si="17"/>
        <v>1.5630388209961743E-5</v>
      </c>
      <c r="E127" s="30">
        <f t="shared" ca="1" si="18"/>
        <v>2.2357182582246712E-2</v>
      </c>
      <c r="F127" s="5">
        <f t="shared" ca="1" si="19"/>
        <v>0.78367503190852361</v>
      </c>
      <c r="G127" s="49">
        <f t="shared" ca="1" si="20"/>
        <v>19.567299999999999</v>
      </c>
      <c r="H127" s="31">
        <f t="shared" ca="1" si="21"/>
        <v>264.99177999999995</v>
      </c>
      <c r="I127" s="35">
        <f t="shared" ca="1" si="22"/>
        <v>287.55012199999999</v>
      </c>
      <c r="J127" s="42">
        <f t="shared" ca="1" si="23"/>
        <v>0.94073557692307685</v>
      </c>
      <c r="K127" s="30">
        <f t="shared" ca="1" si="24"/>
        <v>0.849332628205128</v>
      </c>
      <c r="L127" s="5">
        <f t="shared" ca="1" si="25"/>
        <v>0.86403281850961533</v>
      </c>
      <c r="N127" s="60" t="str">
        <f t="shared" ca="1" si="26"/>
        <v>IntelMKL010005001</v>
      </c>
      <c r="O127" s="60" t="str">
        <f t="shared" ca="1" si="27"/>
        <v>IntelMKL010005015</v>
      </c>
      <c r="P127" s="60" t="str">
        <f t="shared" ca="1" si="28"/>
        <v>IntelMKL010005016</v>
      </c>
    </row>
    <row r="128" spans="2:16" ht="14" thickBot="1" x14ac:dyDescent="0.2">
      <c r="B128" s="6" t="str">
        <f ca="1">B$38</f>
        <v>IntelMKL</v>
      </c>
      <c r="C128" s="10">
        <f ca="1">C$38</f>
        <v>10010</v>
      </c>
      <c r="D128" s="65">
        <f t="shared" ca="1" si="17"/>
        <v>1.9682943214072465E-5</v>
      </c>
      <c r="E128" s="36">
        <f t="shared" ca="1" si="18"/>
        <v>2.1691498569654914E-2</v>
      </c>
      <c r="F128" s="8">
        <f t="shared" ca="1" si="19"/>
        <v>0.84643479356016871</v>
      </c>
      <c r="G128" s="50">
        <f t="shared" ca="1" si="20"/>
        <v>19.742039999999999</v>
      </c>
      <c r="H128" s="37">
        <f t="shared" ca="1" si="21"/>
        <v>264.8564540000001</v>
      </c>
      <c r="I128" s="38">
        <f t="shared" ca="1" si="22"/>
        <v>295.81011399999994</v>
      </c>
      <c r="J128" s="43">
        <f t="shared" ca="1" si="23"/>
        <v>0.94913653846153845</v>
      </c>
      <c r="K128" s="36">
        <f t="shared" ca="1" si="24"/>
        <v>0.84889889102564131</v>
      </c>
      <c r="L128" s="8">
        <f t="shared" ca="1" si="25"/>
        <v>0.88885250600961518</v>
      </c>
      <c r="N128" s="60" t="str">
        <f t="shared" ca="1" si="26"/>
        <v>IntelMKL010010001</v>
      </c>
      <c r="O128" s="60" t="str">
        <f t="shared" ca="1" si="27"/>
        <v>IntelMKL010010015</v>
      </c>
      <c r="P128" s="60" t="str">
        <f t="shared" ca="1" si="28"/>
        <v>IntelMKL010010016</v>
      </c>
    </row>
  </sheetData>
  <mergeCells count="7">
    <mergeCell ref="E3:H3"/>
    <mergeCell ref="I3:K3"/>
    <mergeCell ref="D47:F47"/>
    <mergeCell ref="G47:I47"/>
    <mergeCell ref="D115:F115"/>
    <mergeCell ref="G115:I115"/>
    <mergeCell ref="J115:L115"/>
  </mergeCell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</TotalTime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data</vt:lpstr>
      <vt:lpstr>verwerking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Kurt Lust</cp:lastModifiedBy>
  <cp:revision>1</cp:revision>
  <dcterms:created xsi:type="dcterms:W3CDTF">2016-02-19T11:59:50Z</dcterms:created>
  <dcterms:modified xsi:type="dcterms:W3CDTF">2016-02-22T09:03:43Z</dcterms:modified>
  <dc:language>nl-NL</dc:language>
</cp:coreProperties>
</file>