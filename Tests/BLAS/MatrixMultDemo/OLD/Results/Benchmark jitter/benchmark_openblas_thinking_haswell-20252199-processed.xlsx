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KLust/Projects/TestProgramsCluster-WS/DemoPrograms/Results/Benchmark jitter/"/>
    </mc:Choice>
  </mc:AlternateContent>
  <bookViews>
    <workbookView xWindow="12560" yWindow="520" windowWidth="38640" windowHeight="24080" tabRatio="987" activeTab="1"/>
  </bookViews>
  <sheets>
    <sheet name="data" sheetId="1" r:id="rId1"/>
    <sheet name="verwerking" sheetId="2" r:id="rId2"/>
  </sheets>
  <definedNames>
    <definedName name="datatable">verwerking!$A$5:$K$40</definedName>
  </definedNames>
  <calcPr calcId="150001" concurrentCalc="0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P7" i="2" l="1"/>
  <c r="D7" i="2"/>
  <c r="F116" i="2"/>
  <c r="I116" i="2"/>
  <c r="P6" i="2"/>
  <c r="D6" i="2"/>
  <c r="E116" i="2"/>
  <c r="H116" i="2"/>
  <c r="P5" i="2"/>
  <c r="D5" i="2"/>
  <c r="D116" i="2"/>
  <c r="G116" i="2"/>
  <c r="N38" i="2"/>
  <c r="B38" i="2"/>
  <c r="B128" i="2"/>
  <c r="O38" i="2"/>
  <c r="C38" i="2"/>
  <c r="C128" i="2"/>
  <c r="P128" i="2"/>
  <c r="N5" i="2"/>
  <c r="O5" i="2"/>
  <c r="A5" i="2"/>
  <c r="N6" i="2"/>
  <c r="O6" i="2"/>
  <c r="A6" i="2"/>
  <c r="N7" i="2"/>
  <c r="O7" i="2"/>
  <c r="A7" i="2"/>
  <c r="B5" i="2"/>
  <c r="C5" i="2"/>
  <c r="E5" i="2"/>
  <c r="F5" i="2"/>
  <c r="G5" i="2"/>
  <c r="H5" i="2"/>
  <c r="I5" i="2"/>
  <c r="J5" i="2"/>
  <c r="K5" i="2"/>
  <c r="B6" i="2"/>
  <c r="C6" i="2"/>
  <c r="E6" i="2"/>
  <c r="F6" i="2"/>
  <c r="G6" i="2"/>
  <c r="H6" i="2"/>
  <c r="I6" i="2"/>
  <c r="J6" i="2"/>
  <c r="K6" i="2"/>
  <c r="B7" i="2"/>
  <c r="C7" i="2"/>
  <c r="E7" i="2"/>
  <c r="F7" i="2"/>
  <c r="G7" i="2"/>
  <c r="H7" i="2"/>
  <c r="I7" i="2"/>
  <c r="J7" i="2"/>
  <c r="K7" i="2"/>
  <c r="N8" i="2"/>
  <c r="O8" i="2"/>
  <c r="P8" i="2"/>
  <c r="A8" i="2"/>
  <c r="B8" i="2"/>
  <c r="C8" i="2"/>
  <c r="D8" i="2"/>
  <c r="E8" i="2"/>
  <c r="F8" i="2"/>
  <c r="G8" i="2"/>
  <c r="H8" i="2"/>
  <c r="I8" i="2"/>
  <c r="J8" i="2"/>
  <c r="K8" i="2"/>
  <c r="N9" i="2"/>
  <c r="O9" i="2"/>
  <c r="P9" i="2"/>
  <c r="A9" i="2"/>
  <c r="B9" i="2"/>
  <c r="C9" i="2"/>
  <c r="D9" i="2"/>
  <c r="E9" i="2"/>
  <c r="F9" i="2"/>
  <c r="G9" i="2"/>
  <c r="H9" i="2"/>
  <c r="I9" i="2"/>
  <c r="J9" i="2"/>
  <c r="K9" i="2"/>
  <c r="N10" i="2"/>
  <c r="O10" i="2"/>
  <c r="P10" i="2"/>
  <c r="A10" i="2"/>
  <c r="B10" i="2"/>
  <c r="C10" i="2"/>
  <c r="D10" i="2"/>
  <c r="E10" i="2"/>
  <c r="F10" i="2"/>
  <c r="G10" i="2"/>
  <c r="H10" i="2"/>
  <c r="I10" i="2"/>
  <c r="J10" i="2"/>
  <c r="K10" i="2"/>
  <c r="N11" i="2"/>
  <c r="O11" i="2"/>
  <c r="P11" i="2"/>
  <c r="A11" i="2"/>
  <c r="B11" i="2"/>
  <c r="C11" i="2"/>
  <c r="D11" i="2"/>
  <c r="E11" i="2"/>
  <c r="F11" i="2"/>
  <c r="G11" i="2"/>
  <c r="H11" i="2"/>
  <c r="I11" i="2"/>
  <c r="J11" i="2"/>
  <c r="K11" i="2"/>
  <c r="N12" i="2"/>
  <c r="O12" i="2"/>
  <c r="P12" i="2"/>
  <c r="A12" i="2"/>
  <c r="B12" i="2"/>
  <c r="C12" i="2"/>
  <c r="D12" i="2"/>
  <c r="E12" i="2"/>
  <c r="F12" i="2"/>
  <c r="G12" i="2"/>
  <c r="H12" i="2"/>
  <c r="I12" i="2"/>
  <c r="J12" i="2"/>
  <c r="K12" i="2"/>
  <c r="N13" i="2"/>
  <c r="O13" i="2"/>
  <c r="P13" i="2"/>
  <c r="A13" i="2"/>
  <c r="B13" i="2"/>
  <c r="C13" i="2"/>
  <c r="D13" i="2"/>
  <c r="E13" i="2"/>
  <c r="F13" i="2"/>
  <c r="G13" i="2"/>
  <c r="H13" i="2"/>
  <c r="I13" i="2"/>
  <c r="J13" i="2"/>
  <c r="K13" i="2"/>
  <c r="N14" i="2"/>
  <c r="O14" i="2"/>
  <c r="P14" i="2"/>
  <c r="A14" i="2"/>
  <c r="B14" i="2"/>
  <c r="C14" i="2"/>
  <c r="D14" i="2"/>
  <c r="E14" i="2"/>
  <c r="F14" i="2"/>
  <c r="G14" i="2"/>
  <c r="H14" i="2"/>
  <c r="I14" i="2"/>
  <c r="J14" i="2"/>
  <c r="K14" i="2"/>
  <c r="N15" i="2"/>
  <c r="O15" i="2"/>
  <c r="P15" i="2"/>
  <c r="A15" i="2"/>
  <c r="B15" i="2"/>
  <c r="C15" i="2"/>
  <c r="D15" i="2"/>
  <c r="E15" i="2"/>
  <c r="F15" i="2"/>
  <c r="G15" i="2"/>
  <c r="H15" i="2"/>
  <c r="I15" i="2"/>
  <c r="J15" i="2"/>
  <c r="K15" i="2"/>
  <c r="N16" i="2"/>
  <c r="O16" i="2"/>
  <c r="P16" i="2"/>
  <c r="A16" i="2"/>
  <c r="B16" i="2"/>
  <c r="C16" i="2"/>
  <c r="D16" i="2"/>
  <c r="E16" i="2"/>
  <c r="F16" i="2"/>
  <c r="G16" i="2"/>
  <c r="H16" i="2"/>
  <c r="I16" i="2"/>
  <c r="J16" i="2"/>
  <c r="K16" i="2"/>
  <c r="N17" i="2"/>
  <c r="O17" i="2"/>
  <c r="P17" i="2"/>
  <c r="A17" i="2"/>
  <c r="B17" i="2"/>
  <c r="C17" i="2"/>
  <c r="D17" i="2"/>
  <c r="E17" i="2"/>
  <c r="F17" i="2"/>
  <c r="G17" i="2"/>
  <c r="H17" i="2"/>
  <c r="I17" i="2"/>
  <c r="J17" i="2"/>
  <c r="K17" i="2"/>
  <c r="N18" i="2"/>
  <c r="O18" i="2"/>
  <c r="P18" i="2"/>
  <c r="A18" i="2"/>
  <c r="B18" i="2"/>
  <c r="C18" i="2"/>
  <c r="D18" i="2"/>
  <c r="E18" i="2"/>
  <c r="F18" i="2"/>
  <c r="G18" i="2"/>
  <c r="H18" i="2"/>
  <c r="I18" i="2"/>
  <c r="J18" i="2"/>
  <c r="K18" i="2"/>
  <c r="N19" i="2"/>
  <c r="O19" i="2"/>
  <c r="P19" i="2"/>
  <c r="A19" i="2"/>
  <c r="B19" i="2"/>
  <c r="C19" i="2"/>
  <c r="D19" i="2"/>
  <c r="E19" i="2"/>
  <c r="F19" i="2"/>
  <c r="G19" i="2"/>
  <c r="H19" i="2"/>
  <c r="I19" i="2"/>
  <c r="J19" i="2"/>
  <c r="K19" i="2"/>
  <c r="N20" i="2"/>
  <c r="O20" i="2"/>
  <c r="P20" i="2"/>
  <c r="A20" i="2"/>
  <c r="B20" i="2"/>
  <c r="C20" i="2"/>
  <c r="D20" i="2"/>
  <c r="E20" i="2"/>
  <c r="F20" i="2"/>
  <c r="G20" i="2"/>
  <c r="H20" i="2"/>
  <c r="I20" i="2"/>
  <c r="J20" i="2"/>
  <c r="K20" i="2"/>
  <c r="N21" i="2"/>
  <c r="O21" i="2"/>
  <c r="P21" i="2"/>
  <c r="A21" i="2"/>
  <c r="B21" i="2"/>
  <c r="C21" i="2"/>
  <c r="D21" i="2"/>
  <c r="E21" i="2"/>
  <c r="F21" i="2"/>
  <c r="G21" i="2"/>
  <c r="H21" i="2"/>
  <c r="I21" i="2"/>
  <c r="J21" i="2"/>
  <c r="K21" i="2"/>
  <c r="N22" i="2"/>
  <c r="O22" i="2"/>
  <c r="P22" i="2"/>
  <c r="A22" i="2"/>
  <c r="B22" i="2"/>
  <c r="C22" i="2"/>
  <c r="D22" i="2"/>
  <c r="E22" i="2"/>
  <c r="F22" i="2"/>
  <c r="G22" i="2"/>
  <c r="H22" i="2"/>
  <c r="I22" i="2"/>
  <c r="J22" i="2"/>
  <c r="K22" i="2"/>
  <c r="N23" i="2"/>
  <c r="O23" i="2"/>
  <c r="P23" i="2"/>
  <c r="A23" i="2"/>
  <c r="B23" i="2"/>
  <c r="C23" i="2"/>
  <c r="D23" i="2"/>
  <c r="E23" i="2"/>
  <c r="F23" i="2"/>
  <c r="G23" i="2"/>
  <c r="H23" i="2"/>
  <c r="I23" i="2"/>
  <c r="J23" i="2"/>
  <c r="K23" i="2"/>
  <c r="N24" i="2"/>
  <c r="O24" i="2"/>
  <c r="P24" i="2"/>
  <c r="A24" i="2"/>
  <c r="B24" i="2"/>
  <c r="C24" i="2"/>
  <c r="D24" i="2"/>
  <c r="E24" i="2"/>
  <c r="F24" i="2"/>
  <c r="G24" i="2"/>
  <c r="H24" i="2"/>
  <c r="I24" i="2"/>
  <c r="J24" i="2"/>
  <c r="K24" i="2"/>
  <c r="N25" i="2"/>
  <c r="O25" i="2"/>
  <c r="P25" i="2"/>
  <c r="A25" i="2"/>
  <c r="B25" i="2"/>
  <c r="C25" i="2"/>
  <c r="D25" i="2"/>
  <c r="E25" i="2"/>
  <c r="F25" i="2"/>
  <c r="G25" i="2"/>
  <c r="H25" i="2"/>
  <c r="I25" i="2"/>
  <c r="J25" i="2"/>
  <c r="K25" i="2"/>
  <c r="N26" i="2"/>
  <c r="O26" i="2"/>
  <c r="P26" i="2"/>
  <c r="A26" i="2"/>
  <c r="B26" i="2"/>
  <c r="C26" i="2"/>
  <c r="D26" i="2"/>
  <c r="E26" i="2"/>
  <c r="F26" i="2"/>
  <c r="G26" i="2"/>
  <c r="H26" i="2"/>
  <c r="I26" i="2"/>
  <c r="J26" i="2"/>
  <c r="K26" i="2"/>
  <c r="N27" i="2"/>
  <c r="O27" i="2"/>
  <c r="P27" i="2"/>
  <c r="A27" i="2"/>
  <c r="B27" i="2"/>
  <c r="C27" i="2"/>
  <c r="D27" i="2"/>
  <c r="E27" i="2"/>
  <c r="F27" i="2"/>
  <c r="G27" i="2"/>
  <c r="H27" i="2"/>
  <c r="I27" i="2"/>
  <c r="J27" i="2"/>
  <c r="K27" i="2"/>
  <c r="N28" i="2"/>
  <c r="O28" i="2"/>
  <c r="P28" i="2"/>
  <c r="A28" i="2"/>
  <c r="B28" i="2"/>
  <c r="C28" i="2"/>
  <c r="D28" i="2"/>
  <c r="E28" i="2"/>
  <c r="F28" i="2"/>
  <c r="G28" i="2"/>
  <c r="H28" i="2"/>
  <c r="I28" i="2"/>
  <c r="J28" i="2"/>
  <c r="K28" i="2"/>
  <c r="N29" i="2"/>
  <c r="O29" i="2"/>
  <c r="P29" i="2"/>
  <c r="A29" i="2"/>
  <c r="B29" i="2"/>
  <c r="C29" i="2"/>
  <c r="D29" i="2"/>
  <c r="E29" i="2"/>
  <c r="F29" i="2"/>
  <c r="G29" i="2"/>
  <c r="H29" i="2"/>
  <c r="I29" i="2"/>
  <c r="J29" i="2"/>
  <c r="K29" i="2"/>
  <c r="N30" i="2"/>
  <c r="O30" i="2"/>
  <c r="P30" i="2"/>
  <c r="A30" i="2"/>
  <c r="B30" i="2"/>
  <c r="C30" i="2"/>
  <c r="D30" i="2"/>
  <c r="E30" i="2"/>
  <c r="F30" i="2"/>
  <c r="G30" i="2"/>
  <c r="H30" i="2"/>
  <c r="I30" i="2"/>
  <c r="J30" i="2"/>
  <c r="K30" i="2"/>
  <c r="N31" i="2"/>
  <c r="O31" i="2"/>
  <c r="P31" i="2"/>
  <c r="A31" i="2"/>
  <c r="B31" i="2"/>
  <c r="C31" i="2"/>
  <c r="D31" i="2"/>
  <c r="E31" i="2"/>
  <c r="F31" i="2"/>
  <c r="G31" i="2"/>
  <c r="H31" i="2"/>
  <c r="I31" i="2"/>
  <c r="J31" i="2"/>
  <c r="K31" i="2"/>
  <c r="N32" i="2"/>
  <c r="O32" i="2"/>
  <c r="P32" i="2"/>
  <c r="A32" i="2"/>
  <c r="B32" i="2"/>
  <c r="C32" i="2"/>
  <c r="D32" i="2"/>
  <c r="E32" i="2"/>
  <c r="F32" i="2"/>
  <c r="G32" i="2"/>
  <c r="H32" i="2"/>
  <c r="I32" i="2"/>
  <c r="J32" i="2"/>
  <c r="K32" i="2"/>
  <c r="N33" i="2"/>
  <c r="O33" i="2"/>
  <c r="P33" i="2"/>
  <c r="A33" i="2"/>
  <c r="B33" i="2"/>
  <c r="C33" i="2"/>
  <c r="D33" i="2"/>
  <c r="E33" i="2"/>
  <c r="F33" i="2"/>
  <c r="G33" i="2"/>
  <c r="H33" i="2"/>
  <c r="I33" i="2"/>
  <c r="J33" i="2"/>
  <c r="K33" i="2"/>
  <c r="N34" i="2"/>
  <c r="O34" i="2"/>
  <c r="P34" i="2"/>
  <c r="A34" i="2"/>
  <c r="B34" i="2"/>
  <c r="C34" i="2"/>
  <c r="D34" i="2"/>
  <c r="E34" i="2"/>
  <c r="F34" i="2"/>
  <c r="G34" i="2"/>
  <c r="H34" i="2"/>
  <c r="I34" i="2"/>
  <c r="J34" i="2"/>
  <c r="K34" i="2"/>
  <c r="N35" i="2"/>
  <c r="O35" i="2"/>
  <c r="P35" i="2"/>
  <c r="A35" i="2"/>
  <c r="B35" i="2"/>
  <c r="C35" i="2"/>
  <c r="D35" i="2"/>
  <c r="E35" i="2"/>
  <c r="F35" i="2"/>
  <c r="G35" i="2"/>
  <c r="H35" i="2"/>
  <c r="I35" i="2"/>
  <c r="J35" i="2"/>
  <c r="K35" i="2"/>
  <c r="N36" i="2"/>
  <c r="O36" i="2"/>
  <c r="P36" i="2"/>
  <c r="A36" i="2"/>
  <c r="B36" i="2"/>
  <c r="C36" i="2"/>
  <c r="D36" i="2"/>
  <c r="E36" i="2"/>
  <c r="F36" i="2"/>
  <c r="G36" i="2"/>
  <c r="H36" i="2"/>
  <c r="I36" i="2"/>
  <c r="J36" i="2"/>
  <c r="K36" i="2"/>
  <c r="N37" i="2"/>
  <c r="O37" i="2"/>
  <c r="P37" i="2"/>
  <c r="A37" i="2"/>
  <c r="B37" i="2"/>
  <c r="C37" i="2"/>
  <c r="D37" i="2"/>
  <c r="E37" i="2"/>
  <c r="F37" i="2"/>
  <c r="G37" i="2"/>
  <c r="H37" i="2"/>
  <c r="I37" i="2"/>
  <c r="J37" i="2"/>
  <c r="K37" i="2"/>
  <c r="P38" i="2"/>
  <c r="A38" i="2"/>
  <c r="D38" i="2"/>
  <c r="E38" i="2"/>
  <c r="F38" i="2"/>
  <c r="G38" i="2"/>
  <c r="H38" i="2"/>
  <c r="I38" i="2"/>
  <c r="J38" i="2"/>
  <c r="K38" i="2"/>
  <c r="N39" i="2"/>
  <c r="O39" i="2"/>
  <c r="P39" i="2"/>
  <c r="A39" i="2"/>
  <c r="B39" i="2"/>
  <c r="C39" i="2"/>
  <c r="D39" i="2"/>
  <c r="E39" i="2"/>
  <c r="F39" i="2"/>
  <c r="G39" i="2"/>
  <c r="H39" i="2"/>
  <c r="I39" i="2"/>
  <c r="J39" i="2"/>
  <c r="K39" i="2"/>
  <c r="N40" i="2"/>
  <c r="O40" i="2"/>
  <c r="P40" i="2"/>
  <c r="A40" i="2"/>
  <c r="B40" i="2"/>
  <c r="C40" i="2"/>
  <c r="D40" i="2"/>
  <c r="E40" i="2"/>
  <c r="F40" i="2"/>
  <c r="G40" i="2"/>
  <c r="H40" i="2"/>
  <c r="I40" i="2"/>
  <c r="J40" i="2"/>
  <c r="K40" i="2"/>
  <c r="F128" i="2"/>
  <c r="O128" i="2"/>
  <c r="E128" i="2"/>
  <c r="N128" i="2"/>
  <c r="D128" i="2"/>
  <c r="B127" i="2"/>
  <c r="C127" i="2"/>
  <c r="P127" i="2"/>
  <c r="F127" i="2"/>
  <c r="O127" i="2"/>
  <c r="E127" i="2"/>
  <c r="N127" i="2"/>
  <c r="D127" i="2"/>
  <c r="B126" i="2"/>
  <c r="C126" i="2"/>
  <c r="P126" i="2"/>
  <c r="F126" i="2"/>
  <c r="O126" i="2"/>
  <c r="E126" i="2"/>
  <c r="N126" i="2"/>
  <c r="D126" i="2"/>
  <c r="B125" i="2"/>
  <c r="C125" i="2"/>
  <c r="P125" i="2"/>
  <c r="F125" i="2"/>
  <c r="O125" i="2"/>
  <c r="E125" i="2"/>
  <c r="N125" i="2"/>
  <c r="D125" i="2"/>
  <c r="B124" i="2"/>
  <c r="C124" i="2"/>
  <c r="P124" i="2"/>
  <c r="F124" i="2"/>
  <c r="O124" i="2"/>
  <c r="E124" i="2"/>
  <c r="N124" i="2"/>
  <c r="D124" i="2"/>
  <c r="B123" i="2"/>
  <c r="C123" i="2"/>
  <c r="P123" i="2"/>
  <c r="F123" i="2"/>
  <c r="O123" i="2"/>
  <c r="E123" i="2"/>
  <c r="N123" i="2"/>
  <c r="D123" i="2"/>
  <c r="B122" i="2"/>
  <c r="C122" i="2"/>
  <c r="P122" i="2"/>
  <c r="F122" i="2"/>
  <c r="O122" i="2"/>
  <c r="E122" i="2"/>
  <c r="N122" i="2"/>
  <c r="D122" i="2"/>
  <c r="B121" i="2"/>
  <c r="C121" i="2"/>
  <c r="P121" i="2"/>
  <c r="F121" i="2"/>
  <c r="O121" i="2"/>
  <c r="E121" i="2"/>
  <c r="N121" i="2"/>
  <c r="D121" i="2"/>
  <c r="B120" i="2"/>
  <c r="C120" i="2"/>
  <c r="P120" i="2"/>
  <c r="F120" i="2"/>
  <c r="O120" i="2"/>
  <c r="E120" i="2"/>
  <c r="N120" i="2"/>
  <c r="D120" i="2"/>
  <c r="B119" i="2"/>
  <c r="C119" i="2"/>
  <c r="P119" i="2"/>
  <c r="F119" i="2"/>
  <c r="O119" i="2"/>
  <c r="E119" i="2"/>
  <c r="N119" i="2"/>
  <c r="D119" i="2"/>
  <c r="B118" i="2"/>
  <c r="C118" i="2"/>
  <c r="P118" i="2"/>
  <c r="F118" i="2"/>
  <c r="O118" i="2"/>
  <c r="E118" i="2"/>
  <c r="N118" i="2"/>
  <c r="D118" i="2"/>
  <c r="B117" i="2"/>
  <c r="C117" i="2"/>
  <c r="P117" i="2"/>
  <c r="F117" i="2"/>
  <c r="O117" i="2"/>
  <c r="E117" i="2"/>
  <c r="N117" i="2"/>
  <c r="D117" i="2"/>
  <c r="I128" i="2"/>
  <c r="L116" i="2"/>
  <c r="D109" i="2"/>
  <c r="L128" i="2"/>
  <c r="H128" i="2"/>
  <c r="K116" i="2"/>
  <c r="K128" i="2"/>
  <c r="G128" i="2"/>
  <c r="J116" i="2"/>
  <c r="J128" i="2"/>
  <c r="I127" i="2"/>
  <c r="L127" i="2"/>
  <c r="H127" i="2"/>
  <c r="K127" i="2"/>
  <c r="G127" i="2"/>
  <c r="J127" i="2"/>
  <c r="I126" i="2"/>
  <c r="L126" i="2"/>
  <c r="H126" i="2"/>
  <c r="K126" i="2"/>
  <c r="G126" i="2"/>
  <c r="J126" i="2"/>
  <c r="I125" i="2"/>
  <c r="L125" i="2"/>
  <c r="H125" i="2"/>
  <c r="K125" i="2"/>
  <c r="G125" i="2"/>
  <c r="J125" i="2"/>
  <c r="I124" i="2"/>
  <c r="L124" i="2"/>
  <c r="H124" i="2"/>
  <c r="K124" i="2"/>
  <c r="G124" i="2"/>
  <c r="J124" i="2"/>
  <c r="I123" i="2"/>
  <c r="L123" i="2"/>
  <c r="H123" i="2"/>
  <c r="K123" i="2"/>
  <c r="G123" i="2"/>
  <c r="J123" i="2"/>
  <c r="I122" i="2"/>
  <c r="L122" i="2"/>
  <c r="H122" i="2"/>
  <c r="K122" i="2"/>
  <c r="G122" i="2"/>
  <c r="J122" i="2"/>
  <c r="I121" i="2"/>
  <c r="L121" i="2"/>
  <c r="H121" i="2"/>
  <c r="K121" i="2"/>
  <c r="G121" i="2"/>
  <c r="J121" i="2"/>
  <c r="I120" i="2"/>
  <c r="L120" i="2"/>
  <c r="H120" i="2"/>
  <c r="K120" i="2"/>
  <c r="G120" i="2"/>
  <c r="J120" i="2"/>
  <c r="I119" i="2"/>
  <c r="L119" i="2"/>
  <c r="H119" i="2"/>
  <c r="K119" i="2"/>
  <c r="G119" i="2"/>
  <c r="J119" i="2"/>
  <c r="I118" i="2"/>
  <c r="L118" i="2"/>
  <c r="H118" i="2"/>
  <c r="K118" i="2"/>
  <c r="G118" i="2"/>
  <c r="J118" i="2"/>
  <c r="I117" i="2"/>
  <c r="L117" i="2"/>
  <c r="H117" i="2"/>
  <c r="K117" i="2"/>
  <c r="G117" i="2"/>
  <c r="J117" i="2"/>
  <c r="F48" i="2"/>
  <c r="E48" i="2"/>
  <c r="D48" i="2"/>
  <c r="D110" i="2"/>
  <c r="B60" i="2"/>
  <c r="C60" i="2"/>
  <c r="P60" i="2"/>
  <c r="O60" i="2"/>
  <c r="N60" i="2"/>
  <c r="B59" i="2"/>
  <c r="C59" i="2"/>
  <c r="P59" i="2"/>
  <c r="O59" i="2"/>
  <c r="N59" i="2"/>
  <c r="B58" i="2"/>
  <c r="C58" i="2"/>
  <c r="P58" i="2"/>
  <c r="O58" i="2"/>
  <c r="N58" i="2"/>
  <c r="B57" i="2"/>
  <c r="C57" i="2"/>
  <c r="P57" i="2"/>
  <c r="O57" i="2"/>
  <c r="N57" i="2"/>
  <c r="B56" i="2"/>
  <c r="C56" i="2"/>
  <c r="P56" i="2"/>
  <c r="O56" i="2"/>
  <c r="N56" i="2"/>
  <c r="B55" i="2"/>
  <c r="C55" i="2"/>
  <c r="P55" i="2"/>
  <c r="O55" i="2"/>
  <c r="N55" i="2"/>
  <c r="B54" i="2"/>
  <c r="C54" i="2"/>
  <c r="P54" i="2"/>
  <c r="O54" i="2"/>
  <c r="N54" i="2"/>
  <c r="B53" i="2"/>
  <c r="C53" i="2"/>
  <c r="P53" i="2"/>
  <c r="O53" i="2"/>
  <c r="N53" i="2"/>
  <c r="B52" i="2"/>
  <c r="C52" i="2"/>
  <c r="P52" i="2"/>
  <c r="O52" i="2"/>
  <c r="N52" i="2"/>
  <c r="B51" i="2"/>
  <c r="C51" i="2"/>
  <c r="P51" i="2"/>
  <c r="O51" i="2"/>
  <c r="N51" i="2"/>
  <c r="B50" i="2"/>
  <c r="C50" i="2"/>
  <c r="P50" i="2"/>
  <c r="O50" i="2"/>
  <c r="N50" i="2"/>
  <c r="B49" i="2"/>
  <c r="C49" i="2"/>
  <c r="P49" i="2"/>
  <c r="O49" i="2"/>
  <c r="N49" i="2"/>
  <c r="D49" i="2"/>
  <c r="I60" i="2"/>
  <c r="H60" i="2"/>
  <c r="G60" i="2"/>
  <c r="F60" i="2"/>
  <c r="E60" i="2"/>
  <c r="D60" i="2"/>
  <c r="I59" i="2"/>
  <c r="H59" i="2"/>
  <c r="G59" i="2"/>
  <c r="F59" i="2"/>
  <c r="E59" i="2"/>
  <c r="D59" i="2"/>
  <c r="I58" i="2"/>
  <c r="H58" i="2"/>
  <c r="G58" i="2"/>
  <c r="F58" i="2"/>
  <c r="E58" i="2"/>
  <c r="D58" i="2"/>
  <c r="I57" i="2"/>
  <c r="H57" i="2"/>
  <c r="G57" i="2"/>
  <c r="F57" i="2"/>
  <c r="E57" i="2"/>
  <c r="D57" i="2"/>
  <c r="I56" i="2"/>
  <c r="H56" i="2"/>
  <c r="G56" i="2"/>
  <c r="F56" i="2"/>
  <c r="E56" i="2"/>
  <c r="D56" i="2"/>
  <c r="I55" i="2"/>
  <c r="H55" i="2"/>
  <c r="G55" i="2"/>
  <c r="F55" i="2"/>
  <c r="E55" i="2"/>
  <c r="D55" i="2"/>
  <c r="I54" i="2"/>
  <c r="H54" i="2"/>
  <c r="G54" i="2"/>
  <c r="F54" i="2"/>
  <c r="E54" i="2"/>
  <c r="D54" i="2"/>
  <c r="I53" i="2"/>
  <c r="H53" i="2"/>
  <c r="G53" i="2"/>
  <c r="F53" i="2"/>
  <c r="E53" i="2"/>
  <c r="D53" i="2"/>
  <c r="I52" i="2"/>
  <c r="H52" i="2"/>
  <c r="G52" i="2"/>
  <c r="F52" i="2"/>
  <c r="E52" i="2"/>
  <c r="D52" i="2"/>
  <c r="I51" i="2"/>
  <c r="H51" i="2"/>
  <c r="G51" i="2"/>
  <c r="F51" i="2"/>
  <c r="E51" i="2"/>
  <c r="D51" i="2"/>
  <c r="I50" i="2"/>
  <c r="H50" i="2"/>
  <c r="G50" i="2"/>
  <c r="F50" i="2"/>
  <c r="E50" i="2"/>
  <c r="D50" i="2"/>
  <c r="I49" i="2"/>
  <c r="H49" i="2"/>
  <c r="G49" i="2"/>
  <c r="F49" i="2"/>
  <c r="E49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21" i="2"/>
  <c r="Q22" i="2"/>
  <c r="I48" i="2"/>
  <c r="H48" i="2"/>
  <c r="G48" i="2"/>
  <c r="D1" i="2"/>
  <c r="T40" i="2"/>
  <c r="S40" i="2"/>
  <c r="T39" i="2"/>
  <c r="S39" i="2"/>
  <c r="T38" i="2"/>
  <c r="S38" i="2"/>
  <c r="T37" i="2"/>
  <c r="S37" i="2"/>
  <c r="T36" i="2"/>
  <c r="S36" i="2"/>
  <c r="T35" i="2"/>
  <c r="S35" i="2"/>
  <c r="T34" i="2"/>
  <c r="S34" i="2"/>
  <c r="T33" i="2"/>
  <c r="S33" i="2"/>
  <c r="T32" i="2"/>
  <c r="S32" i="2"/>
  <c r="T31" i="2"/>
  <c r="S31" i="2"/>
  <c r="T30" i="2"/>
  <c r="S30" i="2"/>
  <c r="T29" i="2"/>
  <c r="S29" i="2"/>
  <c r="T28" i="2"/>
  <c r="S28" i="2"/>
  <c r="T27" i="2"/>
  <c r="S27" i="2"/>
  <c r="T26" i="2"/>
  <c r="S26" i="2"/>
  <c r="T25" i="2"/>
  <c r="S25" i="2"/>
  <c r="T24" i="2"/>
  <c r="S24" i="2"/>
  <c r="T23" i="2"/>
  <c r="S23" i="2"/>
  <c r="T22" i="2"/>
  <c r="S22" i="2"/>
  <c r="T21" i="2"/>
  <c r="S21" i="2"/>
  <c r="T20" i="2"/>
  <c r="S20" i="2"/>
  <c r="T19" i="2"/>
  <c r="S19" i="2"/>
  <c r="T18" i="2"/>
  <c r="S18" i="2"/>
  <c r="T17" i="2"/>
  <c r="S17" i="2"/>
  <c r="T16" i="2"/>
  <c r="S16" i="2"/>
  <c r="T15" i="2"/>
  <c r="S15" i="2"/>
  <c r="T14" i="2"/>
  <c r="S14" i="2"/>
  <c r="T13" i="2"/>
  <c r="S13" i="2"/>
  <c r="T12" i="2"/>
  <c r="S12" i="2"/>
  <c r="T11" i="2"/>
  <c r="S11" i="2"/>
  <c r="T10" i="2"/>
  <c r="S10" i="2"/>
  <c r="T9" i="2"/>
  <c r="S9" i="2"/>
  <c r="T8" i="2"/>
  <c r="S8" i="2"/>
  <c r="T7" i="2"/>
  <c r="S7" i="2"/>
  <c r="T6" i="2"/>
  <c r="S6" i="2"/>
  <c r="T5" i="2"/>
  <c r="S5" i="2"/>
</calcChain>
</file>

<file path=xl/sharedStrings.xml><?xml version="1.0" encoding="utf-8"?>
<sst xmlns="http://schemas.openxmlformats.org/spreadsheetml/2006/main" count="1355" uniqueCount="40">
  <si>
    <t>hostname:</t>
  </si>
  <si>
    <t>jobid:</t>
  </si>
  <si>
    <t>Benchmark runs OpenBLAS</t>
  </si>
  <si>
    <t>Variant</t>
  </si>
  <si>
    <t>nrows</t>
  </si>
  <si>
    <t>nthreads</t>
  </si>
  <si>
    <t>time (s)</t>
  </si>
  <si>
    <t>Gflops</t>
  </si>
  <si>
    <t>speedup</t>
  </si>
  <si>
    <t>efficiency (%)</t>
  </si>
  <si>
    <t>CPU time (s)</t>
  </si>
  <si>
    <t>OpenBLAS</t>
  </si>
  <si>
    <t>Benchmark runs Intel MKL</t>
  </si>
  <si>
    <t>IntelMKL</t>
  </si>
  <si>
    <t>Threads</t>
  </si>
  <si>
    <t>Start</t>
  </si>
  <si>
    <t>Number</t>
  </si>
  <si>
    <t>Nrows</t>
  </si>
  <si>
    <t>Check NR</t>
  </si>
  <si>
    <t>Check Th</t>
  </si>
  <si>
    <t>Time</t>
  </si>
  <si>
    <t>gemiddelde</t>
  </si>
  <si>
    <t>max</t>
  </si>
  <si>
    <t>min</t>
  </si>
  <si>
    <t>speling</t>
  </si>
  <si>
    <t>Compute node:</t>
  </si>
  <si>
    <t>Speling tijd</t>
  </si>
  <si>
    <t>Key</t>
  </si>
  <si>
    <t>Variuant</t>
  </si>
  <si>
    <t>Size</t>
  </si>
  <si>
    <t>Cores/socket</t>
  </si>
  <si>
    <t>Sockets/node</t>
  </si>
  <si>
    <t>Flops/clock/core</t>
  </si>
  <si>
    <t>Gflops/core</t>
  </si>
  <si>
    <t>Gflops/node</t>
  </si>
  <si>
    <t>Clock (GHz)</t>
  </si>
  <si>
    <t>Efficiëntie berekend op basis van de nominale kloksnelheid</t>
  </si>
  <si>
    <t>Efficientie</t>
  </si>
  <si>
    <t>r4i2n2</t>
  </si>
  <si>
    <t>20252199.icts-p-svcs-1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</si>
</sst>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\ &quot;thread(s)&quot;"/>
  </numFmts>
  <fonts count="3" x14ac:knownFonts="1"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5" xfId="0" applyBorder="1"/>
    <xf numFmtId="10" fontId="0" fillId="0" borderId="6" xfId="0" applyNumberFormat="1" applyBorder="1"/>
    <xf numFmtId="0" fontId="0" fillId="0" borderId="7" xfId="0" applyBorder="1"/>
    <xf numFmtId="0" fontId="0" fillId="0" borderId="8" xfId="0" applyBorder="1"/>
    <xf numFmtId="10" fontId="0" fillId="0" borderId="9" xfId="0" applyNumberFormat="1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0" fontId="0" fillId="0" borderId="21" xfId="0" applyNumberFormat="1" applyBorder="1"/>
    <xf numFmtId="0" fontId="0" fillId="0" borderId="11" xfId="0" applyBorder="1"/>
    <xf numFmtId="0" fontId="0" fillId="0" borderId="12" xfId="0" applyBorder="1"/>
    <xf numFmtId="10" fontId="0" fillId="0" borderId="12" xfId="0" applyNumberFormat="1" applyBorder="1"/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Alignment="1">
      <alignment horizontal="left"/>
    </xf>
    <xf numFmtId="10" fontId="0" fillId="0" borderId="1" xfId="0" applyNumberFormat="1" applyBorder="1"/>
    <xf numFmtId="2" fontId="0" fillId="0" borderId="1" xfId="0" applyNumberFormat="1" applyBorder="1"/>
    <xf numFmtId="10" fontId="0" fillId="0" borderId="11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6" xfId="0" applyNumberFormat="1" applyBorder="1"/>
    <xf numFmtId="10" fontId="0" fillId="0" borderId="8" xfId="0" applyNumberFormat="1" applyBorder="1"/>
    <xf numFmtId="2" fontId="0" fillId="0" borderId="8" xfId="0" applyNumberFormat="1" applyBorder="1"/>
    <xf numFmtId="2" fontId="0" fillId="0" borderId="9" xfId="0" applyNumberFormat="1" applyBorder="1"/>
    <xf numFmtId="0" fontId="0" fillId="0" borderId="22" xfId="0" applyBorder="1"/>
    <xf numFmtId="0" fontId="0" fillId="0" borderId="23" xfId="0" applyBorder="1"/>
    <xf numFmtId="10" fontId="0" fillId="0" borderId="10" xfId="0" applyNumberFormat="1" applyBorder="1"/>
    <xf numFmtId="10" fontId="0" fillId="0" borderId="5" xfId="0" applyNumberFormat="1" applyBorder="1"/>
    <xf numFmtId="10" fontId="0" fillId="0" borderId="7" xfId="0" applyNumberFormat="1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28" xfId="0" applyBorder="1" applyAlignment="1">
      <alignment horizontal="right"/>
    </xf>
    <xf numFmtId="2" fontId="0" fillId="0" borderId="29" xfId="0" applyNumberFormat="1" applyBorder="1"/>
    <xf numFmtId="2" fontId="0" fillId="0" borderId="30" xfId="0" applyNumberFormat="1" applyBorder="1"/>
    <xf numFmtId="2" fontId="0" fillId="0" borderId="31" xfId="0" applyNumberFormat="1" applyBorder="1"/>
    <xf numFmtId="10" fontId="0" fillId="0" borderId="19" xfId="0" applyNumberFormat="1" applyBorder="1"/>
    <xf numFmtId="10" fontId="0" fillId="0" borderId="20" xfId="0" applyNumberFormat="1" applyBorder="1"/>
    <xf numFmtId="2" fontId="0" fillId="0" borderId="32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164" fontId="0" fillId="0" borderId="18" xfId="0" applyNumberFormat="1" applyBorder="1"/>
    <xf numFmtId="164" fontId="0" fillId="0" borderId="25" xfId="0" applyNumberFormat="1" applyBorder="1"/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9" xfId="0" applyBorder="1" applyAlignment="1">
      <alignment horizontal="center"/>
    </xf>
  </cellXfs>
  <cellStyles count="5">
    <cellStyle name="Gevolgde hyperlink" xfId="2" builtinId="9" hidden="1"/>
    <cellStyle name="Gevolgde hyperlink" xfId="4" builtinId="9" hidden="1"/>
    <cellStyle name="Hyperlink" xfId="1" builtinId="8" hidden="1"/>
    <cellStyle name="Hyperlink" xfId="3" builtinId="8" hidden="1"/>
    <cellStyle name="Stand.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Speling tijd OpenBLAS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verwerking!$D$48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verwerking!$D$49:$D$54</c:f>
              <c:numCache>
                <c:formatCode>0.00%</c:formatCode>
                <c:ptCount val="6"/>
                <c:pt idx="0">
                  <c:v>0.00158416439100194</c:v>
                </c:pt>
                <c:pt idx="1">
                  <c:v>0.00386002939560838</c:v>
                </c:pt>
                <c:pt idx="2">
                  <c:v>0.0011200047786871</c:v>
                </c:pt>
                <c:pt idx="3">
                  <c:v>0.000404774646422346</c:v>
                </c:pt>
                <c:pt idx="4">
                  <c:v>0.000259130176213147</c:v>
                </c:pt>
                <c:pt idx="5">
                  <c:v>0.000483000724853644</c:v>
                </c:pt>
              </c:numCache>
            </c:numRef>
          </c:val>
        </c:ser>
        <c:ser>
          <c:idx val="1"/>
          <c:order val="1"/>
          <c:tx>
            <c:strRef>
              <c:f>verwerking!$E$48</c:f>
              <c:strCache>
                <c:ptCount val="1"/>
                <c:pt idx="0">
                  <c:v>23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verwerking!$E$49:$E$54</c:f>
              <c:numCache>
                <c:formatCode>0.00%</c:formatCode>
                <c:ptCount val="6"/>
                <c:pt idx="0">
                  <c:v>0.109434545267278</c:v>
                </c:pt>
                <c:pt idx="1">
                  <c:v>0.0864018703463698</c:v>
                </c:pt>
                <c:pt idx="2">
                  <c:v>0.0858935418015238</c:v>
                </c:pt>
                <c:pt idx="3">
                  <c:v>0.0379938012394371</c:v>
                </c:pt>
                <c:pt idx="4">
                  <c:v>0.0551503950883754</c:v>
                </c:pt>
                <c:pt idx="5">
                  <c:v>0.0390847669957116</c:v>
                </c:pt>
              </c:numCache>
            </c:numRef>
          </c:val>
        </c:ser>
        <c:ser>
          <c:idx val="2"/>
          <c:order val="2"/>
          <c:tx>
            <c:strRef>
              <c:f>verwerking!$F$48</c:f>
              <c:strCache>
                <c:ptCount val="1"/>
                <c:pt idx="0">
                  <c:v>24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verwerking!$F$49:$F$54</c:f>
              <c:numCache>
                <c:formatCode>0.00%</c:formatCode>
                <c:ptCount val="6"/>
                <c:pt idx="0">
                  <c:v>0.110495493362378</c:v>
                </c:pt>
                <c:pt idx="1">
                  <c:v>0.0496391102524886</c:v>
                </c:pt>
                <c:pt idx="2">
                  <c:v>0.101747299488969</c:v>
                </c:pt>
                <c:pt idx="3">
                  <c:v>0.0096423566001418</c:v>
                </c:pt>
                <c:pt idx="4">
                  <c:v>0.0129916053929776</c:v>
                </c:pt>
                <c:pt idx="5">
                  <c:v>0.0530588660224949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3930368"/>
        <c:axId val="2123465584"/>
      </c:barChart>
      <c:catAx>
        <c:axId val="212393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123465584"/>
        <c:crosses val="autoZero"/>
        <c:auto val="1"/>
        <c:lblAlgn val="ctr"/>
        <c:lblOffset val="100"/>
        <c:noMultiLvlLbl val="0"/>
      </c:catAx>
      <c:valAx>
        <c:axId val="212346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12393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Speling tijd Intel MKL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verwerking!$D$48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verwerking!$D$55:$D$60</c:f>
              <c:numCache>
                <c:formatCode>0.00%</c:formatCode>
                <c:ptCount val="6"/>
                <c:pt idx="0">
                  <c:v>0.00363179214974165</c:v>
                </c:pt>
                <c:pt idx="1">
                  <c:v>0.001115853488437</c:v>
                </c:pt>
                <c:pt idx="2">
                  <c:v>0.00153837547549786</c:v>
                </c:pt>
                <c:pt idx="3">
                  <c:v>0.000993526129053526</c:v>
                </c:pt>
                <c:pt idx="4">
                  <c:v>0.000831931668261088</c:v>
                </c:pt>
                <c:pt idx="5">
                  <c:v>0.000900927545859716</c:v>
                </c:pt>
              </c:numCache>
            </c:numRef>
          </c:val>
        </c:ser>
        <c:ser>
          <c:idx val="1"/>
          <c:order val="1"/>
          <c:tx>
            <c:strRef>
              <c:f>verwerking!$E$48</c:f>
              <c:strCache>
                <c:ptCount val="1"/>
                <c:pt idx="0">
                  <c:v>23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verwerking!$E$55:$E$60</c:f>
              <c:numCache>
                <c:formatCode>0.00%</c:formatCode>
                <c:ptCount val="6"/>
                <c:pt idx="0">
                  <c:v>0.101335980477313</c:v>
                </c:pt>
                <c:pt idx="1">
                  <c:v>0.104472214409129</c:v>
                </c:pt>
                <c:pt idx="2">
                  <c:v>0.118885869565217</c:v>
                </c:pt>
                <c:pt idx="3">
                  <c:v>0.0346066063940836</c:v>
                </c:pt>
                <c:pt idx="4">
                  <c:v>0.0345675539817784</c:v>
                </c:pt>
                <c:pt idx="5">
                  <c:v>0.0339244310955124</c:v>
                </c:pt>
              </c:numCache>
            </c:numRef>
          </c:val>
        </c:ser>
        <c:ser>
          <c:idx val="2"/>
          <c:order val="2"/>
          <c:tx>
            <c:strRef>
              <c:f>verwerking!$F$48</c:f>
              <c:strCache>
                <c:ptCount val="1"/>
                <c:pt idx="0">
                  <c:v>24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verwerking!$F$55:$F$60</c:f>
              <c:numCache>
                <c:formatCode>0.00%</c:formatCode>
                <c:ptCount val="6"/>
                <c:pt idx="0">
                  <c:v>0.0140286183814982</c:v>
                </c:pt>
                <c:pt idx="1">
                  <c:v>0.0160875160875161</c:v>
                </c:pt>
                <c:pt idx="2">
                  <c:v>0.193608869324203</c:v>
                </c:pt>
                <c:pt idx="3">
                  <c:v>0.0259194490184649</c:v>
                </c:pt>
                <c:pt idx="4">
                  <c:v>0.0304463057650472</c:v>
                </c:pt>
                <c:pt idx="5">
                  <c:v>0.0268176909861219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04213216"/>
        <c:axId val="-2097433536"/>
      </c:barChart>
      <c:catAx>
        <c:axId val="-210421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097433536"/>
        <c:crosses val="autoZero"/>
        <c:auto val="1"/>
        <c:lblAlgn val="ctr"/>
        <c:lblOffset val="100"/>
        <c:noMultiLvlLbl val="0"/>
      </c:catAx>
      <c:valAx>
        <c:axId val="-209743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0421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Gflops OpenBLAS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verwerking!$G$48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verwerking!$G$49:$G$54</c:f>
              <c:numCache>
                <c:formatCode>0.00</c:formatCode>
                <c:ptCount val="6"/>
                <c:pt idx="0">
                  <c:v>23.57408</c:v>
                </c:pt>
                <c:pt idx="1">
                  <c:v>23.33682</c:v>
                </c:pt>
                <c:pt idx="2">
                  <c:v>23.61464</c:v>
                </c:pt>
                <c:pt idx="3">
                  <c:v>23.53338</c:v>
                </c:pt>
                <c:pt idx="4">
                  <c:v>23.48588</c:v>
                </c:pt>
                <c:pt idx="5">
                  <c:v>23.57426</c:v>
                </c:pt>
              </c:numCache>
            </c:numRef>
          </c:val>
        </c:ser>
        <c:ser>
          <c:idx val="1"/>
          <c:order val="1"/>
          <c:tx>
            <c:strRef>
              <c:f>verwerking!$H$48</c:f>
              <c:strCache>
                <c:ptCount val="1"/>
                <c:pt idx="0">
                  <c:v>23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verwerking!$H$49:$H$54</c:f>
              <c:numCache>
                <c:formatCode>0.00</c:formatCode>
                <c:ptCount val="6"/>
                <c:pt idx="0">
                  <c:v>402.915144</c:v>
                </c:pt>
                <c:pt idx="1">
                  <c:v>400.0400200000001</c:v>
                </c:pt>
                <c:pt idx="2">
                  <c:v>394.113192</c:v>
                </c:pt>
                <c:pt idx="3">
                  <c:v>393.970046</c:v>
                </c:pt>
                <c:pt idx="4">
                  <c:v>391.011926</c:v>
                </c:pt>
                <c:pt idx="5">
                  <c:v>392.463228</c:v>
                </c:pt>
              </c:numCache>
            </c:numRef>
          </c:val>
        </c:ser>
        <c:ser>
          <c:idx val="2"/>
          <c:order val="2"/>
          <c:tx>
            <c:strRef>
              <c:f>verwerking!$I$48</c:f>
              <c:strCache>
                <c:ptCount val="1"/>
                <c:pt idx="0">
                  <c:v>24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verwerking!$I$49:$I$54</c:f>
              <c:numCache>
                <c:formatCode>0.00</c:formatCode>
                <c:ptCount val="6"/>
                <c:pt idx="0">
                  <c:v>246.759112</c:v>
                </c:pt>
                <c:pt idx="1">
                  <c:v>421.7691119999999</c:v>
                </c:pt>
                <c:pt idx="2">
                  <c:v>242.047772</c:v>
                </c:pt>
                <c:pt idx="3">
                  <c:v>409.443352</c:v>
                </c:pt>
                <c:pt idx="4">
                  <c:v>406.60159</c:v>
                </c:pt>
                <c:pt idx="5">
                  <c:v>408.4483579999999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17252032"/>
        <c:axId val="-2117986608"/>
      </c:barChart>
      <c:catAx>
        <c:axId val="-211725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17986608"/>
        <c:crosses val="autoZero"/>
        <c:auto val="1"/>
        <c:lblAlgn val="ctr"/>
        <c:lblOffset val="100"/>
        <c:noMultiLvlLbl val="0"/>
      </c:catAx>
      <c:valAx>
        <c:axId val="-211798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1725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GFlops Intel MKL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verwerking!$G$48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verwerking!$G$55:$G$60</c:f>
              <c:numCache>
                <c:formatCode>0.00</c:formatCode>
                <c:ptCount val="6"/>
                <c:pt idx="0">
                  <c:v>43.65056</c:v>
                </c:pt>
                <c:pt idx="1">
                  <c:v>43.8494</c:v>
                </c:pt>
                <c:pt idx="2">
                  <c:v>44.22942</c:v>
                </c:pt>
                <c:pt idx="3">
                  <c:v>45.5746</c:v>
                </c:pt>
                <c:pt idx="4">
                  <c:v>45.40492</c:v>
                </c:pt>
                <c:pt idx="5">
                  <c:v>45.63804</c:v>
                </c:pt>
              </c:numCache>
            </c:numRef>
          </c:val>
        </c:ser>
        <c:ser>
          <c:idx val="1"/>
          <c:order val="1"/>
          <c:tx>
            <c:strRef>
              <c:f>verwerking!$H$48</c:f>
              <c:strCache>
                <c:ptCount val="1"/>
                <c:pt idx="0">
                  <c:v>23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verwerking!$H$55:$H$60</c:f>
              <c:numCache>
                <c:formatCode>0.00</c:formatCode>
                <c:ptCount val="6"/>
                <c:pt idx="0">
                  <c:v>646.701508</c:v>
                </c:pt>
                <c:pt idx="1">
                  <c:v>632.1251319999999</c:v>
                </c:pt>
                <c:pt idx="2">
                  <c:v>672.0374400000002</c:v>
                </c:pt>
                <c:pt idx="3">
                  <c:v>707.7748579999997</c:v>
                </c:pt>
                <c:pt idx="4">
                  <c:v>697.341246</c:v>
                </c:pt>
                <c:pt idx="5">
                  <c:v>717.1685119999997</c:v>
                </c:pt>
              </c:numCache>
            </c:numRef>
          </c:val>
        </c:ser>
        <c:ser>
          <c:idx val="2"/>
          <c:order val="2"/>
          <c:tx>
            <c:strRef>
              <c:f>verwerking!$I$48</c:f>
              <c:strCache>
                <c:ptCount val="1"/>
                <c:pt idx="0">
                  <c:v>24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verwerking!$I$55:$I$60</c:f>
              <c:numCache>
                <c:formatCode>0.00</c:formatCode>
                <c:ptCount val="6"/>
                <c:pt idx="0">
                  <c:v>626.273306</c:v>
                </c:pt>
                <c:pt idx="1">
                  <c:v>632.1308539999999</c:v>
                </c:pt>
                <c:pt idx="2">
                  <c:v>644.844848</c:v>
                </c:pt>
                <c:pt idx="3">
                  <c:v>709.1589420000001</c:v>
                </c:pt>
                <c:pt idx="4">
                  <c:v>714.1168619999996</c:v>
                </c:pt>
                <c:pt idx="5">
                  <c:v>714.4429580000001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17497760"/>
        <c:axId val="-2117389648"/>
      </c:barChart>
      <c:catAx>
        <c:axId val="-211749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17389648"/>
        <c:crosses val="autoZero"/>
        <c:auto val="1"/>
        <c:lblAlgn val="ctr"/>
        <c:lblOffset val="100"/>
        <c:noMultiLvlLbl val="0"/>
      </c:catAx>
      <c:valAx>
        <c:axId val="-211738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1749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1704731</xdr:colOff>
      <xdr:row>64</xdr:row>
      <xdr:rowOff>978</xdr:rowOff>
    </xdr:from>
    <xdr:to>
      <xdr:col>7</xdr:col>
      <xdr:colOff>83039</xdr:colOff>
      <xdr:row>80</xdr:row>
      <xdr:rowOff>86947</xdr:rowOff>
    </xdr:to>
    <xdr:graphicFrame macro="">
      <xdr:nvGraphicFramePr>
        <xdr:cNvPr id="4" name="Grafiek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83</xdr:row>
      <xdr:rowOff>0</xdr:rowOff>
    </xdr:from>
    <xdr:to>
      <xdr:col>7</xdr:col>
      <xdr:colOff>117231</xdr:colOff>
      <xdr:row>99</xdr:row>
      <xdr:rowOff>85969</xdr:rowOff>
    </xdr:to>
    <xdr:graphicFrame macro="">
      <xdr:nvGraphicFramePr>
        <xdr:cNvPr id="5" name="Grafie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64</xdr:row>
      <xdr:rowOff>0</xdr:rowOff>
    </xdr:from>
    <xdr:to>
      <xdr:col>12</xdr:col>
      <xdr:colOff>1250462</xdr:colOff>
      <xdr:row>80</xdr:row>
      <xdr:rowOff>85969</xdr:rowOff>
    </xdr:to>
    <xdr:graphicFrame macro="">
      <xdr:nvGraphicFramePr>
        <xdr:cNvPr id="6" name="Grafie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83</xdr:row>
      <xdr:rowOff>0</xdr:rowOff>
    </xdr:from>
    <xdr:to>
      <xdr:col>12</xdr:col>
      <xdr:colOff>1250462</xdr:colOff>
      <xdr:row>99</xdr:row>
      <xdr:rowOff>85969</xdr:rowOff>
    </xdr:to>
    <xdr:graphicFrame macro="">
      <xdr:nvGraphicFramePr>
        <xdr:cNvPr id="7" name="Grafie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6"/>
  <sheetViews>
    <sheetView zoomScale="130" zoomScaleNormal="130" zoomScalePageLayoutView="130" workbookViewId="0">
      <selection sqref="A1:H1306"/>
    </sheetView>
  </sheetViews>
  <sheetFormatPr baseColWidth="10" defaultColWidth="8.83203125" defaultRowHeight="13" x14ac:dyDescent="0.15"/>
  <cols>
    <col min="1" max="1" width="11.33203125" customWidth="1"/>
    <col min="7" max="7" width="11.33203125" customWidth="1"/>
    <col min="8" max="8" width="11.83203125" customWidth="1"/>
  </cols>
  <sheetData>
    <row r="1" spans="1:8" x14ac:dyDescent="0.15">
      <c r="A1" s="60" t="s">
        <v>0</v>
      </c>
      <c r="B1" s="60"/>
      <c r="C1" s="60" t="s">
        <v>38</v>
      </c>
      <c r="D1" s="60"/>
      <c r="E1" s="60"/>
      <c r="F1" s="60"/>
      <c r="G1" s="60"/>
      <c r="H1" s="60"/>
    </row>
    <row r="2" spans="1:8" x14ac:dyDescent="0.15">
      <c r="A2" s="60" t="s">
        <v>1</v>
      </c>
      <c r="B2" s="60"/>
      <c r="C2" s="60" t="s">
        <v>39</v>
      </c>
      <c r="D2" s="60"/>
      <c r="E2" s="60"/>
      <c r="F2" s="60"/>
      <c r="G2" s="60"/>
      <c r="H2" s="60"/>
    </row>
    <row r="3" spans="1:8" x14ac:dyDescent="0.15">
      <c r="A3" s="60"/>
      <c r="B3" s="60"/>
      <c r="C3" s="60"/>
      <c r="D3" s="60"/>
      <c r="E3" s="60"/>
      <c r="F3" s="60"/>
      <c r="G3" s="60"/>
      <c r="H3" s="60"/>
    </row>
    <row r="4" spans="1:8" x14ac:dyDescent="0.15">
      <c r="A4" s="60" t="s">
        <v>2</v>
      </c>
      <c r="B4" s="60"/>
      <c r="C4" s="60"/>
      <c r="D4" s="60"/>
      <c r="E4" s="60"/>
      <c r="F4" s="60"/>
      <c r="G4" s="60"/>
      <c r="H4" s="60"/>
    </row>
    <row r="5" spans="1:8" x14ac:dyDescent="0.15">
      <c r="A5" s="60"/>
      <c r="B5" s="60"/>
      <c r="C5" s="60"/>
      <c r="D5" s="60"/>
      <c r="E5" s="60"/>
      <c r="F5" s="60"/>
      <c r="G5" s="60"/>
      <c r="H5" s="60"/>
    </row>
    <row r="6" spans="1:8" x14ac:dyDescent="0.15">
      <c r="A6" s="60" t="s">
        <v>3</v>
      </c>
      <c r="B6" s="60" t="s">
        <v>4</v>
      </c>
      <c r="C6" s="60" t="s">
        <v>5</v>
      </c>
      <c r="D6" s="60" t="s">
        <v>6</v>
      </c>
      <c r="E6" s="60" t="s">
        <v>7</v>
      </c>
      <c r="F6" s="60" t="s">
        <v>8</v>
      </c>
      <c r="G6" s="60" t="s">
        <v>9</v>
      </c>
      <c r="H6" s="60" t="s">
        <v>10</v>
      </c>
    </row>
    <row r="7" spans="1:8" x14ac:dyDescent="0.15">
      <c r="A7" s="60" t="s">
        <v>11</v>
      </c>
      <c r="B7" s="60">
        <v>2500</v>
      </c>
      <c r="C7" s="60">
        <v>1</v>
      </c>
      <c r="D7" s="60">
        <v>1.3414999999999999</v>
      </c>
      <c r="E7" s="60">
        <v>23.294799999999999</v>
      </c>
      <c r="F7" s="60">
        <v>1</v>
      </c>
      <c r="G7" s="60">
        <v>100</v>
      </c>
      <c r="H7" s="60">
        <v>1.3398000000000001</v>
      </c>
    </row>
    <row r="8" spans="1:8" x14ac:dyDescent="0.15">
      <c r="A8" s="60" t="s">
        <v>11</v>
      </c>
      <c r="B8" s="60">
        <v>2500</v>
      </c>
      <c r="C8" s="60">
        <v>1</v>
      </c>
      <c r="D8" s="60">
        <v>1.3264</v>
      </c>
      <c r="E8" s="60">
        <v>23.560099999999998</v>
      </c>
      <c r="F8" s="60">
        <v>1.0109999999999999</v>
      </c>
      <c r="G8" s="60">
        <v>101.1391</v>
      </c>
      <c r="H8" s="60">
        <v>1.3268</v>
      </c>
    </row>
    <row r="9" spans="1:8" x14ac:dyDescent="0.15">
      <c r="A9" s="60" t="s">
        <v>11</v>
      </c>
      <c r="B9" s="60">
        <v>2500</v>
      </c>
      <c r="C9" s="60">
        <v>1</v>
      </c>
      <c r="D9" s="60">
        <v>1.3269</v>
      </c>
      <c r="E9" s="60">
        <v>23.551300000000001</v>
      </c>
      <c r="F9" s="60">
        <v>1.0109999999999999</v>
      </c>
      <c r="G9" s="60">
        <v>101.10129999999999</v>
      </c>
      <c r="H9" s="60">
        <v>1.3258000000000001</v>
      </c>
    </row>
    <row r="10" spans="1:8" x14ac:dyDescent="0.15">
      <c r="A10" s="60" t="s">
        <v>11</v>
      </c>
      <c r="B10" s="60">
        <v>2500</v>
      </c>
      <c r="C10" s="60">
        <v>1</v>
      </c>
      <c r="D10" s="60">
        <v>1.325</v>
      </c>
      <c r="E10" s="60">
        <v>23.5855</v>
      </c>
      <c r="F10" s="60">
        <v>1.012</v>
      </c>
      <c r="G10" s="60">
        <v>101.2478</v>
      </c>
      <c r="H10" s="60">
        <v>1.3238000000000001</v>
      </c>
    </row>
    <row r="11" spans="1:8" x14ac:dyDescent="0.15">
      <c r="A11" s="60" t="s">
        <v>11</v>
      </c>
      <c r="B11" s="60">
        <v>2500</v>
      </c>
      <c r="C11" s="60">
        <v>1</v>
      </c>
      <c r="D11" s="60">
        <v>1.325</v>
      </c>
      <c r="E11" s="60">
        <v>23.585599999999999</v>
      </c>
      <c r="F11" s="60">
        <v>1.012</v>
      </c>
      <c r="G11" s="60">
        <v>101.2483</v>
      </c>
      <c r="H11" s="60">
        <v>1.3248</v>
      </c>
    </row>
    <row r="12" spans="1:8" x14ac:dyDescent="0.15">
      <c r="A12" s="60" t="s">
        <v>11</v>
      </c>
      <c r="B12" s="60">
        <v>2500</v>
      </c>
      <c r="C12" s="60">
        <v>1</v>
      </c>
      <c r="D12" s="60">
        <v>1.3248</v>
      </c>
      <c r="E12" s="60">
        <v>23.587900000000001</v>
      </c>
      <c r="F12" s="60">
        <v>1.0129999999999999</v>
      </c>
      <c r="G12" s="60">
        <v>101.2585</v>
      </c>
      <c r="H12" s="60">
        <v>1.3238000000000001</v>
      </c>
    </row>
    <row r="13" spans="1:8" x14ac:dyDescent="0.15">
      <c r="A13" s="60" t="s">
        <v>11</v>
      </c>
      <c r="B13" s="60">
        <v>2500</v>
      </c>
      <c r="C13" s="60">
        <v>23</v>
      </c>
      <c r="D13" s="60">
        <v>9.6799999999999997E-2</v>
      </c>
      <c r="E13" s="60">
        <v>322.69400000000002</v>
      </c>
      <c r="F13" s="60">
        <v>13.853</v>
      </c>
      <c r="G13" s="60">
        <v>60.228900000000003</v>
      </c>
      <c r="H13" s="60">
        <v>2.2057000000000002</v>
      </c>
    </row>
    <row r="14" spans="1:8" x14ac:dyDescent="0.15">
      <c r="A14" s="60" t="s">
        <v>11</v>
      </c>
      <c r="B14" s="60">
        <v>2500</v>
      </c>
      <c r="C14" s="60">
        <v>23</v>
      </c>
      <c r="D14" s="60">
        <v>8.2500000000000004E-2</v>
      </c>
      <c r="E14" s="60">
        <v>378.8537</v>
      </c>
      <c r="F14" s="60">
        <v>16.263000000000002</v>
      </c>
      <c r="G14" s="60">
        <v>70.710700000000003</v>
      </c>
      <c r="H14" s="60">
        <v>1.8967000000000001</v>
      </c>
    </row>
    <row r="15" spans="1:8" x14ac:dyDescent="0.15">
      <c r="A15" s="60" t="s">
        <v>11</v>
      </c>
      <c r="B15" s="60">
        <v>2500</v>
      </c>
      <c r="C15" s="60">
        <v>23</v>
      </c>
      <c r="D15" s="60">
        <v>7.3999999999999996E-2</v>
      </c>
      <c r="E15" s="60">
        <v>422.17180000000002</v>
      </c>
      <c r="F15" s="60">
        <v>18.123000000000001</v>
      </c>
      <c r="G15" s="60">
        <v>78.7958</v>
      </c>
      <c r="H15" s="60">
        <v>1.7007000000000001</v>
      </c>
    </row>
    <row r="16" spans="1:8" x14ac:dyDescent="0.15">
      <c r="A16" s="60" t="s">
        <v>11</v>
      </c>
      <c r="B16" s="60">
        <v>2500</v>
      </c>
      <c r="C16" s="60">
        <v>23</v>
      </c>
      <c r="D16" s="60">
        <v>7.4099999999999999E-2</v>
      </c>
      <c r="E16" s="60">
        <v>421.6979</v>
      </c>
      <c r="F16" s="60">
        <v>18.103000000000002</v>
      </c>
      <c r="G16" s="60">
        <v>78.707300000000004</v>
      </c>
      <c r="H16" s="60">
        <v>1.7027000000000001</v>
      </c>
    </row>
    <row r="17" spans="1:8" x14ac:dyDescent="0.15">
      <c r="A17" s="60" t="s">
        <v>11</v>
      </c>
      <c r="B17" s="60">
        <v>2500</v>
      </c>
      <c r="C17" s="60">
        <v>23</v>
      </c>
      <c r="D17" s="60">
        <v>7.4200000000000002E-2</v>
      </c>
      <c r="E17" s="60">
        <v>421.00869999999998</v>
      </c>
      <c r="F17" s="60">
        <v>18.073</v>
      </c>
      <c r="G17" s="60">
        <v>78.578699999999998</v>
      </c>
      <c r="H17" s="60">
        <v>1.7057</v>
      </c>
    </row>
    <row r="18" spans="1:8" x14ac:dyDescent="0.15">
      <c r="A18" s="60" t="s">
        <v>11</v>
      </c>
      <c r="B18" s="60">
        <v>2500</v>
      </c>
      <c r="C18" s="60">
        <v>23</v>
      </c>
      <c r="D18" s="60">
        <v>7.4200000000000002E-2</v>
      </c>
      <c r="E18" s="60">
        <v>421.11840000000001</v>
      </c>
      <c r="F18" s="60">
        <v>18.077999999999999</v>
      </c>
      <c r="G18" s="60">
        <v>78.599199999999996</v>
      </c>
      <c r="H18" s="60">
        <v>1.7057</v>
      </c>
    </row>
    <row r="19" spans="1:8" x14ac:dyDescent="0.15">
      <c r="A19" s="60" t="s">
        <v>11</v>
      </c>
      <c r="B19" s="60">
        <v>2500</v>
      </c>
      <c r="C19" s="60">
        <v>23</v>
      </c>
      <c r="D19" s="60">
        <v>7.4300000000000005E-2</v>
      </c>
      <c r="E19" s="60">
        <v>420.6832</v>
      </c>
      <c r="F19" s="60">
        <v>18.059000000000001</v>
      </c>
      <c r="G19" s="60">
        <v>78.517899999999997</v>
      </c>
      <c r="H19" s="60">
        <v>1.7077</v>
      </c>
    </row>
    <row r="20" spans="1:8" x14ac:dyDescent="0.15">
      <c r="A20" s="60" t="s">
        <v>11</v>
      </c>
      <c r="B20" s="60">
        <v>2500</v>
      </c>
      <c r="C20" s="60">
        <v>23</v>
      </c>
      <c r="D20" s="60">
        <v>7.4200000000000002E-2</v>
      </c>
      <c r="E20" s="60">
        <v>421.18979999999999</v>
      </c>
      <c r="F20" s="60">
        <v>18.081</v>
      </c>
      <c r="G20" s="60">
        <v>78.612499999999997</v>
      </c>
      <c r="H20" s="60">
        <v>1.7057</v>
      </c>
    </row>
    <row r="21" spans="1:8" x14ac:dyDescent="0.15">
      <c r="A21" s="60" t="s">
        <v>11</v>
      </c>
      <c r="B21" s="60">
        <v>2500</v>
      </c>
      <c r="C21" s="60">
        <v>23</v>
      </c>
      <c r="D21" s="60">
        <v>7.3999999999999996E-2</v>
      </c>
      <c r="E21" s="60">
        <v>422.12150000000003</v>
      </c>
      <c r="F21" s="60">
        <v>18.120999999999999</v>
      </c>
      <c r="G21" s="60">
        <v>78.7864</v>
      </c>
      <c r="H21" s="60">
        <v>1.7007000000000001</v>
      </c>
    </row>
    <row r="22" spans="1:8" x14ac:dyDescent="0.15">
      <c r="A22" s="60" t="s">
        <v>11</v>
      </c>
      <c r="B22" s="60">
        <v>2500</v>
      </c>
      <c r="C22" s="60">
        <v>23</v>
      </c>
      <c r="D22" s="60">
        <v>7.4300000000000005E-2</v>
      </c>
      <c r="E22" s="60">
        <v>420.5487</v>
      </c>
      <c r="F22" s="60">
        <v>18.053000000000001</v>
      </c>
      <c r="G22" s="60">
        <v>78.492800000000003</v>
      </c>
      <c r="H22" s="60">
        <v>1.7087000000000001</v>
      </c>
    </row>
    <row r="23" spans="1:8" x14ac:dyDescent="0.15">
      <c r="A23" s="60" t="s">
        <v>11</v>
      </c>
      <c r="B23" s="60">
        <v>2500</v>
      </c>
      <c r="C23" s="60">
        <v>23</v>
      </c>
      <c r="D23" s="60">
        <v>7.4099999999999999E-2</v>
      </c>
      <c r="E23" s="60">
        <v>421.71949999999998</v>
      </c>
      <c r="F23" s="60">
        <v>18.103999999999999</v>
      </c>
      <c r="G23" s="60">
        <v>78.711399999999998</v>
      </c>
      <c r="H23" s="60">
        <v>1.7027000000000001</v>
      </c>
    </row>
    <row r="24" spans="1:8" x14ac:dyDescent="0.15">
      <c r="A24" s="60" t="s">
        <v>11</v>
      </c>
      <c r="B24" s="60">
        <v>2500</v>
      </c>
      <c r="C24" s="60">
        <v>23</v>
      </c>
      <c r="D24" s="60">
        <v>7.4099999999999999E-2</v>
      </c>
      <c r="E24" s="60">
        <v>421.4984</v>
      </c>
      <c r="F24" s="60">
        <v>18.094000000000001</v>
      </c>
      <c r="G24" s="60">
        <v>78.670100000000005</v>
      </c>
      <c r="H24" s="60">
        <v>1.7047000000000001</v>
      </c>
    </row>
    <row r="25" spans="1:8" x14ac:dyDescent="0.15">
      <c r="A25" s="60" t="s">
        <v>11</v>
      </c>
      <c r="B25" s="60">
        <v>2500</v>
      </c>
      <c r="C25" s="60">
        <v>23</v>
      </c>
      <c r="D25" s="60">
        <v>7.4300000000000005E-2</v>
      </c>
      <c r="E25" s="60">
        <v>420.86489999999998</v>
      </c>
      <c r="F25" s="60">
        <v>18.067</v>
      </c>
      <c r="G25" s="60">
        <v>78.5518</v>
      </c>
      <c r="H25" s="60">
        <v>1.7067000000000001</v>
      </c>
    </row>
    <row r="26" spans="1:8" x14ac:dyDescent="0.15">
      <c r="A26" s="60" t="s">
        <v>11</v>
      </c>
      <c r="B26" s="60">
        <v>2500</v>
      </c>
      <c r="C26" s="60">
        <v>23</v>
      </c>
      <c r="D26" s="60">
        <v>7.4399999999999994E-2</v>
      </c>
      <c r="E26" s="60">
        <v>419.8852</v>
      </c>
      <c r="F26" s="60">
        <v>18.024999999999999</v>
      </c>
      <c r="G26" s="60">
        <v>78.369</v>
      </c>
      <c r="H26" s="60">
        <v>1.7107000000000001</v>
      </c>
    </row>
    <row r="27" spans="1:8" x14ac:dyDescent="0.15">
      <c r="A27" s="60" t="s">
        <v>11</v>
      </c>
      <c r="B27" s="60">
        <v>2500</v>
      </c>
      <c r="C27" s="60">
        <v>23</v>
      </c>
      <c r="D27" s="60">
        <v>7.4300000000000005E-2</v>
      </c>
      <c r="E27" s="60">
        <v>420.69920000000002</v>
      </c>
      <c r="F27" s="60">
        <v>18.059999999999999</v>
      </c>
      <c r="G27" s="60">
        <v>78.520899999999997</v>
      </c>
      <c r="H27" s="60">
        <v>1.7067000000000001</v>
      </c>
    </row>
    <row r="28" spans="1:8" x14ac:dyDescent="0.15">
      <c r="A28" s="60" t="s">
        <v>11</v>
      </c>
      <c r="B28" s="60">
        <v>2500</v>
      </c>
      <c r="C28" s="60">
        <v>23</v>
      </c>
      <c r="D28" s="60">
        <v>7.4399999999999994E-2</v>
      </c>
      <c r="E28" s="60">
        <v>419.90300000000002</v>
      </c>
      <c r="F28" s="60">
        <v>18.026</v>
      </c>
      <c r="G28" s="60">
        <v>78.372299999999996</v>
      </c>
      <c r="H28" s="60">
        <v>1.7107000000000001</v>
      </c>
    </row>
    <row r="29" spans="1:8" x14ac:dyDescent="0.15">
      <c r="A29" s="60" t="s">
        <v>11</v>
      </c>
      <c r="B29" s="60">
        <v>2500</v>
      </c>
      <c r="C29" s="60">
        <v>23</v>
      </c>
      <c r="D29" s="60">
        <v>7.4399999999999994E-2</v>
      </c>
      <c r="E29" s="60">
        <v>420.2047</v>
      </c>
      <c r="F29" s="60">
        <v>18.039000000000001</v>
      </c>
      <c r="G29" s="60">
        <v>78.428600000000003</v>
      </c>
      <c r="H29" s="60">
        <v>1.7087000000000001</v>
      </c>
    </row>
    <row r="30" spans="1:8" x14ac:dyDescent="0.15">
      <c r="A30" s="60" t="s">
        <v>11</v>
      </c>
      <c r="B30" s="60">
        <v>2500</v>
      </c>
      <c r="C30" s="60">
        <v>23</v>
      </c>
      <c r="D30" s="60">
        <v>7.4200000000000002E-2</v>
      </c>
      <c r="E30" s="60">
        <v>421.23739999999998</v>
      </c>
      <c r="F30" s="60">
        <v>18.082999999999998</v>
      </c>
      <c r="G30" s="60">
        <v>78.621399999999994</v>
      </c>
      <c r="H30" s="60">
        <v>1.7057</v>
      </c>
    </row>
    <row r="31" spans="1:8" x14ac:dyDescent="0.15">
      <c r="A31" s="60" t="s">
        <v>11</v>
      </c>
      <c r="B31" s="60">
        <v>2500</v>
      </c>
      <c r="C31" s="60">
        <v>23</v>
      </c>
      <c r="D31" s="60">
        <v>7.4300000000000005E-2</v>
      </c>
      <c r="E31" s="60">
        <v>420.63200000000001</v>
      </c>
      <c r="F31" s="60">
        <v>18.056999999999999</v>
      </c>
      <c r="G31" s="60">
        <v>78.508399999999995</v>
      </c>
      <c r="H31" s="60">
        <v>1.7067000000000001</v>
      </c>
    </row>
    <row r="32" spans="1:8" x14ac:dyDescent="0.15">
      <c r="A32" s="60" t="s">
        <v>11</v>
      </c>
      <c r="B32" s="60">
        <v>2500</v>
      </c>
      <c r="C32" s="60">
        <v>23</v>
      </c>
      <c r="D32" s="60">
        <v>7.4300000000000005E-2</v>
      </c>
      <c r="E32" s="60">
        <v>420.5992</v>
      </c>
      <c r="F32" s="60">
        <v>18.056000000000001</v>
      </c>
      <c r="G32" s="60">
        <v>78.502200000000002</v>
      </c>
      <c r="H32" s="60">
        <v>1.7077</v>
      </c>
    </row>
    <row r="33" spans="1:8" x14ac:dyDescent="0.15">
      <c r="A33" s="60" t="s">
        <v>11</v>
      </c>
      <c r="B33" s="60">
        <v>2500</v>
      </c>
      <c r="C33" s="60">
        <v>23</v>
      </c>
      <c r="D33" s="60">
        <v>7.4300000000000005E-2</v>
      </c>
      <c r="E33" s="60">
        <v>420.7022</v>
      </c>
      <c r="F33" s="60">
        <v>18.059999999999999</v>
      </c>
      <c r="G33" s="60">
        <v>78.521500000000003</v>
      </c>
      <c r="H33" s="60">
        <v>1.7077</v>
      </c>
    </row>
    <row r="34" spans="1:8" x14ac:dyDescent="0.15">
      <c r="A34" s="60" t="s">
        <v>11</v>
      </c>
      <c r="B34" s="60">
        <v>2500</v>
      </c>
      <c r="C34" s="60">
        <v>23</v>
      </c>
      <c r="D34" s="60">
        <v>7.4499999999999997E-2</v>
      </c>
      <c r="E34" s="60">
        <v>419.3673</v>
      </c>
      <c r="F34" s="60">
        <v>18.003</v>
      </c>
      <c r="G34" s="60">
        <v>78.272300000000001</v>
      </c>
      <c r="H34" s="60">
        <v>1.7126999999999999</v>
      </c>
    </row>
    <row r="35" spans="1:8" x14ac:dyDescent="0.15">
      <c r="A35" s="60" t="s">
        <v>11</v>
      </c>
      <c r="B35" s="60">
        <v>2500</v>
      </c>
      <c r="C35" s="60">
        <v>23</v>
      </c>
      <c r="D35" s="60">
        <v>7.4999999999999997E-2</v>
      </c>
      <c r="E35" s="60">
        <v>416.60399999999998</v>
      </c>
      <c r="F35" s="60">
        <v>17.884</v>
      </c>
      <c r="G35" s="60">
        <v>77.756600000000006</v>
      </c>
      <c r="H35" s="60">
        <v>1.7246999999999999</v>
      </c>
    </row>
    <row r="36" spans="1:8" x14ac:dyDescent="0.15">
      <c r="A36" s="60" t="s">
        <v>11</v>
      </c>
      <c r="B36" s="60">
        <v>2500</v>
      </c>
      <c r="C36" s="60">
        <v>23</v>
      </c>
      <c r="D36" s="60">
        <v>8.1299999999999997E-2</v>
      </c>
      <c r="E36" s="60">
        <v>384.47590000000002</v>
      </c>
      <c r="F36" s="60">
        <v>16.504999999999999</v>
      </c>
      <c r="G36" s="60">
        <v>71.760099999999994</v>
      </c>
      <c r="H36" s="60">
        <v>1.8687</v>
      </c>
    </row>
    <row r="37" spans="1:8" x14ac:dyDescent="0.15">
      <c r="A37" s="60" t="s">
        <v>11</v>
      </c>
      <c r="B37" s="60">
        <v>2500</v>
      </c>
      <c r="C37" s="60">
        <v>23</v>
      </c>
      <c r="D37" s="60">
        <v>8.0699999999999994E-2</v>
      </c>
      <c r="E37" s="60">
        <v>387.02260000000001</v>
      </c>
      <c r="F37" s="60">
        <v>16.614000000000001</v>
      </c>
      <c r="G37" s="60">
        <v>72.235399999999998</v>
      </c>
      <c r="H37" s="60">
        <v>1.8556999999999999</v>
      </c>
    </row>
    <row r="38" spans="1:8" x14ac:dyDescent="0.15">
      <c r="A38" s="60" t="s">
        <v>11</v>
      </c>
      <c r="B38" s="60">
        <v>2500</v>
      </c>
      <c r="C38" s="60">
        <v>23</v>
      </c>
      <c r="D38" s="60">
        <v>8.0500000000000002E-2</v>
      </c>
      <c r="E38" s="60">
        <v>388.31139999999999</v>
      </c>
      <c r="F38" s="60">
        <v>16.669</v>
      </c>
      <c r="G38" s="60">
        <v>72.475899999999996</v>
      </c>
      <c r="H38" s="60">
        <v>1.8496999999999999</v>
      </c>
    </row>
    <row r="39" spans="1:8" x14ac:dyDescent="0.15">
      <c r="A39" s="60" t="s">
        <v>11</v>
      </c>
      <c r="B39" s="60">
        <v>2500</v>
      </c>
      <c r="C39" s="60">
        <v>23</v>
      </c>
      <c r="D39" s="60">
        <v>8.0500000000000002E-2</v>
      </c>
      <c r="E39" s="60">
        <v>388.23489999999998</v>
      </c>
      <c r="F39" s="60">
        <v>16.666</v>
      </c>
      <c r="G39" s="60">
        <v>72.461699999999993</v>
      </c>
      <c r="H39" s="60">
        <v>1.8507</v>
      </c>
    </row>
    <row r="40" spans="1:8" x14ac:dyDescent="0.15">
      <c r="A40" s="60" t="s">
        <v>11</v>
      </c>
      <c r="B40" s="60">
        <v>2500</v>
      </c>
      <c r="C40" s="60">
        <v>23</v>
      </c>
      <c r="D40" s="60">
        <v>8.0199999999999994E-2</v>
      </c>
      <c r="E40" s="60">
        <v>389.67090000000002</v>
      </c>
      <c r="F40" s="60">
        <v>16.728000000000002</v>
      </c>
      <c r="G40" s="60">
        <v>72.729699999999994</v>
      </c>
      <c r="H40" s="60">
        <v>1.8427</v>
      </c>
    </row>
    <row r="41" spans="1:8" x14ac:dyDescent="0.15">
      <c r="A41" s="60" t="s">
        <v>11</v>
      </c>
      <c r="B41" s="60">
        <v>2500</v>
      </c>
      <c r="C41" s="60">
        <v>23</v>
      </c>
      <c r="D41" s="60">
        <v>8.09E-2</v>
      </c>
      <c r="E41" s="60">
        <v>386.24720000000002</v>
      </c>
      <c r="F41" s="60">
        <v>16.581</v>
      </c>
      <c r="G41" s="60">
        <v>72.090699999999998</v>
      </c>
      <c r="H41" s="60">
        <v>1.8587</v>
      </c>
    </row>
    <row r="42" spans="1:8" x14ac:dyDescent="0.15">
      <c r="A42" s="60" t="s">
        <v>11</v>
      </c>
      <c r="B42" s="60">
        <v>2500</v>
      </c>
      <c r="C42" s="60">
        <v>23</v>
      </c>
      <c r="D42" s="60">
        <v>7.9500000000000001E-2</v>
      </c>
      <c r="E42" s="60">
        <v>393.1653</v>
      </c>
      <c r="F42" s="60">
        <v>16.878</v>
      </c>
      <c r="G42" s="60">
        <v>73.381900000000002</v>
      </c>
      <c r="H42" s="60">
        <v>1.8267</v>
      </c>
    </row>
    <row r="43" spans="1:8" x14ac:dyDescent="0.15">
      <c r="A43" s="60" t="s">
        <v>11</v>
      </c>
      <c r="B43" s="60">
        <v>2500</v>
      </c>
      <c r="C43" s="60">
        <v>23</v>
      </c>
      <c r="D43" s="60">
        <v>7.9699999999999993E-2</v>
      </c>
      <c r="E43" s="60">
        <v>392.24259999999998</v>
      </c>
      <c r="F43" s="60">
        <v>16.838000000000001</v>
      </c>
      <c r="G43" s="60">
        <v>73.209699999999998</v>
      </c>
      <c r="H43" s="60">
        <v>1.8307</v>
      </c>
    </row>
    <row r="44" spans="1:8" x14ac:dyDescent="0.15">
      <c r="A44" s="60" t="s">
        <v>11</v>
      </c>
      <c r="B44" s="60">
        <v>2500</v>
      </c>
      <c r="C44" s="60">
        <v>23</v>
      </c>
      <c r="D44" s="60">
        <v>7.9699999999999993E-2</v>
      </c>
      <c r="E44" s="60">
        <v>392.03449999999998</v>
      </c>
      <c r="F44" s="60">
        <v>16.829000000000001</v>
      </c>
      <c r="G44" s="60">
        <v>73.1708</v>
      </c>
      <c r="H44" s="60">
        <v>1.8327</v>
      </c>
    </row>
    <row r="45" spans="1:8" x14ac:dyDescent="0.15">
      <c r="A45" s="60" t="s">
        <v>11</v>
      </c>
      <c r="B45" s="60">
        <v>2500</v>
      </c>
      <c r="C45" s="60">
        <v>23</v>
      </c>
      <c r="D45" s="60">
        <v>7.9799999999999996E-2</v>
      </c>
      <c r="E45" s="60">
        <v>391.78410000000002</v>
      </c>
      <c r="F45" s="60">
        <v>16.818999999999999</v>
      </c>
      <c r="G45" s="60">
        <v>73.124099999999999</v>
      </c>
      <c r="H45" s="60">
        <v>1.8327</v>
      </c>
    </row>
    <row r="46" spans="1:8" x14ac:dyDescent="0.15">
      <c r="A46" s="60" t="s">
        <v>11</v>
      </c>
      <c r="B46" s="60">
        <v>2500</v>
      </c>
      <c r="C46" s="60">
        <v>23</v>
      </c>
      <c r="D46" s="60">
        <v>7.9799999999999996E-2</v>
      </c>
      <c r="E46" s="60">
        <v>391.81880000000001</v>
      </c>
      <c r="F46" s="60">
        <v>16.82</v>
      </c>
      <c r="G46" s="60">
        <v>73.130600000000001</v>
      </c>
      <c r="H46" s="60">
        <v>1.8327</v>
      </c>
    </row>
    <row r="47" spans="1:8" x14ac:dyDescent="0.15">
      <c r="A47" s="60" t="s">
        <v>11</v>
      </c>
      <c r="B47" s="60">
        <v>2500</v>
      </c>
      <c r="C47" s="60">
        <v>23</v>
      </c>
      <c r="D47" s="60">
        <v>0.08</v>
      </c>
      <c r="E47" s="60">
        <v>390.61349999999999</v>
      </c>
      <c r="F47" s="60">
        <v>16.768000000000001</v>
      </c>
      <c r="G47" s="60">
        <v>72.905600000000007</v>
      </c>
      <c r="H47" s="60">
        <v>1.8387</v>
      </c>
    </row>
    <row r="48" spans="1:8" x14ac:dyDescent="0.15">
      <c r="A48" s="60" t="s">
        <v>11</v>
      </c>
      <c r="B48" s="60">
        <v>2500</v>
      </c>
      <c r="C48" s="60">
        <v>23</v>
      </c>
      <c r="D48" s="60">
        <v>7.9899999999999999E-2</v>
      </c>
      <c r="E48" s="60">
        <v>390.9556</v>
      </c>
      <c r="F48" s="60">
        <v>16.783000000000001</v>
      </c>
      <c r="G48" s="60">
        <v>72.969499999999996</v>
      </c>
      <c r="H48" s="60">
        <v>1.8376999999999999</v>
      </c>
    </row>
    <row r="49" spans="1:8" x14ac:dyDescent="0.15">
      <c r="A49" s="60" t="s">
        <v>11</v>
      </c>
      <c r="B49" s="60">
        <v>2500</v>
      </c>
      <c r="C49" s="60">
        <v>23</v>
      </c>
      <c r="D49" s="60">
        <v>7.9799999999999996E-2</v>
      </c>
      <c r="E49" s="60">
        <v>391.53530000000001</v>
      </c>
      <c r="F49" s="60">
        <v>16.808</v>
      </c>
      <c r="G49" s="60">
        <v>73.077699999999993</v>
      </c>
      <c r="H49" s="60">
        <v>1.8347</v>
      </c>
    </row>
    <row r="50" spans="1:8" x14ac:dyDescent="0.15">
      <c r="A50" s="60" t="s">
        <v>11</v>
      </c>
      <c r="B50" s="60">
        <v>2500</v>
      </c>
      <c r="C50" s="60">
        <v>23</v>
      </c>
      <c r="D50" s="60">
        <v>0.08</v>
      </c>
      <c r="E50" s="60">
        <v>390.5</v>
      </c>
      <c r="F50" s="60">
        <v>16.763000000000002</v>
      </c>
      <c r="G50" s="60">
        <v>72.884399999999999</v>
      </c>
      <c r="H50" s="60">
        <v>1.8396999999999999</v>
      </c>
    </row>
    <row r="51" spans="1:8" x14ac:dyDescent="0.15">
      <c r="A51" s="60" t="s">
        <v>11</v>
      </c>
      <c r="B51" s="60">
        <v>2500</v>
      </c>
      <c r="C51" s="60">
        <v>23</v>
      </c>
      <c r="D51" s="60">
        <v>0.08</v>
      </c>
      <c r="E51" s="60">
        <v>390.8211</v>
      </c>
      <c r="F51" s="60">
        <v>16.777000000000001</v>
      </c>
      <c r="G51" s="60">
        <v>72.944299999999998</v>
      </c>
      <c r="H51" s="60">
        <v>1.8376999999999999</v>
      </c>
    </row>
    <row r="52" spans="1:8" x14ac:dyDescent="0.15">
      <c r="A52" s="60" t="s">
        <v>11</v>
      </c>
      <c r="B52" s="60">
        <v>2500</v>
      </c>
      <c r="C52" s="60">
        <v>23</v>
      </c>
      <c r="D52" s="60">
        <v>7.9899999999999999E-2</v>
      </c>
      <c r="E52" s="60">
        <v>391.24549999999999</v>
      </c>
      <c r="F52" s="60">
        <v>16.795000000000002</v>
      </c>
      <c r="G52" s="60">
        <v>73.023600000000002</v>
      </c>
      <c r="H52" s="60">
        <v>1.8357000000000001</v>
      </c>
    </row>
    <row r="53" spans="1:8" x14ac:dyDescent="0.15">
      <c r="A53" s="60" t="s">
        <v>11</v>
      </c>
      <c r="B53" s="60">
        <v>2500</v>
      </c>
      <c r="C53" s="60">
        <v>23</v>
      </c>
      <c r="D53" s="60">
        <v>7.9899999999999999E-2</v>
      </c>
      <c r="E53" s="60">
        <v>391.28640000000001</v>
      </c>
      <c r="F53" s="60">
        <v>16.797000000000001</v>
      </c>
      <c r="G53" s="60">
        <v>73.031199999999998</v>
      </c>
      <c r="H53" s="60">
        <v>1.8357000000000001</v>
      </c>
    </row>
    <row r="54" spans="1:8" x14ac:dyDescent="0.15">
      <c r="A54" s="60" t="s">
        <v>11</v>
      </c>
      <c r="B54" s="60">
        <v>2500</v>
      </c>
      <c r="C54" s="60">
        <v>23</v>
      </c>
      <c r="D54" s="60">
        <v>7.9899999999999999E-2</v>
      </c>
      <c r="E54" s="60">
        <v>391.30180000000001</v>
      </c>
      <c r="F54" s="60">
        <v>16.797999999999998</v>
      </c>
      <c r="G54" s="60">
        <v>73.034099999999995</v>
      </c>
      <c r="H54" s="60">
        <v>1.8347</v>
      </c>
    </row>
    <row r="55" spans="1:8" x14ac:dyDescent="0.15">
      <c r="A55" s="60" t="s">
        <v>11</v>
      </c>
      <c r="B55" s="60">
        <v>2500</v>
      </c>
      <c r="C55" s="60">
        <v>23</v>
      </c>
      <c r="D55" s="60">
        <v>7.9899999999999999E-2</v>
      </c>
      <c r="E55" s="60">
        <v>391.0924</v>
      </c>
      <c r="F55" s="60">
        <v>16.789000000000001</v>
      </c>
      <c r="G55" s="60">
        <v>72.995000000000005</v>
      </c>
      <c r="H55" s="60">
        <v>1.8367</v>
      </c>
    </row>
    <row r="56" spans="1:8" x14ac:dyDescent="0.15">
      <c r="A56" s="60" t="s">
        <v>11</v>
      </c>
      <c r="B56" s="60">
        <v>2500</v>
      </c>
      <c r="C56" s="60">
        <v>23</v>
      </c>
      <c r="D56" s="60">
        <v>7.9899999999999999E-2</v>
      </c>
      <c r="E56" s="60">
        <v>390.94099999999997</v>
      </c>
      <c r="F56" s="60">
        <v>16.782</v>
      </c>
      <c r="G56" s="60">
        <v>72.966700000000003</v>
      </c>
      <c r="H56" s="60">
        <v>1.8367</v>
      </c>
    </row>
    <row r="57" spans="1:8" x14ac:dyDescent="0.15">
      <c r="A57" s="60" t="s">
        <v>11</v>
      </c>
      <c r="B57" s="60">
        <v>2500</v>
      </c>
      <c r="C57" s="60">
        <v>23</v>
      </c>
      <c r="D57" s="60">
        <v>7.9899999999999999E-2</v>
      </c>
      <c r="E57" s="60">
        <v>391.35199999999998</v>
      </c>
      <c r="F57" s="60">
        <v>16.8</v>
      </c>
      <c r="G57" s="60">
        <v>73.043400000000005</v>
      </c>
      <c r="H57" s="60">
        <v>1.8357000000000001</v>
      </c>
    </row>
    <row r="58" spans="1:8" x14ac:dyDescent="0.15">
      <c r="A58" s="60" t="s">
        <v>11</v>
      </c>
      <c r="B58" s="60">
        <v>2500</v>
      </c>
      <c r="C58" s="60">
        <v>23</v>
      </c>
      <c r="D58" s="60">
        <v>0.08</v>
      </c>
      <c r="E58" s="60">
        <v>390.8614</v>
      </c>
      <c r="F58" s="60">
        <v>16.779</v>
      </c>
      <c r="G58" s="60">
        <v>72.951899999999995</v>
      </c>
      <c r="H58" s="60">
        <v>1.8376999999999999</v>
      </c>
    </row>
    <row r="59" spans="1:8" x14ac:dyDescent="0.15">
      <c r="A59" s="60" t="s">
        <v>11</v>
      </c>
      <c r="B59" s="60">
        <v>2500</v>
      </c>
      <c r="C59" s="60">
        <v>23</v>
      </c>
      <c r="D59" s="60">
        <v>7.9899999999999999E-2</v>
      </c>
      <c r="E59" s="60">
        <v>391.13330000000002</v>
      </c>
      <c r="F59" s="60">
        <v>16.791</v>
      </c>
      <c r="G59" s="60">
        <v>73.002600000000001</v>
      </c>
      <c r="H59" s="60">
        <v>1.8357000000000001</v>
      </c>
    </row>
    <row r="60" spans="1:8" x14ac:dyDescent="0.15">
      <c r="A60" s="60" t="s">
        <v>11</v>
      </c>
      <c r="B60" s="60">
        <v>2500</v>
      </c>
      <c r="C60" s="60">
        <v>23</v>
      </c>
      <c r="D60" s="60">
        <v>7.9899999999999999E-2</v>
      </c>
      <c r="E60" s="60">
        <v>390.97239999999999</v>
      </c>
      <c r="F60" s="60">
        <v>16.783999999999999</v>
      </c>
      <c r="G60" s="60">
        <v>72.9726</v>
      </c>
      <c r="H60" s="60">
        <v>1.8367</v>
      </c>
    </row>
    <row r="61" spans="1:8" x14ac:dyDescent="0.15">
      <c r="A61" s="60" t="s">
        <v>11</v>
      </c>
      <c r="B61" s="60">
        <v>2500</v>
      </c>
      <c r="C61" s="60">
        <v>23</v>
      </c>
      <c r="D61" s="60">
        <v>0.08</v>
      </c>
      <c r="E61" s="60">
        <v>390.49919999999997</v>
      </c>
      <c r="F61" s="60">
        <v>16.763000000000002</v>
      </c>
      <c r="G61" s="60">
        <v>72.884299999999996</v>
      </c>
      <c r="H61" s="60">
        <v>1.8396999999999999</v>
      </c>
    </row>
    <row r="62" spans="1:8" x14ac:dyDescent="0.15">
      <c r="A62" s="60" t="s">
        <v>11</v>
      </c>
      <c r="B62" s="60">
        <v>2500</v>
      </c>
      <c r="C62" s="60">
        <v>23</v>
      </c>
      <c r="D62" s="60">
        <v>7.9899999999999999E-2</v>
      </c>
      <c r="E62" s="60">
        <v>390.96179999999998</v>
      </c>
      <c r="F62" s="60">
        <v>16.783000000000001</v>
      </c>
      <c r="G62" s="60">
        <v>72.970600000000005</v>
      </c>
      <c r="H62" s="60">
        <v>1.8376999999999999</v>
      </c>
    </row>
    <row r="63" spans="1:8" x14ac:dyDescent="0.15">
      <c r="A63" s="60" t="s">
        <v>11</v>
      </c>
      <c r="B63" s="60">
        <v>2500</v>
      </c>
      <c r="C63" s="60">
        <v>23</v>
      </c>
      <c r="D63" s="60">
        <v>7.9799999999999996E-2</v>
      </c>
      <c r="E63" s="60">
        <v>391.36559999999997</v>
      </c>
      <c r="F63" s="60">
        <v>16.800999999999998</v>
      </c>
      <c r="G63" s="60">
        <v>73.046000000000006</v>
      </c>
      <c r="H63" s="60">
        <v>1.8347</v>
      </c>
    </row>
    <row r="64" spans="1:8" x14ac:dyDescent="0.15">
      <c r="A64" s="60" t="s">
        <v>11</v>
      </c>
      <c r="B64" s="60">
        <v>2500</v>
      </c>
      <c r="C64" s="60">
        <v>24</v>
      </c>
      <c r="D64" s="60">
        <v>0.1328</v>
      </c>
      <c r="E64" s="60">
        <v>235.3509</v>
      </c>
      <c r="F64" s="60">
        <v>10.103</v>
      </c>
      <c r="G64" s="60">
        <v>42.096499999999999</v>
      </c>
      <c r="H64" s="60">
        <v>3.0525000000000002</v>
      </c>
    </row>
    <row r="65" spans="1:8" x14ac:dyDescent="0.15">
      <c r="A65" s="60" t="s">
        <v>11</v>
      </c>
      <c r="B65" s="60">
        <v>2500</v>
      </c>
      <c r="C65" s="60">
        <v>24</v>
      </c>
      <c r="D65" s="60">
        <v>0.1265</v>
      </c>
      <c r="E65" s="60">
        <v>246.9494</v>
      </c>
      <c r="F65" s="60">
        <v>10.601000000000001</v>
      </c>
      <c r="G65" s="60">
        <v>44.171100000000003</v>
      </c>
      <c r="H65" s="60">
        <v>2.9085999999999999</v>
      </c>
    </row>
    <row r="66" spans="1:8" x14ac:dyDescent="0.15">
      <c r="A66" s="60" t="s">
        <v>11</v>
      </c>
      <c r="B66" s="60">
        <v>2500</v>
      </c>
      <c r="C66" s="60">
        <v>24</v>
      </c>
      <c r="D66" s="60">
        <v>0.1283</v>
      </c>
      <c r="E66" s="60">
        <v>243.63990000000001</v>
      </c>
      <c r="F66" s="60">
        <v>10.459</v>
      </c>
      <c r="G66" s="60">
        <v>43.579099999999997</v>
      </c>
      <c r="H66" s="60">
        <v>2.9474999999999998</v>
      </c>
    </row>
    <row r="67" spans="1:8" x14ac:dyDescent="0.15">
      <c r="A67" s="60" t="s">
        <v>11</v>
      </c>
      <c r="B67" s="60">
        <v>2500</v>
      </c>
      <c r="C67" s="60">
        <v>24</v>
      </c>
      <c r="D67" s="60">
        <v>0.12470000000000001</v>
      </c>
      <c r="E67" s="60">
        <v>250.55090000000001</v>
      </c>
      <c r="F67" s="60">
        <v>10.756</v>
      </c>
      <c r="G67" s="60">
        <v>44.815300000000001</v>
      </c>
      <c r="H67" s="60">
        <v>2.8675999999999999</v>
      </c>
    </row>
    <row r="68" spans="1:8" x14ac:dyDescent="0.15">
      <c r="A68" s="60" t="s">
        <v>11</v>
      </c>
      <c r="B68" s="60">
        <v>2500</v>
      </c>
      <c r="C68" s="60">
        <v>24</v>
      </c>
      <c r="D68" s="60">
        <v>0.12330000000000001</v>
      </c>
      <c r="E68" s="60">
        <v>253.3811</v>
      </c>
      <c r="F68" s="60">
        <v>10.877000000000001</v>
      </c>
      <c r="G68" s="60">
        <v>45.3215</v>
      </c>
      <c r="H68" s="60">
        <v>2.8346</v>
      </c>
    </row>
    <row r="69" spans="1:8" x14ac:dyDescent="0.15">
      <c r="A69" s="60" t="s">
        <v>11</v>
      </c>
      <c r="B69" s="60">
        <v>2500</v>
      </c>
      <c r="C69" s="60">
        <v>24</v>
      </c>
      <c r="D69" s="60">
        <v>0.12570000000000001</v>
      </c>
      <c r="E69" s="60">
        <v>248.51939999999999</v>
      </c>
      <c r="F69" s="60">
        <v>10.667999999999999</v>
      </c>
      <c r="G69" s="60">
        <v>44.451900000000002</v>
      </c>
      <c r="H69" s="60">
        <v>2.8866000000000001</v>
      </c>
    </row>
    <row r="70" spans="1:8" x14ac:dyDescent="0.15">
      <c r="A70" s="60" t="s">
        <v>11</v>
      </c>
      <c r="B70" s="60">
        <v>2500</v>
      </c>
      <c r="C70" s="60">
        <v>24</v>
      </c>
      <c r="D70" s="60">
        <v>0.1249</v>
      </c>
      <c r="E70" s="60">
        <v>250.2319</v>
      </c>
      <c r="F70" s="60">
        <v>10.742000000000001</v>
      </c>
      <c r="G70" s="60">
        <v>44.758200000000002</v>
      </c>
      <c r="H70" s="60">
        <v>2.8706</v>
      </c>
    </row>
    <row r="71" spans="1:8" x14ac:dyDescent="0.15">
      <c r="A71" s="60" t="s">
        <v>11</v>
      </c>
      <c r="B71" s="60">
        <v>2500</v>
      </c>
      <c r="C71" s="60">
        <v>24</v>
      </c>
      <c r="D71" s="60">
        <v>0.12690000000000001</v>
      </c>
      <c r="E71" s="60">
        <v>246.3528</v>
      </c>
      <c r="F71" s="60">
        <v>10.574999999999999</v>
      </c>
      <c r="G71" s="60">
        <v>44.064399999999999</v>
      </c>
      <c r="H71" s="60">
        <v>2.9156</v>
      </c>
    </row>
    <row r="72" spans="1:8" x14ac:dyDescent="0.15">
      <c r="A72" s="60" t="s">
        <v>11</v>
      </c>
      <c r="B72" s="60">
        <v>2500</v>
      </c>
      <c r="C72" s="60">
        <v>24</v>
      </c>
      <c r="D72" s="60">
        <v>0.12429999999999999</v>
      </c>
      <c r="E72" s="60">
        <v>251.48589999999999</v>
      </c>
      <c r="F72" s="60">
        <v>10.795999999999999</v>
      </c>
      <c r="G72" s="60">
        <v>44.982500000000002</v>
      </c>
      <c r="H72" s="60">
        <v>2.8555999999999999</v>
      </c>
    </row>
    <row r="73" spans="1:8" x14ac:dyDescent="0.15">
      <c r="A73" s="60" t="s">
        <v>11</v>
      </c>
      <c r="B73" s="60">
        <v>2500</v>
      </c>
      <c r="C73" s="60">
        <v>24</v>
      </c>
      <c r="D73" s="60">
        <v>0.1283</v>
      </c>
      <c r="E73" s="60">
        <v>243.5052</v>
      </c>
      <c r="F73" s="60">
        <v>10.452999999999999</v>
      </c>
      <c r="G73" s="60">
        <v>43.555100000000003</v>
      </c>
      <c r="H73" s="60">
        <v>2.9506000000000001</v>
      </c>
    </row>
    <row r="74" spans="1:8" x14ac:dyDescent="0.15">
      <c r="A74" s="60" t="s">
        <v>11</v>
      </c>
      <c r="B74" s="60">
        <v>2500</v>
      </c>
      <c r="C74" s="60">
        <v>24</v>
      </c>
      <c r="D74" s="60">
        <v>0.12609999999999999</v>
      </c>
      <c r="E74" s="60">
        <v>247.8587</v>
      </c>
      <c r="F74" s="60">
        <v>10.64</v>
      </c>
      <c r="G74" s="60">
        <v>44.3337</v>
      </c>
      <c r="H74" s="60">
        <v>2.8976000000000002</v>
      </c>
    </row>
    <row r="75" spans="1:8" x14ac:dyDescent="0.15">
      <c r="A75" s="60" t="s">
        <v>11</v>
      </c>
      <c r="B75" s="60">
        <v>2500</v>
      </c>
      <c r="C75" s="60">
        <v>24</v>
      </c>
      <c r="D75" s="60">
        <v>0.1244</v>
      </c>
      <c r="E75" s="60">
        <v>251.1241</v>
      </c>
      <c r="F75" s="60">
        <v>10.78</v>
      </c>
      <c r="G75" s="60">
        <v>44.9178</v>
      </c>
      <c r="H75" s="60">
        <v>2.8605999999999998</v>
      </c>
    </row>
    <row r="76" spans="1:8" x14ac:dyDescent="0.15">
      <c r="A76" s="60" t="s">
        <v>11</v>
      </c>
      <c r="B76" s="60">
        <v>2500</v>
      </c>
      <c r="C76" s="60">
        <v>24</v>
      </c>
      <c r="D76" s="60">
        <v>0.12740000000000001</v>
      </c>
      <c r="E76" s="60">
        <v>245.22989999999999</v>
      </c>
      <c r="F76" s="60">
        <v>10.526999999999999</v>
      </c>
      <c r="G76" s="60">
        <v>43.863500000000002</v>
      </c>
      <c r="H76" s="60">
        <v>2.9296000000000002</v>
      </c>
    </row>
    <row r="77" spans="1:8" x14ac:dyDescent="0.15">
      <c r="A77" s="60" t="s">
        <v>11</v>
      </c>
      <c r="B77" s="60">
        <v>2500</v>
      </c>
      <c r="C77" s="60">
        <v>24</v>
      </c>
      <c r="D77" s="60">
        <v>0.12609999999999999</v>
      </c>
      <c r="E77" s="60">
        <v>247.791</v>
      </c>
      <c r="F77" s="60">
        <v>10.637</v>
      </c>
      <c r="G77" s="60">
        <v>44.321599999999997</v>
      </c>
      <c r="H77" s="60">
        <v>2.8986000000000001</v>
      </c>
    </row>
    <row r="78" spans="1:8" x14ac:dyDescent="0.15">
      <c r="A78" s="60" t="s">
        <v>11</v>
      </c>
      <c r="B78" s="60">
        <v>2500</v>
      </c>
      <c r="C78" s="60">
        <v>24</v>
      </c>
      <c r="D78" s="60">
        <v>0.12659999999999999</v>
      </c>
      <c r="E78" s="60">
        <v>246.9058</v>
      </c>
      <c r="F78" s="60">
        <v>10.599</v>
      </c>
      <c r="G78" s="60">
        <v>44.1633</v>
      </c>
      <c r="H78" s="60">
        <v>2.9096000000000002</v>
      </c>
    </row>
    <row r="79" spans="1:8" x14ac:dyDescent="0.15">
      <c r="A79" s="60" t="s">
        <v>11</v>
      </c>
      <c r="B79" s="60">
        <v>2500</v>
      </c>
      <c r="C79" s="60">
        <v>24</v>
      </c>
      <c r="D79" s="60">
        <v>0.12570000000000001</v>
      </c>
      <c r="E79" s="60">
        <v>248.6491</v>
      </c>
      <c r="F79" s="60">
        <v>10.673999999999999</v>
      </c>
      <c r="G79" s="60">
        <v>44.475099999999998</v>
      </c>
      <c r="H79" s="60">
        <v>2.8885999999999998</v>
      </c>
    </row>
    <row r="80" spans="1:8" x14ac:dyDescent="0.15">
      <c r="A80" s="60" t="s">
        <v>11</v>
      </c>
      <c r="B80" s="60">
        <v>2500</v>
      </c>
      <c r="C80" s="60">
        <v>24</v>
      </c>
      <c r="D80" s="60">
        <v>0.1278</v>
      </c>
      <c r="E80" s="60">
        <v>244.4325</v>
      </c>
      <c r="F80" s="60">
        <v>10.493</v>
      </c>
      <c r="G80" s="60">
        <v>43.7209</v>
      </c>
      <c r="H80" s="60">
        <v>2.9386000000000001</v>
      </c>
    </row>
    <row r="81" spans="1:8" x14ac:dyDescent="0.15">
      <c r="A81" s="60" t="s">
        <v>11</v>
      </c>
      <c r="B81" s="60">
        <v>2500</v>
      </c>
      <c r="C81" s="60">
        <v>24</v>
      </c>
      <c r="D81" s="60">
        <v>0.1273</v>
      </c>
      <c r="E81" s="60">
        <v>245.54470000000001</v>
      </c>
      <c r="F81" s="60">
        <v>10.541</v>
      </c>
      <c r="G81" s="60">
        <v>43.919899999999998</v>
      </c>
      <c r="H81" s="60">
        <v>2.9256000000000002</v>
      </c>
    </row>
    <row r="82" spans="1:8" x14ac:dyDescent="0.15">
      <c r="A82" s="60" t="s">
        <v>11</v>
      </c>
      <c r="B82" s="60">
        <v>2500</v>
      </c>
      <c r="C82" s="60">
        <v>24</v>
      </c>
      <c r="D82" s="60">
        <v>0.12239999999999999</v>
      </c>
      <c r="E82" s="60">
        <v>255.3004</v>
      </c>
      <c r="F82" s="60">
        <v>10.96</v>
      </c>
      <c r="G82" s="60">
        <v>45.6648</v>
      </c>
      <c r="H82" s="60">
        <v>2.8136000000000001</v>
      </c>
    </row>
    <row r="83" spans="1:8" x14ac:dyDescent="0.15">
      <c r="A83" s="60" t="s">
        <v>11</v>
      </c>
      <c r="B83" s="60">
        <v>2500</v>
      </c>
      <c r="C83" s="60">
        <v>24</v>
      </c>
      <c r="D83" s="60">
        <v>0.12529999999999999</v>
      </c>
      <c r="E83" s="60">
        <v>249.44149999999999</v>
      </c>
      <c r="F83" s="60">
        <v>10.708</v>
      </c>
      <c r="G83" s="60">
        <v>44.616900000000001</v>
      </c>
      <c r="H83" s="60">
        <v>2.8795999999999999</v>
      </c>
    </row>
    <row r="84" spans="1:8" x14ac:dyDescent="0.15">
      <c r="A84" s="60" t="s">
        <v>11</v>
      </c>
      <c r="B84" s="60">
        <v>2500</v>
      </c>
      <c r="C84" s="60">
        <v>24</v>
      </c>
      <c r="D84" s="60">
        <v>0.12809999999999999</v>
      </c>
      <c r="E84" s="60">
        <v>243.94049999999999</v>
      </c>
      <c r="F84" s="60">
        <v>10.472</v>
      </c>
      <c r="G84" s="60">
        <v>43.632899999999999</v>
      </c>
      <c r="H84" s="60">
        <v>2.9445999999999999</v>
      </c>
    </row>
    <row r="85" spans="1:8" x14ac:dyDescent="0.15">
      <c r="A85" s="60" t="s">
        <v>11</v>
      </c>
      <c r="B85" s="60">
        <v>2500</v>
      </c>
      <c r="C85" s="60">
        <v>24</v>
      </c>
      <c r="D85" s="60">
        <v>0.1275</v>
      </c>
      <c r="E85" s="60">
        <v>245.1155</v>
      </c>
      <c r="F85" s="60">
        <v>10.522</v>
      </c>
      <c r="G85" s="60">
        <v>43.8431</v>
      </c>
      <c r="H85" s="60">
        <v>2.9304999999999999</v>
      </c>
    </row>
    <row r="86" spans="1:8" x14ac:dyDescent="0.15">
      <c r="A86" s="60" t="s">
        <v>11</v>
      </c>
      <c r="B86" s="60">
        <v>2500</v>
      </c>
      <c r="C86" s="60">
        <v>24</v>
      </c>
      <c r="D86" s="60">
        <v>0.1298</v>
      </c>
      <c r="E86" s="60">
        <v>240.8313</v>
      </c>
      <c r="F86" s="60">
        <v>10.337999999999999</v>
      </c>
      <c r="G86" s="60">
        <v>43.076799999999999</v>
      </c>
      <c r="H86" s="60">
        <v>2.9826000000000001</v>
      </c>
    </row>
    <row r="87" spans="1:8" x14ac:dyDescent="0.15">
      <c r="A87" s="60" t="s">
        <v>11</v>
      </c>
      <c r="B87" s="60">
        <v>2500</v>
      </c>
      <c r="C87" s="60">
        <v>24</v>
      </c>
      <c r="D87" s="60">
        <v>0.1208</v>
      </c>
      <c r="E87" s="60">
        <v>258.77820000000003</v>
      </c>
      <c r="F87" s="60">
        <v>11.109</v>
      </c>
      <c r="G87" s="60">
        <v>46.286900000000003</v>
      </c>
      <c r="H87" s="60">
        <v>2.7755999999999998</v>
      </c>
    </row>
    <row r="88" spans="1:8" x14ac:dyDescent="0.15">
      <c r="A88" s="60" t="s">
        <v>11</v>
      </c>
      <c r="B88" s="60">
        <v>2500</v>
      </c>
      <c r="C88" s="60">
        <v>24</v>
      </c>
      <c r="D88" s="60">
        <v>0.1285</v>
      </c>
      <c r="E88" s="60">
        <v>243.21080000000001</v>
      </c>
      <c r="F88" s="60">
        <v>10.441000000000001</v>
      </c>
      <c r="G88" s="60">
        <v>43.502400000000002</v>
      </c>
      <c r="H88" s="60">
        <v>2.9535999999999998</v>
      </c>
    </row>
    <row r="89" spans="1:8" x14ac:dyDescent="0.15">
      <c r="A89" s="60" t="s">
        <v>11</v>
      </c>
      <c r="B89" s="60">
        <v>2500</v>
      </c>
      <c r="C89" s="60">
        <v>24</v>
      </c>
      <c r="D89" s="60">
        <v>0.12889999999999999</v>
      </c>
      <c r="E89" s="60">
        <v>242.44839999999999</v>
      </c>
      <c r="F89" s="60">
        <v>10.407999999999999</v>
      </c>
      <c r="G89" s="60">
        <v>43.366</v>
      </c>
      <c r="H89" s="60">
        <v>2.9626000000000001</v>
      </c>
    </row>
    <row r="90" spans="1:8" x14ac:dyDescent="0.15">
      <c r="A90" s="60" t="s">
        <v>11</v>
      </c>
      <c r="B90" s="60">
        <v>2500</v>
      </c>
      <c r="C90" s="60">
        <v>24</v>
      </c>
      <c r="D90" s="60">
        <v>0.129</v>
      </c>
      <c r="E90" s="60">
        <v>242.2825</v>
      </c>
      <c r="F90" s="60">
        <v>10.401</v>
      </c>
      <c r="G90" s="60">
        <v>43.336300000000001</v>
      </c>
      <c r="H90" s="60">
        <v>2.9645999999999999</v>
      </c>
    </row>
    <row r="91" spans="1:8" x14ac:dyDescent="0.15">
      <c r="A91" s="60" t="s">
        <v>11</v>
      </c>
      <c r="B91" s="60">
        <v>2500</v>
      </c>
      <c r="C91" s="60">
        <v>24</v>
      </c>
      <c r="D91" s="60">
        <v>0.12659999999999999</v>
      </c>
      <c r="E91" s="60">
        <v>246.8792</v>
      </c>
      <c r="F91" s="60">
        <v>10.598000000000001</v>
      </c>
      <c r="G91" s="60">
        <v>44.158499999999997</v>
      </c>
      <c r="H91" s="60">
        <v>2.9095</v>
      </c>
    </row>
    <row r="92" spans="1:8" x14ac:dyDescent="0.15">
      <c r="A92" s="60" t="s">
        <v>11</v>
      </c>
      <c r="B92" s="60">
        <v>2500</v>
      </c>
      <c r="C92" s="60">
        <v>24</v>
      </c>
      <c r="D92" s="60">
        <v>0.1246</v>
      </c>
      <c r="E92" s="60">
        <v>250.77979999999999</v>
      </c>
      <c r="F92" s="60">
        <v>10.765000000000001</v>
      </c>
      <c r="G92" s="60">
        <v>44.856200000000001</v>
      </c>
      <c r="H92" s="60">
        <v>2.8645999999999998</v>
      </c>
    </row>
    <row r="93" spans="1:8" x14ac:dyDescent="0.15">
      <c r="A93" s="60" t="s">
        <v>11</v>
      </c>
      <c r="B93" s="60">
        <v>2500</v>
      </c>
      <c r="C93" s="60">
        <v>24</v>
      </c>
      <c r="D93" s="60">
        <v>0.1236</v>
      </c>
      <c r="E93" s="60">
        <v>252.84039999999999</v>
      </c>
      <c r="F93" s="60">
        <v>10.853999999999999</v>
      </c>
      <c r="G93" s="60">
        <v>45.224800000000002</v>
      </c>
      <c r="H93" s="60">
        <v>2.8405999999999998</v>
      </c>
    </row>
    <row r="94" spans="1:8" x14ac:dyDescent="0.15">
      <c r="A94" s="60" t="s">
        <v>11</v>
      </c>
      <c r="B94" s="60">
        <v>2500</v>
      </c>
      <c r="C94" s="60">
        <v>24</v>
      </c>
      <c r="D94" s="60">
        <v>0.12590000000000001</v>
      </c>
      <c r="E94" s="60">
        <v>248.13460000000001</v>
      </c>
      <c r="F94" s="60">
        <v>10.651999999999999</v>
      </c>
      <c r="G94" s="60">
        <v>44.383099999999999</v>
      </c>
      <c r="H94" s="60">
        <v>2.8956</v>
      </c>
    </row>
    <row r="95" spans="1:8" x14ac:dyDescent="0.15">
      <c r="A95" s="60" t="s">
        <v>11</v>
      </c>
      <c r="B95" s="60">
        <v>2500</v>
      </c>
      <c r="C95" s="60">
        <v>24</v>
      </c>
      <c r="D95" s="60">
        <v>0.1255</v>
      </c>
      <c r="E95" s="60">
        <v>249.06899999999999</v>
      </c>
      <c r="F95" s="60">
        <v>10.692</v>
      </c>
      <c r="G95" s="60">
        <v>44.550199999999997</v>
      </c>
      <c r="H95" s="60">
        <v>2.8835999999999999</v>
      </c>
    </row>
    <row r="96" spans="1:8" x14ac:dyDescent="0.15">
      <c r="A96" s="60" t="s">
        <v>11</v>
      </c>
      <c r="B96" s="60">
        <v>2500</v>
      </c>
      <c r="C96" s="60">
        <v>24</v>
      </c>
      <c r="D96" s="60">
        <v>0.12959999999999999</v>
      </c>
      <c r="E96" s="60">
        <v>241.178</v>
      </c>
      <c r="F96" s="60">
        <v>10.353</v>
      </c>
      <c r="G96" s="60">
        <v>43.138800000000003</v>
      </c>
      <c r="H96" s="60">
        <v>2.9786000000000001</v>
      </c>
    </row>
    <row r="97" spans="1:8" x14ac:dyDescent="0.15">
      <c r="A97" s="60" t="s">
        <v>11</v>
      </c>
      <c r="B97" s="60">
        <v>2500</v>
      </c>
      <c r="C97" s="60">
        <v>24</v>
      </c>
      <c r="D97" s="60">
        <v>0.12939999999999999</v>
      </c>
      <c r="E97" s="60">
        <v>241.51599999999999</v>
      </c>
      <c r="F97" s="60">
        <v>10.368</v>
      </c>
      <c r="G97" s="60">
        <v>43.199199999999998</v>
      </c>
      <c r="H97" s="60">
        <v>2.9744999999999999</v>
      </c>
    </row>
    <row r="98" spans="1:8" x14ac:dyDescent="0.15">
      <c r="A98" s="60" t="s">
        <v>11</v>
      </c>
      <c r="B98" s="60">
        <v>2500</v>
      </c>
      <c r="C98" s="60">
        <v>24</v>
      </c>
      <c r="D98" s="60">
        <v>0.1293</v>
      </c>
      <c r="E98" s="60">
        <v>241.72370000000001</v>
      </c>
      <c r="F98" s="60">
        <v>10.377000000000001</v>
      </c>
      <c r="G98" s="60">
        <v>43.236400000000003</v>
      </c>
      <c r="H98" s="60">
        <v>2.9714999999999998</v>
      </c>
    </row>
    <row r="99" spans="1:8" x14ac:dyDescent="0.15">
      <c r="A99" s="60" t="s">
        <v>11</v>
      </c>
      <c r="B99" s="60">
        <v>2500</v>
      </c>
      <c r="C99" s="60">
        <v>24</v>
      </c>
      <c r="D99" s="60">
        <v>0.1202</v>
      </c>
      <c r="E99" s="60">
        <v>260.03109999999998</v>
      </c>
      <c r="F99" s="60">
        <v>11.163</v>
      </c>
      <c r="G99" s="60">
        <v>46.511000000000003</v>
      </c>
      <c r="H99" s="60">
        <v>2.7616000000000001</v>
      </c>
    </row>
    <row r="100" spans="1:8" x14ac:dyDescent="0.15">
      <c r="A100" s="60" t="s">
        <v>11</v>
      </c>
      <c r="B100" s="60">
        <v>2500</v>
      </c>
      <c r="C100" s="60">
        <v>24</v>
      </c>
      <c r="D100" s="60">
        <v>0.12429999999999999</v>
      </c>
      <c r="E100" s="60">
        <v>251.428</v>
      </c>
      <c r="F100" s="60">
        <v>10.792999999999999</v>
      </c>
      <c r="G100" s="60">
        <v>44.972200000000001</v>
      </c>
      <c r="H100" s="60">
        <v>2.8576000000000001</v>
      </c>
    </row>
    <row r="101" spans="1:8" x14ac:dyDescent="0.15">
      <c r="A101" s="60" t="s">
        <v>11</v>
      </c>
      <c r="B101" s="60">
        <v>2500</v>
      </c>
      <c r="C101" s="60">
        <v>24</v>
      </c>
      <c r="D101" s="60">
        <v>0.12640000000000001</v>
      </c>
      <c r="E101" s="60">
        <v>247.2372</v>
      </c>
      <c r="F101" s="60">
        <v>10.613</v>
      </c>
      <c r="G101" s="60">
        <v>44.2226</v>
      </c>
      <c r="H101" s="60">
        <v>2.9056000000000002</v>
      </c>
    </row>
    <row r="102" spans="1:8" x14ac:dyDescent="0.15">
      <c r="A102" s="60" t="s">
        <v>11</v>
      </c>
      <c r="B102" s="60">
        <v>2500</v>
      </c>
      <c r="C102" s="60">
        <v>24</v>
      </c>
      <c r="D102" s="60">
        <v>0.13100000000000001</v>
      </c>
      <c r="E102" s="60">
        <v>238.55670000000001</v>
      </c>
      <c r="F102" s="60">
        <v>10.241</v>
      </c>
      <c r="G102" s="60">
        <v>42.669899999999998</v>
      </c>
      <c r="H102" s="60">
        <v>3.0105</v>
      </c>
    </row>
    <row r="103" spans="1:8" x14ac:dyDescent="0.15">
      <c r="A103" s="60" t="s">
        <v>11</v>
      </c>
      <c r="B103" s="60">
        <v>2500</v>
      </c>
      <c r="C103" s="60">
        <v>24</v>
      </c>
      <c r="D103" s="60">
        <v>0.12640000000000001</v>
      </c>
      <c r="E103" s="60">
        <v>247.30680000000001</v>
      </c>
      <c r="F103" s="60">
        <v>10.616</v>
      </c>
      <c r="G103" s="60">
        <v>44.234999999999999</v>
      </c>
      <c r="H103" s="60">
        <v>2.9045999999999998</v>
      </c>
    </row>
    <row r="104" spans="1:8" x14ac:dyDescent="0.15">
      <c r="A104" s="60" t="s">
        <v>11</v>
      </c>
      <c r="B104" s="60">
        <v>2500</v>
      </c>
      <c r="C104" s="60">
        <v>24</v>
      </c>
      <c r="D104" s="60">
        <v>0.13089999999999999</v>
      </c>
      <c r="E104" s="60">
        <v>238.71950000000001</v>
      </c>
      <c r="F104" s="60">
        <v>10.247999999999999</v>
      </c>
      <c r="G104" s="60">
        <v>42.699100000000001</v>
      </c>
      <c r="H104" s="60">
        <v>3.0095000000000001</v>
      </c>
    </row>
    <row r="105" spans="1:8" x14ac:dyDescent="0.15">
      <c r="A105" s="60" t="s">
        <v>11</v>
      </c>
      <c r="B105" s="60">
        <v>2500</v>
      </c>
      <c r="C105" s="60">
        <v>24</v>
      </c>
      <c r="D105" s="60">
        <v>0.12939999999999999</v>
      </c>
      <c r="E105" s="60">
        <v>241.5591</v>
      </c>
      <c r="F105" s="60">
        <v>10.37</v>
      </c>
      <c r="G105" s="60">
        <v>43.207000000000001</v>
      </c>
      <c r="H105" s="60">
        <v>2.9735999999999998</v>
      </c>
    </row>
    <row r="106" spans="1:8" x14ac:dyDescent="0.15">
      <c r="A106" s="60" t="s">
        <v>11</v>
      </c>
      <c r="B106" s="60">
        <v>2500</v>
      </c>
      <c r="C106" s="60">
        <v>24</v>
      </c>
      <c r="D106" s="60">
        <v>0.12970000000000001</v>
      </c>
      <c r="E106" s="60">
        <v>240.9683</v>
      </c>
      <c r="F106" s="60">
        <v>10.343999999999999</v>
      </c>
      <c r="G106" s="60">
        <v>43.101300000000002</v>
      </c>
      <c r="H106" s="60">
        <v>2.9805000000000001</v>
      </c>
    </row>
    <row r="107" spans="1:8" x14ac:dyDescent="0.15">
      <c r="A107" s="60" t="s">
        <v>11</v>
      </c>
      <c r="B107" s="60">
        <v>2500</v>
      </c>
      <c r="C107" s="60">
        <v>24</v>
      </c>
      <c r="D107" s="60">
        <v>0.13420000000000001</v>
      </c>
      <c r="E107" s="60">
        <v>232.8794</v>
      </c>
      <c r="F107" s="60">
        <v>9.9969999999999999</v>
      </c>
      <c r="G107" s="60">
        <v>41.654400000000003</v>
      </c>
      <c r="H107" s="60">
        <v>3.0785</v>
      </c>
    </row>
    <row r="108" spans="1:8" x14ac:dyDescent="0.15">
      <c r="A108" s="60" t="s">
        <v>11</v>
      </c>
      <c r="B108" s="60">
        <v>2500</v>
      </c>
      <c r="C108" s="60">
        <v>24</v>
      </c>
      <c r="D108" s="60">
        <v>0.12790000000000001</v>
      </c>
      <c r="E108" s="60">
        <v>244.2696</v>
      </c>
      <c r="F108" s="60">
        <v>10.486000000000001</v>
      </c>
      <c r="G108" s="60">
        <v>43.691800000000001</v>
      </c>
      <c r="H108" s="60">
        <v>2.9405999999999999</v>
      </c>
    </row>
    <row r="109" spans="1:8" x14ac:dyDescent="0.15">
      <c r="A109" s="60" t="s">
        <v>11</v>
      </c>
      <c r="B109" s="60">
        <v>2500</v>
      </c>
      <c r="C109" s="60">
        <v>24</v>
      </c>
      <c r="D109" s="60">
        <v>0.12670000000000001</v>
      </c>
      <c r="E109" s="60">
        <v>246.58779999999999</v>
      </c>
      <c r="F109" s="60">
        <v>10.586</v>
      </c>
      <c r="G109" s="60">
        <v>44.106400000000001</v>
      </c>
      <c r="H109" s="60">
        <v>2.9125999999999999</v>
      </c>
    </row>
    <row r="110" spans="1:8" x14ac:dyDescent="0.15">
      <c r="A110" s="60" t="s">
        <v>11</v>
      </c>
      <c r="B110" s="60">
        <v>2500</v>
      </c>
      <c r="C110" s="60">
        <v>24</v>
      </c>
      <c r="D110" s="60">
        <v>0.13009999999999999</v>
      </c>
      <c r="E110" s="60">
        <v>240.19640000000001</v>
      </c>
      <c r="F110" s="60">
        <v>10.311</v>
      </c>
      <c r="G110" s="60">
        <v>42.963200000000001</v>
      </c>
      <c r="H110" s="60">
        <v>2.9906000000000001</v>
      </c>
    </row>
    <row r="111" spans="1:8" x14ac:dyDescent="0.15">
      <c r="A111" s="60" t="s">
        <v>11</v>
      </c>
      <c r="B111" s="60">
        <v>2500</v>
      </c>
      <c r="C111" s="60">
        <v>24</v>
      </c>
      <c r="D111" s="60">
        <v>0.1221</v>
      </c>
      <c r="E111" s="60">
        <v>255.85570000000001</v>
      </c>
      <c r="F111" s="60">
        <v>10.983000000000001</v>
      </c>
      <c r="G111" s="60">
        <v>45.764099999999999</v>
      </c>
      <c r="H111" s="60">
        <v>2.8075999999999999</v>
      </c>
    </row>
    <row r="112" spans="1:8" x14ac:dyDescent="0.15">
      <c r="A112" s="60" t="s">
        <v>11</v>
      </c>
      <c r="B112" s="60">
        <v>2500</v>
      </c>
      <c r="C112" s="60">
        <v>24</v>
      </c>
      <c r="D112" s="60">
        <v>0.12640000000000001</v>
      </c>
      <c r="E112" s="60">
        <v>247.3272</v>
      </c>
      <c r="F112" s="60">
        <v>10.617000000000001</v>
      </c>
      <c r="G112" s="60">
        <v>44.238700000000001</v>
      </c>
      <c r="H112" s="60">
        <v>2.9036</v>
      </c>
    </row>
    <row r="113" spans="1:8" x14ac:dyDescent="0.15">
      <c r="A113" s="60" t="s">
        <v>11</v>
      </c>
      <c r="B113" s="60">
        <v>2500</v>
      </c>
      <c r="C113" s="60">
        <v>24</v>
      </c>
      <c r="D113" s="60">
        <v>0.1258</v>
      </c>
      <c r="E113" s="60">
        <v>248.48070000000001</v>
      </c>
      <c r="F113" s="60">
        <v>10.667</v>
      </c>
      <c r="G113" s="60">
        <v>44.445</v>
      </c>
      <c r="H113" s="60">
        <v>2.8906000000000001</v>
      </c>
    </row>
    <row r="114" spans="1:8" x14ac:dyDescent="0.15">
      <c r="A114" s="60" t="s">
        <v>11</v>
      </c>
      <c r="B114" s="60">
        <v>2500</v>
      </c>
      <c r="C114" s="60">
        <v>24</v>
      </c>
      <c r="D114" s="60">
        <v>0.1245</v>
      </c>
      <c r="E114" s="60">
        <v>250.93</v>
      </c>
      <c r="F114" s="60">
        <v>10.772</v>
      </c>
      <c r="G114" s="60">
        <v>44.883099999999999</v>
      </c>
      <c r="H114" s="60">
        <v>2.8626</v>
      </c>
    </row>
    <row r="115" spans="1:8" x14ac:dyDescent="0.15">
      <c r="A115" s="60" t="s">
        <v>11</v>
      </c>
      <c r="B115" s="60">
        <v>2505</v>
      </c>
      <c r="C115" s="60">
        <v>1</v>
      </c>
      <c r="D115" s="60">
        <v>1.3623000000000001</v>
      </c>
      <c r="E115" s="60">
        <v>23.077500000000001</v>
      </c>
      <c r="F115" s="60">
        <v>1</v>
      </c>
      <c r="G115" s="60">
        <v>100</v>
      </c>
      <c r="H115" s="60">
        <v>1.3608</v>
      </c>
    </row>
    <row r="116" spans="1:8" x14ac:dyDescent="0.15">
      <c r="A116" s="60" t="s">
        <v>11</v>
      </c>
      <c r="B116" s="60">
        <v>2505</v>
      </c>
      <c r="C116" s="60">
        <v>1</v>
      </c>
      <c r="D116" s="60">
        <v>1.3511</v>
      </c>
      <c r="E116" s="60">
        <v>23.2684</v>
      </c>
      <c r="F116" s="60">
        <v>1.008</v>
      </c>
      <c r="G116" s="60">
        <v>100.8272</v>
      </c>
      <c r="H116" s="60">
        <v>1.3498000000000001</v>
      </c>
    </row>
    <row r="117" spans="1:8" x14ac:dyDescent="0.15">
      <c r="A117" s="60" t="s">
        <v>11</v>
      </c>
      <c r="B117" s="60">
        <v>2505</v>
      </c>
      <c r="C117" s="60">
        <v>1</v>
      </c>
      <c r="D117" s="60">
        <v>1.3460000000000001</v>
      </c>
      <c r="E117" s="60">
        <v>23.355799999999999</v>
      </c>
      <c r="F117" s="60">
        <v>1.012</v>
      </c>
      <c r="G117" s="60">
        <v>101.2059</v>
      </c>
      <c r="H117" s="60">
        <v>1.3458000000000001</v>
      </c>
    </row>
    <row r="118" spans="1:8" x14ac:dyDescent="0.15">
      <c r="A118" s="60" t="s">
        <v>11</v>
      </c>
      <c r="B118" s="60">
        <v>2505</v>
      </c>
      <c r="C118" s="60">
        <v>1</v>
      </c>
      <c r="D118" s="60">
        <v>1.3459000000000001</v>
      </c>
      <c r="E118" s="60">
        <v>23.358000000000001</v>
      </c>
      <c r="F118" s="60">
        <v>1.012</v>
      </c>
      <c r="G118" s="60">
        <v>101.21559999999999</v>
      </c>
      <c r="H118" s="60">
        <v>1.3448</v>
      </c>
    </row>
    <row r="119" spans="1:8" x14ac:dyDescent="0.15">
      <c r="A119" s="60" t="s">
        <v>11</v>
      </c>
      <c r="B119" s="60">
        <v>2505</v>
      </c>
      <c r="C119" s="60">
        <v>1</v>
      </c>
      <c r="D119" s="60">
        <v>1.3462000000000001</v>
      </c>
      <c r="E119" s="60">
        <v>23.3535</v>
      </c>
      <c r="F119" s="60">
        <v>1.012</v>
      </c>
      <c r="G119" s="60">
        <v>101.1962</v>
      </c>
      <c r="H119" s="60">
        <v>1.3458000000000001</v>
      </c>
    </row>
    <row r="120" spans="1:8" x14ac:dyDescent="0.15">
      <c r="A120" s="60" t="s">
        <v>11</v>
      </c>
      <c r="B120" s="60">
        <v>2505</v>
      </c>
      <c r="C120" s="60">
        <v>1</v>
      </c>
      <c r="D120" s="60">
        <v>1.3465</v>
      </c>
      <c r="E120" s="60">
        <v>23.348400000000002</v>
      </c>
      <c r="F120" s="60">
        <v>1.012</v>
      </c>
      <c r="G120" s="60">
        <v>101.1739</v>
      </c>
      <c r="H120" s="60">
        <v>1.3458000000000001</v>
      </c>
    </row>
    <row r="121" spans="1:8" x14ac:dyDescent="0.15">
      <c r="A121" s="60" t="s">
        <v>11</v>
      </c>
      <c r="B121" s="60">
        <v>2505</v>
      </c>
      <c r="C121" s="60">
        <v>23</v>
      </c>
      <c r="D121" s="60">
        <v>0.1176</v>
      </c>
      <c r="E121" s="60">
        <v>267.40570000000002</v>
      </c>
      <c r="F121" s="60">
        <v>11.587</v>
      </c>
      <c r="G121" s="60">
        <v>50.379600000000003</v>
      </c>
      <c r="H121" s="60">
        <v>2.6196000000000002</v>
      </c>
    </row>
    <row r="122" spans="1:8" x14ac:dyDescent="0.15">
      <c r="A122" s="60" t="s">
        <v>11</v>
      </c>
      <c r="B122" s="60">
        <v>2505</v>
      </c>
      <c r="C122" s="60">
        <v>23</v>
      </c>
      <c r="D122" s="60">
        <v>7.6799999999999993E-2</v>
      </c>
      <c r="E122" s="60">
        <v>409.43680000000001</v>
      </c>
      <c r="F122" s="60">
        <v>17.742000000000001</v>
      </c>
      <c r="G122" s="60">
        <v>77.138499999999993</v>
      </c>
      <c r="H122" s="60">
        <v>1.7646999999999999</v>
      </c>
    </row>
    <row r="123" spans="1:8" x14ac:dyDescent="0.15">
      <c r="A123" s="60" t="s">
        <v>11</v>
      </c>
      <c r="B123" s="60">
        <v>2505</v>
      </c>
      <c r="C123" s="60">
        <v>23</v>
      </c>
      <c r="D123" s="60">
        <v>7.5200000000000003E-2</v>
      </c>
      <c r="E123" s="60">
        <v>418.1533</v>
      </c>
      <c r="F123" s="60">
        <v>18.12</v>
      </c>
      <c r="G123" s="60">
        <v>78.780699999999996</v>
      </c>
      <c r="H123" s="60">
        <v>1.7286999999999999</v>
      </c>
    </row>
    <row r="124" spans="1:8" x14ac:dyDescent="0.15">
      <c r="A124" s="60" t="s">
        <v>11</v>
      </c>
      <c r="B124" s="60">
        <v>2505</v>
      </c>
      <c r="C124" s="60">
        <v>23</v>
      </c>
      <c r="D124" s="60">
        <v>7.5200000000000003E-2</v>
      </c>
      <c r="E124" s="60">
        <v>418.08479999999997</v>
      </c>
      <c r="F124" s="60">
        <v>18.117000000000001</v>
      </c>
      <c r="G124" s="60">
        <v>78.767799999999994</v>
      </c>
      <c r="H124" s="60">
        <v>1.7286999999999999</v>
      </c>
    </row>
    <row r="125" spans="1:8" x14ac:dyDescent="0.15">
      <c r="A125" s="60" t="s">
        <v>11</v>
      </c>
      <c r="B125" s="60">
        <v>2505</v>
      </c>
      <c r="C125" s="60">
        <v>23</v>
      </c>
      <c r="D125" s="60">
        <v>7.51E-2</v>
      </c>
      <c r="E125" s="60">
        <v>418.69409999999999</v>
      </c>
      <c r="F125" s="60">
        <v>18.143000000000001</v>
      </c>
      <c r="G125" s="60">
        <v>78.882599999999996</v>
      </c>
      <c r="H125" s="60">
        <v>1.7257</v>
      </c>
    </row>
    <row r="126" spans="1:8" x14ac:dyDescent="0.15">
      <c r="A126" s="60" t="s">
        <v>11</v>
      </c>
      <c r="B126" s="60">
        <v>2505</v>
      </c>
      <c r="C126" s="60">
        <v>23</v>
      </c>
      <c r="D126" s="60">
        <v>7.51E-2</v>
      </c>
      <c r="E126" s="60">
        <v>418.82470000000001</v>
      </c>
      <c r="F126" s="60">
        <v>18.149000000000001</v>
      </c>
      <c r="G126" s="60">
        <v>78.907200000000003</v>
      </c>
      <c r="H126" s="60">
        <v>1.7246999999999999</v>
      </c>
    </row>
    <row r="127" spans="1:8" x14ac:dyDescent="0.15">
      <c r="A127" s="60" t="s">
        <v>11</v>
      </c>
      <c r="B127" s="60">
        <v>2505</v>
      </c>
      <c r="C127" s="60">
        <v>23</v>
      </c>
      <c r="D127" s="60">
        <v>7.5300000000000006E-2</v>
      </c>
      <c r="E127" s="60">
        <v>417.31959999999998</v>
      </c>
      <c r="F127" s="60">
        <v>18.082999999999998</v>
      </c>
      <c r="G127" s="60">
        <v>78.623599999999996</v>
      </c>
      <c r="H127" s="60">
        <v>1.7317</v>
      </c>
    </row>
    <row r="128" spans="1:8" x14ac:dyDescent="0.15">
      <c r="A128" s="60" t="s">
        <v>11</v>
      </c>
      <c r="B128" s="60">
        <v>2505</v>
      </c>
      <c r="C128" s="60">
        <v>23</v>
      </c>
      <c r="D128" s="60">
        <v>7.51E-2</v>
      </c>
      <c r="E128" s="60">
        <v>418.39400000000001</v>
      </c>
      <c r="F128" s="60">
        <v>18.13</v>
      </c>
      <c r="G128" s="60">
        <v>78.825999999999993</v>
      </c>
      <c r="H128" s="60">
        <v>1.7266999999999999</v>
      </c>
    </row>
    <row r="129" spans="1:8" x14ac:dyDescent="0.15">
      <c r="A129" s="60" t="s">
        <v>11</v>
      </c>
      <c r="B129" s="60">
        <v>2505</v>
      </c>
      <c r="C129" s="60">
        <v>23</v>
      </c>
      <c r="D129" s="60">
        <v>7.51E-2</v>
      </c>
      <c r="E129" s="60">
        <v>418.4058</v>
      </c>
      <c r="F129" s="60">
        <v>18.13</v>
      </c>
      <c r="G129" s="60">
        <v>78.828299999999999</v>
      </c>
      <c r="H129" s="60">
        <v>1.7277</v>
      </c>
    </row>
    <row r="130" spans="1:8" x14ac:dyDescent="0.15">
      <c r="A130" s="60" t="s">
        <v>11</v>
      </c>
      <c r="B130" s="60">
        <v>2505</v>
      </c>
      <c r="C130" s="60">
        <v>23</v>
      </c>
      <c r="D130" s="60">
        <v>7.5200000000000003E-2</v>
      </c>
      <c r="E130" s="60">
        <v>418.10750000000002</v>
      </c>
      <c r="F130" s="60">
        <v>18.117999999999999</v>
      </c>
      <c r="G130" s="60">
        <v>78.772000000000006</v>
      </c>
      <c r="H130" s="60">
        <v>1.7277</v>
      </c>
    </row>
    <row r="131" spans="1:8" x14ac:dyDescent="0.15">
      <c r="A131" s="60" t="s">
        <v>11</v>
      </c>
      <c r="B131" s="60">
        <v>2505</v>
      </c>
      <c r="C131" s="60">
        <v>23</v>
      </c>
      <c r="D131" s="60">
        <v>7.51E-2</v>
      </c>
      <c r="E131" s="60">
        <v>418.565</v>
      </c>
      <c r="F131" s="60">
        <v>18.137</v>
      </c>
      <c r="G131" s="60">
        <v>78.858199999999997</v>
      </c>
      <c r="H131" s="60">
        <v>1.7266999999999999</v>
      </c>
    </row>
    <row r="132" spans="1:8" x14ac:dyDescent="0.15">
      <c r="A132" s="60" t="s">
        <v>11</v>
      </c>
      <c r="B132" s="60">
        <v>2505</v>
      </c>
      <c r="C132" s="60">
        <v>23</v>
      </c>
      <c r="D132" s="60">
        <v>7.5200000000000003E-2</v>
      </c>
      <c r="E132" s="60">
        <v>417.90570000000002</v>
      </c>
      <c r="F132" s="60">
        <v>18.109000000000002</v>
      </c>
      <c r="G132" s="60">
        <v>78.733999999999995</v>
      </c>
      <c r="H132" s="60">
        <v>1.7297</v>
      </c>
    </row>
    <row r="133" spans="1:8" x14ac:dyDescent="0.15">
      <c r="A133" s="60" t="s">
        <v>11</v>
      </c>
      <c r="B133" s="60">
        <v>2505</v>
      </c>
      <c r="C133" s="60">
        <v>23</v>
      </c>
      <c r="D133" s="60">
        <v>7.51E-2</v>
      </c>
      <c r="E133" s="60">
        <v>418.52140000000003</v>
      </c>
      <c r="F133" s="60">
        <v>18.135999999999999</v>
      </c>
      <c r="G133" s="60">
        <v>78.849999999999994</v>
      </c>
      <c r="H133" s="60">
        <v>1.7257</v>
      </c>
    </row>
    <row r="134" spans="1:8" x14ac:dyDescent="0.15">
      <c r="A134" s="60" t="s">
        <v>11</v>
      </c>
      <c r="B134" s="60">
        <v>2505</v>
      </c>
      <c r="C134" s="60">
        <v>23</v>
      </c>
      <c r="D134" s="60">
        <v>7.5300000000000006E-2</v>
      </c>
      <c r="E134" s="60">
        <v>417.5745</v>
      </c>
      <c r="F134" s="60">
        <v>18.094000000000001</v>
      </c>
      <c r="G134" s="60">
        <v>78.671599999999998</v>
      </c>
      <c r="H134" s="60">
        <v>1.7297</v>
      </c>
    </row>
    <row r="135" spans="1:8" x14ac:dyDescent="0.15">
      <c r="A135" s="60" t="s">
        <v>11</v>
      </c>
      <c r="B135" s="60">
        <v>2505</v>
      </c>
      <c r="C135" s="60">
        <v>23</v>
      </c>
      <c r="D135" s="60">
        <v>7.5200000000000003E-2</v>
      </c>
      <c r="E135" s="60">
        <v>418.29680000000002</v>
      </c>
      <c r="F135" s="60">
        <v>18.126000000000001</v>
      </c>
      <c r="G135" s="60">
        <v>78.807699999999997</v>
      </c>
      <c r="H135" s="60">
        <v>1.7277</v>
      </c>
    </row>
    <row r="136" spans="1:8" x14ac:dyDescent="0.15">
      <c r="A136" s="60" t="s">
        <v>11</v>
      </c>
      <c r="B136" s="60">
        <v>2505</v>
      </c>
      <c r="C136" s="60">
        <v>23</v>
      </c>
      <c r="D136" s="60">
        <v>7.5200000000000003E-2</v>
      </c>
      <c r="E136" s="60">
        <v>417.93439999999998</v>
      </c>
      <c r="F136" s="60">
        <v>18.11</v>
      </c>
      <c r="G136" s="60">
        <v>78.739400000000003</v>
      </c>
      <c r="H136" s="60">
        <v>1.7286999999999999</v>
      </c>
    </row>
    <row r="137" spans="1:8" x14ac:dyDescent="0.15">
      <c r="A137" s="60" t="s">
        <v>11</v>
      </c>
      <c r="B137" s="60">
        <v>2505</v>
      </c>
      <c r="C137" s="60">
        <v>23</v>
      </c>
      <c r="D137" s="60">
        <v>7.5399999999999995E-2</v>
      </c>
      <c r="E137" s="60">
        <v>417.03230000000002</v>
      </c>
      <c r="F137" s="60">
        <v>18.071000000000002</v>
      </c>
      <c r="G137" s="60">
        <v>78.569500000000005</v>
      </c>
      <c r="H137" s="60">
        <v>1.7326999999999999</v>
      </c>
    </row>
    <row r="138" spans="1:8" x14ac:dyDescent="0.15">
      <c r="A138" s="60" t="s">
        <v>11</v>
      </c>
      <c r="B138" s="60">
        <v>2505</v>
      </c>
      <c r="C138" s="60">
        <v>23</v>
      </c>
      <c r="D138" s="60">
        <v>7.5300000000000006E-2</v>
      </c>
      <c r="E138" s="60">
        <v>417.29430000000002</v>
      </c>
      <c r="F138" s="60">
        <v>18.082000000000001</v>
      </c>
      <c r="G138" s="60">
        <v>78.618799999999993</v>
      </c>
      <c r="H138" s="60">
        <v>1.7306999999999999</v>
      </c>
    </row>
    <row r="139" spans="1:8" x14ac:dyDescent="0.15">
      <c r="A139" s="60" t="s">
        <v>11</v>
      </c>
      <c r="B139" s="60">
        <v>2505</v>
      </c>
      <c r="C139" s="60">
        <v>23</v>
      </c>
      <c r="D139" s="60">
        <v>7.5200000000000003E-2</v>
      </c>
      <c r="E139" s="60">
        <v>417.88290000000001</v>
      </c>
      <c r="F139" s="60">
        <v>18.108000000000001</v>
      </c>
      <c r="G139" s="60">
        <v>78.729699999999994</v>
      </c>
      <c r="H139" s="60">
        <v>1.7286999999999999</v>
      </c>
    </row>
    <row r="140" spans="1:8" x14ac:dyDescent="0.15">
      <c r="A140" s="60" t="s">
        <v>11</v>
      </c>
      <c r="B140" s="60">
        <v>2505</v>
      </c>
      <c r="C140" s="60">
        <v>23</v>
      </c>
      <c r="D140" s="60">
        <v>7.5200000000000003E-2</v>
      </c>
      <c r="E140" s="60">
        <v>417.99369999999999</v>
      </c>
      <c r="F140" s="60">
        <v>18.113</v>
      </c>
      <c r="G140" s="60">
        <v>78.750600000000006</v>
      </c>
      <c r="H140" s="60">
        <v>1.7286999999999999</v>
      </c>
    </row>
    <row r="141" spans="1:8" x14ac:dyDescent="0.15">
      <c r="A141" s="60" t="s">
        <v>11</v>
      </c>
      <c r="B141" s="60">
        <v>2505</v>
      </c>
      <c r="C141" s="60">
        <v>23</v>
      </c>
      <c r="D141" s="60">
        <v>7.5300000000000006E-2</v>
      </c>
      <c r="E141" s="60">
        <v>417.41489999999999</v>
      </c>
      <c r="F141" s="60">
        <v>18.088000000000001</v>
      </c>
      <c r="G141" s="60">
        <v>78.641599999999997</v>
      </c>
      <c r="H141" s="60">
        <v>1.7317</v>
      </c>
    </row>
    <row r="142" spans="1:8" x14ac:dyDescent="0.15">
      <c r="A142" s="60" t="s">
        <v>11</v>
      </c>
      <c r="B142" s="60">
        <v>2505</v>
      </c>
      <c r="C142" s="60">
        <v>23</v>
      </c>
      <c r="D142" s="60">
        <v>7.5200000000000003E-2</v>
      </c>
      <c r="E142" s="60">
        <v>418.17630000000003</v>
      </c>
      <c r="F142" s="60">
        <v>18.120999999999999</v>
      </c>
      <c r="G142" s="60">
        <v>78.784999999999997</v>
      </c>
      <c r="H142" s="60">
        <v>1.7277</v>
      </c>
    </row>
    <row r="143" spans="1:8" x14ac:dyDescent="0.15">
      <c r="A143" s="60" t="s">
        <v>11</v>
      </c>
      <c r="B143" s="60">
        <v>2505</v>
      </c>
      <c r="C143" s="60">
        <v>23</v>
      </c>
      <c r="D143" s="60">
        <v>7.9100000000000004E-2</v>
      </c>
      <c r="E143" s="60">
        <v>397.5634</v>
      </c>
      <c r="F143" s="60">
        <v>17.227</v>
      </c>
      <c r="G143" s="60">
        <v>74.901499999999999</v>
      </c>
      <c r="H143" s="60">
        <v>1.8177000000000001</v>
      </c>
    </row>
    <row r="144" spans="1:8" x14ac:dyDescent="0.15">
      <c r="A144" s="60" t="s">
        <v>11</v>
      </c>
      <c r="B144" s="60">
        <v>2505</v>
      </c>
      <c r="C144" s="60">
        <v>23</v>
      </c>
      <c r="D144" s="60">
        <v>8.1900000000000001E-2</v>
      </c>
      <c r="E144" s="60">
        <v>383.89879999999999</v>
      </c>
      <c r="F144" s="60">
        <v>16.635000000000002</v>
      </c>
      <c r="G144" s="60">
        <v>72.327100000000002</v>
      </c>
      <c r="H144" s="60">
        <v>1.8816999999999999</v>
      </c>
    </row>
    <row r="145" spans="1:8" x14ac:dyDescent="0.15">
      <c r="A145" s="60" t="s">
        <v>11</v>
      </c>
      <c r="B145" s="60">
        <v>2505</v>
      </c>
      <c r="C145" s="60">
        <v>23</v>
      </c>
      <c r="D145" s="60">
        <v>8.1699999999999995E-2</v>
      </c>
      <c r="E145" s="60">
        <v>385.00689999999997</v>
      </c>
      <c r="F145" s="60">
        <v>16.683</v>
      </c>
      <c r="G145" s="60">
        <v>72.535799999999995</v>
      </c>
      <c r="H145" s="60">
        <v>1.8767</v>
      </c>
    </row>
    <row r="146" spans="1:8" x14ac:dyDescent="0.15">
      <c r="A146" s="60" t="s">
        <v>11</v>
      </c>
      <c r="B146" s="60">
        <v>2505</v>
      </c>
      <c r="C146" s="60">
        <v>23</v>
      </c>
      <c r="D146" s="60">
        <v>8.14E-2</v>
      </c>
      <c r="E146" s="60">
        <v>386.28800000000001</v>
      </c>
      <c r="F146" s="60">
        <v>16.739000000000001</v>
      </c>
      <c r="G146" s="60">
        <v>72.777199999999993</v>
      </c>
      <c r="H146" s="60">
        <v>1.8707</v>
      </c>
    </row>
    <row r="147" spans="1:8" x14ac:dyDescent="0.15">
      <c r="A147" s="60" t="s">
        <v>11</v>
      </c>
      <c r="B147" s="60">
        <v>2505</v>
      </c>
      <c r="C147" s="60">
        <v>23</v>
      </c>
      <c r="D147" s="60">
        <v>8.14E-2</v>
      </c>
      <c r="E147" s="60">
        <v>386.32150000000001</v>
      </c>
      <c r="F147" s="60">
        <v>16.739999999999998</v>
      </c>
      <c r="G147" s="60">
        <v>72.783500000000004</v>
      </c>
      <c r="H147" s="60">
        <v>1.8707</v>
      </c>
    </row>
    <row r="148" spans="1:8" x14ac:dyDescent="0.15">
      <c r="A148" s="60" t="s">
        <v>11</v>
      </c>
      <c r="B148" s="60">
        <v>2505</v>
      </c>
      <c r="C148" s="60">
        <v>23</v>
      </c>
      <c r="D148" s="60">
        <v>8.1299999999999997E-2</v>
      </c>
      <c r="E148" s="60">
        <v>386.79300000000001</v>
      </c>
      <c r="F148" s="60">
        <v>16.760999999999999</v>
      </c>
      <c r="G148" s="60">
        <v>72.872399999999999</v>
      </c>
      <c r="H148" s="60">
        <v>1.8676999999999999</v>
      </c>
    </row>
    <row r="149" spans="1:8" x14ac:dyDescent="0.15">
      <c r="A149" s="60" t="s">
        <v>11</v>
      </c>
      <c r="B149" s="60">
        <v>2505</v>
      </c>
      <c r="C149" s="60">
        <v>23</v>
      </c>
      <c r="D149" s="60">
        <v>8.1299999999999997E-2</v>
      </c>
      <c r="E149" s="60">
        <v>386.9008</v>
      </c>
      <c r="F149" s="60">
        <v>16.765000000000001</v>
      </c>
      <c r="G149" s="60">
        <v>72.892700000000005</v>
      </c>
      <c r="H149" s="60">
        <v>1.8676999999999999</v>
      </c>
    </row>
    <row r="150" spans="1:8" x14ac:dyDescent="0.15">
      <c r="A150" s="60" t="s">
        <v>11</v>
      </c>
      <c r="B150" s="60">
        <v>2505</v>
      </c>
      <c r="C150" s="60">
        <v>23</v>
      </c>
      <c r="D150" s="60">
        <v>8.14E-2</v>
      </c>
      <c r="E150" s="60">
        <v>386.37400000000002</v>
      </c>
      <c r="F150" s="60">
        <v>16.742000000000001</v>
      </c>
      <c r="G150" s="60">
        <v>72.793400000000005</v>
      </c>
      <c r="H150" s="60">
        <v>1.8707</v>
      </c>
    </row>
    <row r="151" spans="1:8" x14ac:dyDescent="0.15">
      <c r="A151" s="60" t="s">
        <v>11</v>
      </c>
      <c r="B151" s="60">
        <v>2505</v>
      </c>
      <c r="C151" s="60">
        <v>23</v>
      </c>
      <c r="D151" s="60">
        <v>8.1299999999999997E-2</v>
      </c>
      <c r="E151" s="60">
        <v>386.49299999999999</v>
      </c>
      <c r="F151" s="60">
        <v>16.748000000000001</v>
      </c>
      <c r="G151" s="60">
        <v>72.815799999999996</v>
      </c>
      <c r="H151" s="60">
        <v>1.8696999999999999</v>
      </c>
    </row>
    <row r="152" spans="1:8" x14ac:dyDescent="0.15">
      <c r="A152" s="60" t="s">
        <v>11</v>
      </c>
      <c r="B152" s="60">
        <v>2505</v>
      </c>
      <c r="C152" s="60">
        <v>23</v>
      </c>
      <c r="D152" s="60">
        <v>8.1500000000000003E-2</v>
      </c>
      <c r="E152" s="60">
        <v>385.79719999999998</v>
      </c>
      <c r="F152" s="60">
        <v>16.716999999999999</v>
      </c>
      <c r="G152" s="60">
        <v>72.684700000000007</v>
      </c>
      <c r="H152" s="60">
        <v>1.8727</v>
      </c>
    </row>
    <row r="153" spans="1:8" x14ac:dyDescent="0.15">
      <c r="A153" s="60" t="s">
        <v>11</v>
      </c>
      <c r="B153" s="60">
        <v>2505</v>
      </c>
      <c r="C153" s="60">
        <v>23</v>
      </c>
      <c r="D153" s="60">
        <v>8.1699999999999995E-2</v>
      </c>
      <c r="E153" s="60">
        <v>384.78339999999997</v>
      </c>
      <c r="F153" s="60">
        <v>16.673999999999999</v>
      </c>
      <c r="G153" s="60">
        <v>72.493700000000004</v>
      </c>
      <c r="H153" s="60">
        <v>1.8776999999999999</v>
      </c>
    </row>
    <row r="154" spans="1:8" x14ac:dyDescent="0.15">
      <c r="A154" s="60" t="s">
        <v>11</v>
      </c>
      <c r="B154" s="60">
        <v>2505</v>
      </c>
      <c r="C154" s="60">
        <v>23</v>
      </c>
      <c r="D154" s="60">
        <v>8.1699999999999995E-2</v>
      </c>
      <c r="E154" s="60">
        <v>384.84550000000002</v>
      </c>
      <c r="F154" s="60">
        <v>16.675999999999998</v>
      </c>
      <c r="G154" s="60">
        <v>72.505399999999995</v>
      </c>
      <c r="H154" s="60">
        <v>1.8776999999999999</v>
      </c>
    </row>
    <row r="155" spans="1:8" x14ac:dyDescent="0.15">
      <c r="A155" s="60" t="s">
        <v>11</v>
      </c>
      <c r="B155" s="60">
        <v>2505</v>
      </c>
      <c r="C155" s="60">
        <v>23</v>
      </c>
      <c r="D155" s="60">
        <v>8.1600000000000006E-2</v>
      </c>
      <c r="E155" s="60">
        <v>385.39269999999999</v>
      </c>
      <c r="F155" s="60">
        <v>16.7</v>
      </c>
      <c r="G155" s="60">
        <v>72.608500000000006</v>
      </c>
      <c r="H155" s="60">
        <v>1.8756999999999999</v>
      </c>
    </row>
    <row r="156" spans="1:8" x14ac:dyDescent="0.15">
      <c r="A156" s="60" t="s">
        <v>11</v>
      </c>
      <c r="B156" s="60">
        <v>2505</v>
      </c>
      <c r="C156" s="60">
        <v>23</v>
      </c>
      <c r="D156" s="60">
        <v>8.1699999999999995E-2</v>
      </c>
      <c r="E156" s="60">
        <v>385.03019999999998</v>
      </c>
      <c r="F156" s="60">
        <v>16.684000000000001</v>
      </c>
      <c r="G156" s="60">
        <v>72.540199999999999</v>
      </c>
      <c r="H156" s="60">
        <v>1.8767</v>
      </c>
    </row>
    <row r="157" spans="1:8" x14ac:dyDescent="0.15">
      <c r="A157" s="60" t="s">
        <v>11</v>
      </c>
      <c r="B157" s="60">
        <v>2505</v>
      </c>
      <c r="C157" s="60">
        <v>23</v>
      </c>
      <c r="D157" s="60">
        <v>8.1500000000000003E-2</v>
      </c>
      <c r="E157" s="60">
        <v>385.57619999999997</v>
      </c>
      <c r="F157" s="60">
        <v>16.707999999999998</v>
      </c>
      <c r="G157" s="60">
        <v>72.643100000000004</v>
      </c>
      <c r="H157" s="60">
        <v>1.8736999999999999</v>
      </c>
    </row>
    <row r="158" spans="1:8" x14ac:dyDescent="0.15">
      <c r="A158" s="60" t="s">
        <v>11</v>
      </c>
      <c r="B158" s="60">
        <v>2505</v>
      </c>
      <c r="C158" s="60">
        <v>23</v>
      </c>
      <c r="D158" s="60">
        <v>8.1100000000000005E-2</v>
      </c>
      <c r="E158" s="60">
        <v>387.50709999999998</v>
      </c>
      <c r="F158" s="60">
        <v>16.792000000000002</v>
      </c>
      <c r="G158" s="60">
        <v>73.006900000000002</v>
      </c>
      <c r="H158" s="60">
        <v>1.8656999999999999</v>
      </c>
    </row>
    <row r="159" spans="1:8" x14ac:dyDescent="0.15">
      <c r="A159" s="60" t="s">
        <v>11</v>
      </c>
      <c r="B159" s="60">
        <v>2505</v>
      </c>
      <c r="C159" s="60">
        <v>23</v>
      </c>
      <c r="D159" s="60">
        <v>8.09E-2</v>
      </c>
      <c r="E159" s="60">
        <v>388.65499999999997</v>
      </c>
      <c r="F159" s="60">
        <v>16.841000000000001</v>
      </c>
      <c r="G159" s="60">
        <v>73.223200000000006</v>
      </c>
      <c r="H159" s="60">
        <v>1.8587</v>
      </c>
    </row>
    <row r="160" spans="1:8" x14ac:dyDescent="0.15">
      <c r="A160" s="60" t="s">
        <v>11</v>
      </c>
      <c r="B160" s="60">
        <v>2505</v>
      </c>
      <c r="C160" s="60">
        <v>23</v>
      </c>
      <c r="D160" s="60">
        <v>8.0799999999999997E-2</v>
      </c>
      <c r="E160" s="60">
        <v>388.8784</v>
      </c>
      <c r="F160" s="60">
        <v>16.850999999999999</v>
      </c>
      <c r="G160" s="60">
        <v>73.265299999999996</v>
      </c>
      <c r="H160" s="60">
        <v>1.8587</v>
      </c>
    </row>
    <row r="161" spans="1:8" x14ac:dyDescent="0.15">
      <c r="A161" s="60" t="s">
        <v>11</v>
      </c>
      <c r="B161" s="60">
        <v>2505</v>
      </c>
      <c r="C161" s="60">
        <v>23</v>
      </c>
      <c r="D161" s="60">
        <v>8.1900000000000001E-2</v>
      </c>
      <c r="E161" s="60">
        <v>384.02390000000003</v>
      </c>
      <c r="F161" s="60">
        <v>16.640999999999998</v>
      </c>
      <c r="G161" s="60">
        <v>72.350700000000003</v>
      </c>
      <c r="H161" s="60">
        <v>1.8796999999999999</v>
      </c>
    </row>
    <row r="162" spans="1:8" x14ac:dyDescent="0.15">
      <c r="A162" s="60" t="s">
        <v>11</v>
      </c>
      <c r="B162" s="60">
        <v>2505</v>
      </c>
      <c r="C162" s="60">
        <v>23</v>
      </c>
      <c r="D162" s="60">
        <v>8.0799999999999997E-2</v>
      </c>
      <c r="E162" s="60">
        <v>389.1628</v>
      </c>
      <c r="F162" s="60">
        <v>16.863</v>
      </c>
      <c r="G162" s="60">
        <v>73.318799999999996</v>
      </c>
      <c r="H162" s="60">
        <v>1.8567</v>
      </c>
    </row>
    <row r="163" spans="1:8" x14ac:dyDescent="0.15">
      <c r="A163" s="60" t="s">
        <v>11</v>
      </c>
      <c r="B163" s="60">
        <v>2505</v>
      </c>
      <c r="C163" s="60">
        <v>23</v>
      </c>
      <c r="D163" s="60">
        <v>8.0799999999999997E-2</v>
      </c>
      <c r="E163" s="60">
        <v>389.23160000000001</v>
      </c>
      <c r="F163" s="60">
        <v>16.866</v>
      </c>
      <c r="G163" s="60">
        <v>73.331800000000001</v>
      </c>
      <c r="H163" s="60">
        <v>1.8567</v>
      </c>
    </row>
    <row r="164" spans="1:8" x14ac:dyDescent="0.15">
      <c r="A164" s="60" t="s">
        <v>11</v>
      </c>
      <c r="B164" s="60">
        <v>2505</v>
      </c>
      <c r="C164" s="60">
        <v>23</v>
      </c>
      <c r="D164" s="60">
        <v>8.1000000000000003E-2</v>
      </c>
      <c r="E164" s="60">
        <v>388.19900000000001</v>
      </c>
      <c r="F164" s="60">
        <v>16.821999999999999</v>
      </c>
      <c r="G164" s="60">
        <v>73.137200000000007</v>
      </c>
      <c r="H164" s="60">
        <v>1.8607</v>
      </c>
    </row>
    <row r="165" spans="1:8" x14ac:dyDescent="0.15">
      <c r="A165" s="60" t="s">
        <v>11</v>
      </c>
      <c r="B165" s="60">
        <v>2505</v>
      </c>
      <c r="C165" s="60">
        <v>23</v>
      </c>
      <c r="D165" s="60">
        <v>8.09E-2</v>
      </c>
      <c r="E165" s="60">
        <v>388.53469999999999</v>
      </c>
      <c r="F165" s="60">
        <v>16.835999999999999</v>
      </c>
      <c r="G165" s="60">
        <v>73.200500000000005</v>
      </c>
      <c r="H165" s="60">
        <v>1.8607</v>
      </c>
    </row>
    <row r="166" spans="1:8" x14ac:dyDescent="0.15">
      <c r="A166" s="60" t="s">
        <v>11</v>
      </c>
      <c r="B166" s="60">
        <v>2505</v>
      </c>
      <c r="C166" s="60">
        <v>23</v>
      </c>
      <c r="D166" s="60">
        <v>8.1000000000000003E-2</v>
      </c>
      <c r="E166" s="60">
        <v>388.21379999999999</v>
      </c>
      <c r="F166" s="60">
        <v>16.821999999999999</v>
      </c>
      <c r="G166" s="60">
        <v>73.14</v>
      </c>
      <c r="H166" s="60">
        <v>1.8607</v>
      </c>
    </row>
    <row r="167" spans="1:8" x14ac:dyDescent="0.15">
      <c r="A167" s="60" t="s">
        <v>11</v>
      </c>
      <c r="B167" s="60">
        <v>2505</v>
      </c>
      <c r="C167" s="60">
        <v>23</v>
      </c>
      <c r="D167" s="60">
        <v>8.1000000000000003E-2</v>
      </c>
      <c r="E167" s="60">
        <v>388.22859999999997</v>
      </c>
      <c r="F167" s="60">
        <v>16.823</v>
      </c>
      <c r="G167" s="60">
        <v>73.142799999999994</v>
      </c>
      <c r="H167" s="60">
        <v>1.8616999999999999</v>
      </c>
    </row>
    <row r="168" spans="1:8" x14ac:dyDescent="0.15">
      <c r="A168" s="60" t="s">
        <v>11</v>
      </c>
      <c r="B168" s="60">
        <v>2505</v>
      </c>
      <c r="C168" s="60">
        <v>23</v>
      </c>
      <c r="D168" s="60">
        <v>8.1000000000000003E-2</v>
      </c>
      <c r="E168" s="60">
        <v>388.30509999999998</v>
      </c>
      <c r="F168" s="60">
        <v>16.826000000000001</v>
      </c>
      <c r="G168" s="60">
        <v>73.157200000000003</v>
      </c>
      <c r="H168" s="60">
        <v>1.8607</v>
      </c>
    </row>
    <row r="169" spans="1:8" x14ac:dyDescent="0.15">
      <c r="A169" s="60" t="s">
        <v>11</v>
      </c>
      <c r="B169" s="60">
        <v>2505</v>
      </c>
      <c r="C169" s="60">
        <v>23</v>
      </c>
      <c r="D169" s="60">
        <v>8.0699999999999994E-2</v>
      </c>
      <c r="E169" s="60">
        <v>389.47550000000001</v>
      </c>
      <c r="F169" s="60">
        <v>16.876999999999999</v>
      </c>
      <c r="G169" s="60">
        <v>73.377700000000004</v>
      </c>
      <c r="H169" s="60">
        <v>1.8556999999999999</v>
      </c>
    </row>
    <row r="170" spans="1:8" x14ac:dyDescent="0.15">
      <c r="A170" s="60" t="s">
        <v>11</v>
      </c>
      <c r="B170" s="60">
        <v>2505</v>
      </c>
      <c r="C170" s="60">
        <v>23</v>
      </c>
      <c r="D170" s="60">
        <v>8.09E-2</v>
      </c>
      <c r="E170" s="60">
        <v>388.4615</v>
      </c>
      <c r="F170" s="60">
        <v>16.832999999999998</v>
      </c>
      <c r="G170" s="60">
        <v>73.186700000000002</v>
      </c>
      <c r="H170" s="60">
        <v>1.8607</v>
      </c>
    </row>
    <row r="171" spans="1:8" x14ac:dyDescent="0.15">
      <c r="A171" s="60" t="s">
        <v>11</v>
      </c>
      <c r="B171" s="60">
        <v>2505</v>
      </c>
      <c r="C171" s="60">
        <v>23</v>
      </c>
      <c r="D171" s="60">
        <v>8.1000000000000003E-2</v>
      </c>
      <c r="E171" s="60">
        <v>388.04660000000001</v>
      </c>
      <c r="F171" s="60">
        <v>16.815000000000001</v>
      </c>
      <c r="G171" s="60">
        <v>73.108500000000006</v>
      </c>
      <c r="H171" s="60">
        <v>1.8616999999999999</v>
      </c>
    </row>
    <row r="172" spans="1:8" x14ac:dyDescent="0.15">
      <c r="A172" s="60" t="s">
        <v>11</v>
      </c>
      <c r="B172" s="60">
        <v>2505</v>
      </c>
      <c r="C172" s="60">
        <v>24</v>
      </c>
      <c r="D172" s="60">
        <v>8.3099999999999993E-2</v>
      </c>
      <c r="E172" s="60">
        <v>378.16419999999999</v>
      </c>
      <c r="F172" s="60">
        <v>16.387</v>
      </c>
      <c r="G172" s="60">
        <v>68.278099999999995</v>
      </c>
      <c r="H172" s="60">
        <v>1.9937</v>
      </c>
    </row>
    <row r="173" spans="1:8" x14ac:dyDescent="0.15">
      <c r="A173" s="60" t="s">
        <v>11</v>
      </c>
      <c r="B173" s="60">
        <v>2505</v>
      </c>
      <c r="C173" s="60">
        <v>24</v>
      </c>
      <c r="D173" s="60">
        <v>7.4499999999999997E-2</v>
      </c>
      <c r="E173" s="60">
        <v>422.14749999999998</v>
      </c>
      <c r="F173" s="60">
        <v>18.292999999999999</v>
      </c>
      <c r="G173" s="60">
        <v>76.219300000000004</v>
      </c>
      <c r="H173" s="60">
        <v>1.7867</v>
      </c>
    </row>
    <row r="174" spans="1:8" x14ac:dyDescent="0.15">
      <c r="A174" s="60" t="s">
        <v>11</v>
      </c>
      <c r="B174" s="60">
        <v>2505</v>
      </c>
      <c r="C174" s="60">
        <v>24</v>
      </c>
      <c r="D174" s="60">
        <v>7.4099999999999999E-2</v>
      </c>
      <c r="E174" s="60">
        <v>424.3655</v>
      </c>
      <c r="F174" s="60">
        <v>18.388999999999999</v>
      </c>
      <c r="G174" s="60">
        <v>76.619799999999998</v>
      </c>
      <c r="H174" s="60">
        <v>1.7757000000000001</v>
      </c>
    </row>
    <row r="175" spans="1:8" x14ac:dyDescent="0.15">
      <c r="A175" s="60" t="s">
        <v>11</v>
      </c>
      <c r="B175" s="60">
        <v>2505</v>
      </c>
      <c r="C175" s="60">
        <v>24</v>
      </c>
      <c r="D175" s="60">
        <v>7.4200000000000002E-2</v>
      </c>
      <c r="E175" s="60">
        <v>423.62040000000002</v>
      </c>
      <c r="F175" s="60">
        <v>18.356000000000002</v>
      </c>
      <c r="G175" s="60">
        <v>76.485299999999995</v>
      </c>
      <c r="H175" s="60">
        <v>1.7797000000000001</v>
      </c>
    </row>
    <row r="176" spans="1:8" x14ac:dyDescent="0.15">
      <c r="A176" s="60" t="s">
        <v>11</v>
      </c>
      <c r="B176" s="60">
        <v>2505</v>
      </c>
      <c r="C176" s="60">
        <v>24</v>
      </c>
      <c r="D176" s="60">
        <v>7.4399999999999994E-2</v>
      </c>
      <c r="E176" s="60">
        <v>422.31659999999999</v>
      </c>
      <c r="F176" s="60">
        <v>18.3</v>
      </c>
      <c r="G176" s="60">
        <v>76.249799999999993</v>
      </c>
      <c r="H176" s="60">
        <v>1.7847</v>
      </c>
    </row>
    <row r="177" spans="1:8" x14ac:dyDescent="0.15">
      <c r="A177" s="60" t="s">
        <v>11</v>
      </c>
      <c r="B177" s="60">
        <v>2505</v>
      </c>
      <c r="C177" s="60">
        <v>24</v>
      </c>
      <c r="D177" s="60">
        <v>7.3700000000000002E-2</v>
      </c>
      <c r="E177" s="60">
        <v>426.38150000000002</v>
      </c>
      <c r="F177" s="60">
        <v>18.475999999999999</v>
      </c>
      <c r="G177" s="60">
        <v>76.983800000000002</v>
      </c>
      <c r="H177" s="60">
        <v>1.7666999999999999</v>
      </c>
    </row>
    <row r="178" spans="1:8" x14ac:dyDescent="0.15">
      <c r="A178" s="60" t="s">
        <v>11</v>
      </c>
      <c r="B178" s="60">
        <v>2505</v>
      </c>
      <c r="C178" s="60">
        <v>24</v>
      </c>
      <c r="D178" s="60">
        <v>7.4499999999999997E-2</v>
      </c>
      <c r="E178" s="60">
        <v>422.1857</v>
      </c>
      <c r="F178" s="60">
        <v>18.294</v>
      </c>
      <c r="G178" s="60">
        <v>76.226200000000006</v>
      </c>
      <c r="H178" s="60">
        <v>1.7857000000000001</v>
      </c>
    </row>
    <row r="179" spans="1:8" x14ac:dyDescent="0.15">
      <c r="A179" s="60" t="s">
        <v>11</v>
      </c>
      <c r="B179" s="60">
        <v>2505</v>
      </c>
      <c r="C179" s="60">
        <v>24</v>
      </c>
      <c r="D179" s="60">
        <v>7.4399999999999994E-2</v>
      </c>
      <c r="E179" s="60">
        <v>422.80669999999998</v>
      </c>
      <c r="F179" s="60">
        <v>18.321000000000002</v>
      </c>
      <c r="G179" s="60">
        <v>76.338300000000004</v>
      </c>
      <c r="H179" s="60">
        <v>1.7837000000000001</v>
      </c>
    </row>
    <row r="180" spans="1:8" x14ac:dyDescent="0.15">
      <c r="A180" s="60" t="s">
        <v>11</v>
      </c>
      <c r="B180" s="60">
        <v>2505</v>
      </c>
      <c r="C180" s="60">
        <v>24</v>
      </c>
      <c r="D180" s="60">
        <v>7.46E-2</v>
      </c>
      <c r="E180" s="60">
        <v>421.18920000000003</v>
      </c>
      <c r="F180" s="60">
        <v>18.251000000000001</v>
      </c>
      <c r="G180" s="60">
        <v>76.046300000000002</v>
      </c>
      <c r="H180" s="60">
        <v>1.7907</v>
      </c>
    </row>
    <row r="181" spans="1:8" x14ac:dyDescent="0.15">
      <c r="A181" s="60" t="s">
        <v>11</v>
      </c>
      <c r="B181" s="60">
        <v>2505</v>
      </c>
      <c r="C181" s="60">
        <v>24</v>
      </c>
      <c r="D181" s="60">
        <v>7.46E-2</v>
      </c>
      <c r="E181" s="60">
        <v>421.18490000000003</v>
      </c>
      <c r="F181" s="60">
        <v>18.251000000000001</v>
      </c>
      <c r="G181" s="60">
        <v>76.045500000000004</v>
      </c>
      <c r="H181" s="60">
        <v>1.7897000000000001</v>
      </c>
    </row>
    <row r="182" spans="1:8" x14ac:dyDescent="0.15">
      <c r="A182" s="60" t="s">
        <v>11</v>
      </c>
      <c r="B182" s="60">
        <v>2505</v>
      </c>
      <c r="C182" s="60">
        <v>24</v>
      </c>
      <c r="D182" s="60">
        <v>7.4300000000000005E-2</v>
      </c>
      <c r="E182" s="60">
        <v>423.30169999999998</v>
      </c>
      <c r="F182" s="60">
        <v>18.343</v>
      </c>
      <c r="G182" s="60">
        <v>76.427700000000002</v>
      </c>
      <c r="H182" s="60">
        <v>1.7806999999999999</v>
      </c>
    </row>
    <row r="183" spans="1:8" x14ac:dyDescent="0.15">
      <c r="A183" s="60" t="s">
        <v>11</v>
      </c>
      <c r="B183" s="60">
        <v>2505</v>
      </c>
      <c r="C183" s="60">
        <v>24</v>
      </c>
      <c r="D183" s="60">
        <v>7.4200000000000002E-2</v>
      </c>
      <c r="E183" s="60">
        <v>423.69229999999999</v>
      </c>
      <c r="F183" s="60">
        <v>18.36</v>
      </c>
      <c r="G183" s="60">
        <v>76.498199999999997</v>
      </c>
      <c r="H183" s="60">
        <v>1.7786999999999999</v>
      </c>
    </row>
    <row r="184" spans="1:8" x14ac:dyDescent="0.15">
      <c r="A184" s="60" t="s">
        <v>11</v>
      </c>
      <c r="B184" s="60">
        <v>2505</v>
      </c>
      <c r="C184" s="60">
        <v>24</v>
      </c>
      <c r="D184" s="60">
        <v>7.4399999999999994E-2</v>
      </c>
      <c r="E184" s="60">
        <v>422.291</v>
      </c>
      <c r="F184" s="60">
        <v>18.298999999999999</v>
      </c>
      <c r="G184" s="60">
        <v>76.245199999999997</v>
      </c>
      <c r="H184" s="60">
        <v>1.7837000000000001</v>
      </c>
    </row>
    <row r="185" spans="1:8" x14ac:dyDescent="0.15">
      <c r="A185" s="60" t="s">
        <v>11</v>
      </c>
      <c r="B185" s="60">
        <v>2505</v>
      </c>
      <c r="C185" s="60">
        <v>24</v>
      </c>
      <c r="D185" s="60">
        <v>7.46E-2</v>
      </c>
      <c r="E185" s="60">
        <v>421.45580000000001</v>
      </c>
      <c r="F185" s="60">
        <v>18.263000000000002</v>
      </c>
      <c r="G185" s="60">
        <v>76.094399999999993</v>
      </c>
      <c r="H185" s="60">
        <v>1.7907</v>
      </c>
    </row>
    <row r="186" spans="1:8" x14ac:dyDescent="0.15">
      <c r="A186" s="60" t="s">
        <v>11</v>
      </c>
      <c r="B186" s="60">
        <v>2505</v>
      </c>
      <c r="C186" s="60">
        <v>24</v>
      </c>
      <c r="D186" s="60">
        <v>7.4099999999999999E-2</v>
      </c>
      <c r="E186" s="60">
        <v>424.47370000000001</v>
      </c>
      <c r="F186" s="60">
        <v>18.393000000000001</v>
      </c>
      <c r="G186" s="60">
        <v>76.639300000000006</v>
      </c>
      <c r="H186" s="60">
        <v>1.7757000000000001</v>
      </c>
    </row>
    <row r="187" spans="1:8" x14ac:dyDescent="0.15">
      <c r="A187" s="60" t="s">
        <v>11</v>
      </c>
      <c r="B187" s="60">
        <v>2505</v>
      </c>
      <c r="C187" s="60">
        <v>24</v>
      </c>
      <c r="D187" s="60">
        <v>7.4399999999999994E-2</v>
      </c>
      <c r="E187" s="60">
        <v>422.65839999999997</v>
      </c>
      <c r="F187" s="60">
        <v>18.315000000000001</v>
      </c>
      <c r="G187" s="60">
        <v>76.311599999999999</v>
      </c>
      <c r="H187" s="60">
        <v>1.7817000000000001</v>
      </c>
    </row>
    <row r="188" spans="1:8" x14ac:dyDescent="0.15">
      <c r="A188" s="60" t="s">
        <v>11</v>
      </c>
      <c r="B188" s="60">
        <v>2505</v>
      </c>
      <c r="C188" s="60">
        <v>24</v>
      </c>
      <c r="D188" s="60">
        <v>7.4999999999999997E-2</v>
      </c>
      <c r="E188" s="60">
        <v>419.279</v>
      </c>
      <c r="F188" s="60">
        <v>18.167999999999999</v>
      </c>
      <c r="G188" s="60">
        <v>75.701400000000007</v>
      </c>
      <c r="H188" s="60">
        <v>1.7907</v>
      </c>
    </row>
    <row r="189" spans="1:8" x14ac:dyDescent="0.15">
      <c r="A189" s="60" t="s">
        <v>11</v>
      </c>
      <c r="B189" s="60">
        <v>2505</v>
      </c>
      <c r="C189" s="60">
        <v>24</v>
      </c>
      <c r="D189" s="60">
        <v>7.6499999999999999E-2</v>
      </c>
      <c r="E189" s="60">
        <v>410.77949999999998</v>
      </c>
      <c r="F189" s="60">
        <v>17.8</v>
      </c>
      <c r="G189" s="60">
        <v>74.166799999999995</v>
      </c>
      <c r="H189" s="60">
        <v>1.8237000000000001</v>
      </c>
    </row>
    <row r="190" spans="1:8" x14ac:dyDescent="0.15">
      <c r="A190" s="60" t="s">
        <v>11</v>
      </c>
      <c r="B190" s="60">
        <v>2505</v>
      </c>
      <c r="C190" s="60">
        <v>24</v>
      </c>
      <c r="D190" s="60">
        <v>7.4899999999999994E-2</v>
      </c>
      <c r="E190" s="60">
        <v>419.56509999999997</v>
      </c>
      <c r="F190" s="60">
        <v>18.181000000000001</v>
      </c>
      <c r="G190" s="60">
        <v>75.753100000000003</v>
      </c>
      <c r="H190" s="60">
        <v>1.7887</v>
      </c>
    </row>
    <row r="191" spans="1:8" x14ac:dyDescent="0.15">
      <c r="A191" s="60" t="s">
        <v>11</v>
      </c>
      <c r="B191" s="60">
        <v>2505</v>
      </c>
      <c r="C191" s="60">
        <v>24</v>
      </c>
      <c r="D191" s="60">
        <v>7.51E-2</v>
      </c>
      <c r="E191" s="60">
        <v>418.49689999999998</v>
      </c>
      <c r="F191" s="60">
        <v>18.134</v>
      </c>
      <c r="G191" s="60">
        <v>75.560199999999995</v>
      </c>
      <c r="H191" s="60">
        <v>1.7937000000000001</v>
      </c>
    </row>
    <row r="192" spans="1:8" x14ac:dyDescent="0.15">
      <c r="A192" s="60" t="s">
        <v>11</v>
      </c>
      <c r="B192" s="60">
        <v>2505</v>
      </c>
      <c r="C192" s="60">
        <v>24</v>
      </c>
      <c r="D192" s="60">
        <v>7.4700000000000003E-2</v>
      </c>
      <c r="E192" s="60">
        <v>420.81270000000001</v>
      </c>
      <c r="F192" s="60">
        <v>18.234999999999999</v>
      </c>
      <c r="G192" s="60">
        <v>75.978300000000004</v>
      </c>
      <c r="H192" s="60">
        <v>1.7827</v>
      </c>
    </row>
    <row r="193" spans="1:8" x14ac:dyDescent="0.15">
      <c r="A193" s="60" t="s">
        <v>11</v>
      </c>
      <c r="B193" s="60">
        <v>2505</v>
      </c>
      <c r="C193" s="60">
        <v>24</v>
      </c>
      <c r="D193" s="60">
        <v>7.4700000000000003E-2</v>
      </c>
      <c r="E193" s="60">
        <v>420.67419999999998</v>
      </c>
      <c r="F193" s="60">
        <v>18.228999999999999</v>
      </c>
      <c r="G193" s="60">
        <v>75.953299999999999</v>
      </c>
      <c r="H193" s="60">
        <v>1.7927</v>
      </c>
    </row>
    <row r="194" spans="1:8" x14ac:dyDescent="0.15">
      <c r="A194" s="60" t="s">
        <v>11</v>
      </c>
      <c r="B194" s="60">
        <v>2505</v>
      </c>
      <c r="C194" s="60">
        <v>24</v>
      </c>
      <c r="D194" s="60">
        <v>7.46E-2</v>
      </c>
      <c r="E194" s="60">
        <v>421.15230000000003</v>
      </c>
      <c r="F194" s="60">
        <v>18.25</v>
      </c>
      <c r="G194" s="60">
        <v>76.039599999999993</v>
      </c>
      <c r="H194" s="60">
        <v>1.7897000000000001</v>
      </c>
    </row>
    <row r="195" spans="1:8" x14ac:dyDescent="0.15">
      <c r="A195" s="60" t="s">
        <v>11</v>
      </c>
      <c r="B195" s="60">
        <v>2505</v>
      </c>
      <c r="C195" s="60">
        <v>24</v>
      </c>
      <c r="D195" s="60">
        <v>7.4499999999999997E-2</v>
      </c>
      <c r="E195" s="60">
        <v>421.92739999999998</v>
      </c>
      <c r="F195" s="60">
        <v>18.283000000000001</v>
      </c>
      <c r="G195" s="60">
        <v>76.179599999999994</v>
      </c>
      <c r="H195" s="60">
        <v>1.7877000000000001</v>
      </c>
    </row>
    <row r="196" spans="1:8" x14ac:dyDescent="0.15">
      <c r="A196" s="60" t="s">
        <v>11</v>
      </c>
      <c r="B196" s="60">
        <v>2505</v>
      </c>
      <c r="C196" s="60">
        <v>24</v>
      </c>
      <c r="D196" s="60">
        <v>7.46E-2</v>
      </c>
      <c r="E196" s="60">
        <v>421.36860000000001</v>
      </c>
      <c r="F196" s="60">
        <v>18.259</v>
      </c>
      <c r="G196" s="60">
        <v>76.078699999999998</v>
      </c>
      <c r="H196" s="60">
        <v>1.7897000000000001</v>
      </c>
    </row>
    <row r="197" spans="1:8" x14ac:dyDescent="0.15">
      <c r="A197" s="60" t="s">
        <v>11</v>
      </c>
      <c r="B197" s="60">
        <v>2505</v>
      </c>
      <c r="C197" s="60">
        <v>24</v>
      </c>
      <c r="D197" s="60">
        <v>7.4099999999999999E-2</v>
      </c>
      <c r="E197" s="60">
        <v>424.36770000000001</v>
      </c>
      <c r="F197" s="60">
        <v>18.388999999999999</v>
      </c>
      <c r="G197" s="60">
        <v>76.620199999999997</v>
      </c>
      <c r="H197" s="60">
        <v>1.7766999999999999</v>
      </c>
    </row>
    <row r="198" spans="1:8" x14ac:dyDescent="0.15">
      <c r="A198" s="60" t="s">
        <v>11</v>
      </c>
      <c r="B198" s="60">
        <v>2505</v>
      </c>
      <c r="C198" s="60">
        <v>24</v>
      </c>
      <c r="D198" s="60">
        <v>7.4300000000000005E-2</v>
      </c>
      <c r="E198" s="60">
        <v>422.84780000000001</v>
      </c>
      <c r="F198" s="60">
        <v>18.323</v>
      </c>
      <c r="G198" s="60">
        <v>76.345799999999997</v>
      </c>
      <c r="H198" s="60">
        <v>1.7827</v>
      </c>
    </row>
    <row r="199" spans="1:8" x14ac:dyDescent="0.15">
      <c r="A199" s="60" t="s">
        <v>11</v>
      </c>
      <c r="B199" s="60">
        <v>2505</v>
      </c>
      <c r="C199" s="60">
        <v>24</v>
      </c>
      <c r="D199" s="60">
        <v>7.4399999999999994E-2</v>
      </c>
      <c r="E199" s="60">
        <v>422.28230000000002</v>
      </c>
      <c r="F199" s="60">
        <v>18.297999999999998</v>
      </c>
      <c r="G199" s="60">
        <v>76.243600000000001</v>
      </c>
      <c r="H199" s="60">
        <v>1.7847</v>
      </c>
    </row>
    <row r="200" spans="1:8" x14ac:dyDescent="0.15">
      <c r="A200" s="60" t="s">
        <v>11</v>
      </c>
      <c r="B200" s="60">
        <v>2505</v>
      </c>
      <c r="C200" s="60">
        <v>24</v>
      </c>
      <c r="D200" s="60">
        <v>7.4999999999999997E-2</v>
      </c>
      <c r="E200" s="60">
        <v>419.34280000000001</v>
      </c>
      <c r="F200" s="60">
        <v>18.170999999999999</v>
      </c>
      <c r="G200" s="60">
        <v>75.712900000000005</v>
      </c>
      <c r="H200" s="60">
        <v>1.7987</v>
      </c>
    </row>
    <row r="201" spans="1:8" x14ac:dyDescent="0.15">
      <c r="A201" s="60" t="s">
        <v>11</v>
      </c>
      <c r="B201" s="60">
        <v>2505</v>
      </c>
      <c r="C201" s="60">
        <v>24</v>
      </c>
      <c r="D201" s="60">
        <v>7.7399999999999997E-2</v>
      </c>
      <c r="E201" s="60">
        <v>406.07670000000002</v>
      </c>
      <c r="F201" s="60">
        <v>17.596</v>
      </c>
      <c r="G201" s="60">
        <v>73.317700000000002</v>
      </c>
      <c r="H201" s="60">
        <v>1.8536999999999999</v>
      </c>
    </row>
    <row r="202" spans="1:8" x14ac:dyDescent="0.15">
      <c r="A202" s="60" t="s">
        <v>11</v>
      </c>
      <c r="B202" s="60">
        <v>2505</v>
      </c>
      <c r="C202" s="60">
        <v>24</v>
      </c>
      <c r="D202" s="60">
        <v>7.4300000000000005E-2</v>
      </c>
      <c r="E202" s="60">
        <v>423.04379999999998</v>
      </c>
      <c r="F202" s="60">
        <v>18.331</v>
      </c>
      <c r="G202" s="60">
        <v>76.381100000000004</v>
      </c>
      <c r="H202" s="60">
        <v>1.7827</v>
      </c>
    </row>
    <row r="203" spans="1:8" x14ac:dyDescent="0.15">
      <c r="A203" s="60" t="s">
        <v>11</v>
      </c>
      <c r="B203" s="60">
        <v>2505</v>
      </c>
      <c r="C203" s="60">
        <v>24</v>
      </c>
      <c r="D203" s="60">
        <v>7.4700000000000003E-2</v>
      </c>
      <c r="E203" s="60">
        <v>420.60379999999998</v>
      </c>
      <c r="F203" s="60">
        <v>18.225999999999999</v>
      </c>
      <c r="G203" s="60">
        <v>75.940600000000003</v>
      </c>
      <c r="H203" s="60">
        <v>1.7917000000000001</v>
      </c>
    </row>
    <row r="204" spans="1:8" x14ac:dyDescent="0.15">
      <c r="A204" s="60" t="s">
        <v>11</v>
      </c>
      <c r="B204" s="60">
        <v>2505</v>
      </c>
      <c r="C204" s="60">
        <v>24</v>
      </c>
      <c r="D204" s="60">
        <v>7.4300000000000005E-2</v>
      </c>
      <c r="E204" s="60">
        <v>423.12389999999999</v>
      </c>
      <c r="F204" s="60">
        <v>18.335000000000001</v>
      </c>
      <c r="G204" s="60">
        <v>76.395600000000002</v>
      </c>
      <c r="H204" s="60">
        <v>1.7817000000000001</v>
      </c>
    </row>
    <row r="205" spans="1:8" x14ac:dyDescent="0.15">
      <c r="A205" s="60" t="s">
        <v>11</v>
      </c>
      <c r="B205" s="60">
        <v>2505</v>
      </c>
      <c r="C205" s="60">
        <v>24</v>
      </c>
      <c r="D205" s="60">
        <v>7.4300000000000005E-2</v>
      </c>
      <c r="E205" s="60">
        <v>423.04169999999999</v>
      </c>
      <c r="F205" s="60">
        <v>18.331</v>
      </c>
      <c r="G205" s="60">
        <v>76.380700000000004</v>
      </c>
      <c r="H205" s="60">
        <v>1.7827</v>
      </c>
    </row>
    <row r="206" spans="1:8" x14ac:dyDescent="0.15">
      <c r="A206" s="60" t="s">
        <v>11</v>
      </c>
      <c r="B206" s="60">
        <v>2505</v>
      </c>
      <c r="C206" s="60">
        <v>24</v>
      </c>
      <c r="D206" s="60">
        <v>7.4099999999999999E-2</v>
      </c>
      <c r="E206" s="60">
        <v>424.36090000000002</v>
      </c>
      <c r="F206" s="60">
        <v>18.388999999999999</v>
      </c>
      <c r="G206" s="60">
        <v>76.618899999999996</v>
      </c>
      <c r="H206" s="60">
        <v>1.7766999999999999</v>
      </c>
    </row>
    <row r="207" spans="1:8" x14ac:dyDescent="0.15">
      <c r="A207" s="60" t="s">
        <v>11</v>
      </c>
      <c r="B207" s="60">
        <v>2505</v>
      </c>
      <c r="C207" s="60">
        <v>24</v>
      </c>
      <c r="D207" s="60">
        <v>7.4700000000000003E-2</v>
      </c>
      <c r="E207" s="60">
        <v>420.92059999999998</v>
      </c>
      <c r="F207" s="60">
        <v>18.239000000000001</v>
      </c>
      <c r="G207" s="60">
        <v>75.997799999999998</v>
      </c>
      <c r="H207" s="60">
        <v>1.7917000000000001</v>
      </c>
    </row>
    <row r="208" spans="1:8" x14ac:dyDescent="0.15">
      <c r="A208" s="60" t="s">
        <v>11</v>
      </c>
      <c r="B208" s="60">
        <v>2505</v>
      </c>
      <c r="C208" s="60">
        <v>24</v>
      </c>
      <c r="D208" s="60">
        <v>7.4300000000000005E-2</v>
      </c>
      <c r="E208" s="60">
        <v>423.02620000000002</v>
      </c>
      <c r="F208" s="60">
        <v>18.331</v>
      </c>
      <c r="G208" s="60">
        <v>76.378</v>
      </c>
      <c r="H208" s="60">
        <v>1.7817000000000001</v>
      </c>
    </row>
    <row r="209" spans="1:8" x14ac:dyDescent="0.15">
      <c r="A209" s="60" t="s">
        <v>11</v>
      </c>
      <c r="B209" s="60">
        <v>2505</v>
      </c>
      <c r="C209" s="60">
        <v>24</v>
      </c>
      <c r="D209" s="60">
        <v>7.4399999999999994E-2</v>
      </c>
      <c r="E209" s="60">
        <v>422.76979999999998</v>
      </c>
      <c r="F209" s="60">
        <v>18.32</v>
      </c>
      <c r="G209" s="60">
        <v>76.331699999999998</v>
      </c>
      <c r="H209" s="60">
        <v>1.7847</v>
      </c>
    </row>
    <row r="210" spans="1:8" x14ac:dyDescent="0.15">
      <c r="A210" s="60" t="s">
        <v>11</v>
      </c>
      <c r="B210" s="60">
        <v>2505</v>
      </c>
      <c r="C210" s="60">
        <v>24</v>
      </c>
      <c r="D210" s="60">
        <v>7.5200000000000003E-2</v>
      </c>
      <c r="E210" s="60">
        <v>418.2398</v>
      </c>
      <c r="F210" s="60">
        <v>18.123000000000001</v>
      </c>
      <c r="G210" s="60">
        <v>75.513800000000003</v>
      </c>
      <c r="H210" s="60">
        <v>1.8027</v>
      </c>
    </row>
    <row r="211" spans="1:8" x14ac:dyDescent="0.15">
      <c r="A211" s="60" t="s">
        <v>11</v>
      </c>
      <c r="B211" s="60">
        <v>2505</v>
      </c>
      <c r="C211" s="60">
        <v>24</v>
      </c>
      <c r="D211" s="60">
        <v>7.4200000000000002E-2</v>
      </c>
      <c r="E211" s="60">
        <v>423.57139999999998</v>
      </c>
      <c r="F211" s="60">
        <v>18.353999999999999</v>
      </c>
      <c r="G211" s="60">
        <v>76.476399999999998</v>
      </c>
      <c r="H211" s="60">
        <v>1.7797000000000001</v>
      </c>
    </row>
    <row r="212" spans="1:8" x14ac:dyDescent="0.15">
      <c r="A212" s="60" t="s">
        <v>11</v>
      </c>
      <c r="B212" s="60">
        <v>2505</v>
      </c>
      <c r="C212" s="60">
        <v>24</v>
      </c>
      <c r="D212" s="60">
        <v>7.4099999999999999E-2</v>
      </c>
      <c r="E212" s="60">
        <v>424.2783</v>
      </c>
      <c r="F212" s="60">
        <v>18.385000000000002</v>
      </c>
      <c r="G212" s="60">
        <v>76.603999999999999</v>
      </c>
      <c r="H212" s="60">
        <v>1.7766999999999999</v>
      </c>
    </row>
    <row r="213" spans="1:8" x14ac:dyDescent="0.15">
      <c r="A213" s="60" t="s">
        <v>11</v>
      </c>
      <c r="B213" s="60">
        <v>2505</v>
      </c>
      <c r="C213" s="60">
        <v>24</v>
      </c>
      <c r="D213" s="60">
        <v>7.4300000000000005E-2</v>
      </c>
      <c r="E213" s="60">
        <v>423.21519999999998</v>
      </c>
      <c r="F213" s="60">
        <v>18.338999999999999</v>
      </c>
      <c r="G213" s="60">
        <v>76.412099999999995</v>
      </c>
      <c r="H213" s="60">
        <v>1.7827</v>
      </c>
    </row>
    <row r="214" spans="1:8" x14ac:dyDescent="0.15">
      <c r="A214" s="60" t="s">
        <v>11</v>
      </c>
      <c r="B214" s="60">
        <v>2505</v>
      </c>
      <c r="C214" s="60">
        <v>24</v>
      </c>
      <c r="D214" s="60">
        <v>7.4300000000000005E-2</v>
      </c>
      <c r="E214" s="60">
        <v>422.95650000000001</v>
      </c>
      <c r="F214" s="60">
        <v>18.327999999999999</v>
      </c>
      <c r="G214" s="60">
        <v>76.365399999999994</v>
      </c>
      <c r="H214" s="60">
        <v>1.7827</v>
      </c>
    </row>
    <row r="215" spans="1:8" x14ac:dyDescent="0.15">
      <c r="A215" s="60" t="s">
        <v>11</v>
      </c>
      <c r="B215" s="60">
        <v>2505</v>
      </c>
      <c r="C215" s="60">
        <v>24</v>
      </c>
      <c r="D215" s="60">
        <v>7.4300000000000005E-2</v>
      </c>
      <c r="E215" s="60">
        <v>422.96850000000001</v>
      </c>
      <c r="F215" s="60">
        <v>18.327999999999999</v>
      </c>
      <c r="G215" s="60">
        <v>76.367500000000007</v>
      </c>
      <c r="H215" s="60">
        <v>1.7817000000000001</v>
      </c>
    </row>
    <row r="216" spans="1:8" x14ac:dyDescent="0.15">
      <c r="A216" s="60" t="s">
        <v>11</v>
      </c>
      <c r="B216" s="60">
        <v>2505</v>
      </c>
      <c r="C216" s="60">
        <v>24</v>
      </c>
      <c r="D216" s="60">
        <v>7.3899999999999993E-2</v>
      </c>
      <c r="E216" s="60">
        <v>425.45870000000002</v>
      </c>
      <c r="F216" s="60">
        <v>18.436</v>
      </c>
      <c r="G216" s="60">
        <v>76.8172</v>
      </c>
      <c r="H216" s="60">
        <v>1.7726999999999999</v>
      </c>
    </row>
    <row r="217" spans="1:8" x14ac:dyDescent="0.15">
      <c r="A217" s="60" t="s">
        <v>11</v>
      </c>
      <c r="B217" s="60">
        <v>2505</v>
      </c>
      <c r="C217" s="60">
        <v>24</v>
      </c>
      <c r="D217" s="60">
        <v>7.4200000000000002E-2</v>
      </c>
      <c r="E217" s="60">
        <v>423.75709999999998</v>
      </c>
      <c r="F217" s="60">
        <v>18.361999999999998</v>
      </c>
      <c r="G217" s="60">
        <v>76.509900000000002</v>
      </c>
      <c r="H217" s="60">
        <v>1.7786999999999999</v>
      </c>
    </row>
    <row r="218" spans="1:8" x14ac:dyDescent="0.15">
      <c r="A218" s="60" t="s">
        <v>11</v>
      </c>
      <c r="B218" s="60">
        <v>2505</v>
      </c>
      <c r="C218" s="60">
        <v>24</v>
      </c>
      <c r="D218" s="60">
        <v>7.4099999999999999E-2</v>
      </c>
      <c r="E218" s="60">
        <v>424.26089999999999</v>
      </c>
      <c r="F218" s="60">
        <v>18.384</v>
      </c>
      <c r="G218" s="60">
        <v>76.600899999999996</v>
      </c>
      <c r="H218" s="60">
        <v>1.7766999999999999</v>
      </c>
    </row>
    <row r="219" spans="1:8" x14ac:dyDescent="0.15">
      <c r="A219" s="60" t="s">
        <v>11</v>
      </c>
      <c r="B219" s="60">
        <v>2505</v>
      </c>
      <c r="C219" s="60">
        <v>24</v>
      </c>
      <c r="D219" s="60">
        <v>7.4499999999999997E-2</v>
      </c>
      <c r="E219" s="60">
        <v>421.99329999999998</v>
      </c>
      <c r="F219" s="60">
        <v>18.286000000000001</v>
      </c>
      <c r="G219" s="60">
        <v>76.191500000000005</v>
      </c>
      <c r="H219" s="60">
        <v>1.7877000000000001</v>
      </c>
    </row>
    <row r="220" spans="1:8" x14ac:dyDescent="0.15">
      <c r="A220" s="60" t="s">
        <v>11</v>
      </c>
      <c r="B220" s="60">
        <v>2505</v>
      </c>
      <c r="C220" s="60">
        <v>24</v>
      </c>
      <c r="D220" s="60">
        <v>7.4399999999999994E-2</v>
      </c>
      <c r="E220" s="60">
        <v>422.8075</v>
      </c>
      <c r="F220" s="60">
        <v>18.321000000000002</v>
      </c>
      <c r="G220" s="60">
        <v>76.338499999999996</v>
      </c>
      <c r="H220" s="60">
        <v>1.7827</v>
      </c>
    </row>
    <row r="221" spans="1:8" x14ac:dyDescent="0.15">
      <c r="A221" s="60" t="s">
        <v>11</v>
      </c>
      <c r="B221" s="60">
        <v>2505</v>
      </c>
      <c r="C221" s="60">
        <v>24</v>
      </c>
      <c r="D221" s="60">
        <v>7.4999999999999997E-2</v>
      </c>
      <c r="E221" s="60">
        <v>419.16149999999999</v>
      </c>
      <c r="F221" s="60">
        <v>18.163</v>
      </c>
      <c r="G221" s="60">
        <v>75.680199999999999</v>
      </c>
      <c r="H221" s="60">
        <v>1.7987</v>
      </c>
    </row>
    <row r="222" spans="1:8" x14ac:dyDescent="0.15">
      <c r="A222" s="60" t="s">
        <v>11</v>
      </c>
      <c r="B222" s="60">
        <v>2505</v>
      </c>
      <c r="C222" s="60">
        <v>24</v>
      </c>
      <c r="D222" s="60">
        <v>7.4499999999999997E-2</v>
      </c>
      <c r="E222" s="60">
        <v>421.85230000000001</v>
      </c>
      <c r="F222" s="60">
        <v>18.28</v>
      </c>
      <c r="G222" s="60">
        <v>76.165999999999997</v>
      </c>
      <c r="H222" s="60">
        <v>1.7877000000000001</v>
      </c>
    </row>
    <row r="223" spans="1:8" x14ac:dyDescent="0.15">
      <c r="A223" s="60" t="s">
        <v>11</v>
      </c>
      <c r="B223" s="60">
        <v>2510</v>
      </c>
      <c r="C223" s="60">
        <v>1</v>
      </c>
      <c r="D223" s="60">
        <v>1.355</v>
      </c>
      <c r="E223" s="60">
        <v>23.341000000000001</v>
      </c>
      <c r="F223" s="60">
        <v>1</v>
      </c>
      <c r="G223" s="60">
        <v>100</v>
      </c>
      <c r="H223" s="60">
        <v>1.3548</v>
      </c>
    </row>
    <row r="224" spans="1:8" x14ac:dyDescent="0.15">
      <c r="A224" s="60" t="s">
        <v>11</v>
      </c>
      <c r="B224" s="60">
        <v>2510</v>
      </c>
      <c r="C224" s="60">
        <v>1</v>
      </c>
      <c r="D224" s="60">
        <v>1.3399000000000001</v>
      </c>
      <c r="E224" s="60">
        <v>23.603400000000001</v>
      </c>
      <c r="F224" s="60">
        <v>1.0109999999999999</v>
      </c>
      <c r="G224" s="60">
        <v>101.1242</v>
      </c>
      <c r="H224" s="60">
        <v>1.3388</v>
      </c>
    </row>
    <row r="225" spans="1:8" x14ac:dyDescent="0.15">
      <c r="A225" s="60" t="s">
        <v>11</v>
      </c>
      <c r="B225" s="60">
        <v>2510</v>
      </c>
      <c r="C225" s="60">
        <v>1</v>
      </c>
      <c r="D225" s="60">
        <v>1.3387</v>
      </c>
      <c r="E225" s="60">
        <v>23.624099999999999</v>
      </c>
      <c r="F225" s="60">
        <v>1.012</v>
      </c>
      <c r="G225" s="60">
        <v>101.2132</v>
      </c>
      <c r="H225" s="60">
        <v>1.3388</v>
      </c>
    </row>
    <row r="226" spans="1:8" x14ac:dyDescent="0.15">
      <c r="A226" s="60" t="s">
        <v>11</v>
      </c>
      <c r="B226" s="60">
        <v>2510</v>
      </c>
      <c r="C226" s="60">
        <v>1</v>
      </c>
      <c r="D226" s="60">
        <v>1.3395999999999999</v>
      </c>
      <c r="E226" s="60">
        <v>23.609300000000001</v>
      </c>
      <c r="F226" s="60">
        <v>1.0109999999999999</v>
      </c>
      <c r="G226" s="60">
        <v>101.1498</v>
      </c>
      <c r="H226" s="60">
        <v>1.3388</v>
      </c>
    </row>
    <row r="227" spans="1:8" x14ac:dyDescent="0.15">
      <c r="A227" s="60" t="s">
        <v>11</v>
      </c>
      <c r="B227" s="60">
        <v>2510</v>
      </c>
      <c r="C227" s="60">
        <v>1</v>
      </c>
      <c r="D227" s="60">
        <v>1.3384</v>
      </c>
      <c r="E227" s="60">
        <v>23.630700000000001</v>
      </c>
      <c r="F227" s="60">
        <v>1.012</v>
      </c>
      <c r="G227" s="60">
        <v>101.24120000000001</v>
      </c>
      <c r="H227" s="60">
        <v>1.3368</v>
      </c>
    </row>
    <row r="228" spans="1:8" x14ac:dyDescent="0.15">
      <c r="A228" s="60" t="s">
        <v>11</v>
      </c>
      <c r="B228" s="60">
        <v>2510</v>
      </c>
      <c r="C228" s="60">
        <v>1</v>
      </c>
      <c r="D228" s="60">
        <v>1.3398000000000001</v>
      </c>
      <c r="E228" s="60">
        <v>23.605699999999999</v>
      </c>
      <c r="F228" s="60">
        <v>1.0109999999999999</v>
      </c>
      <c r="G228" s="60">
        <v>101.134</v>
      </c>
      <c r="H228" s="60">
        <v>1.3398000000000001</v>
      </c>
    </row>
    <row r="229" spans="1:8" x14ac:dyDescent="0.15">
      <c r="A229" s="60" t="s">
        <v>11</v>
      </c>
      <c r="B229" s="60">
        <v>2510</v>
      </c>
      <c r="C229" s="60">
        <v>23</v>
      </c>
      <c r="D229" s="60">
        <v>9.8699999999999996E-2</v>
      </c>
      <c r="E229" s="60">
        <v>320.58850000000001</v>
      </c>
      <c r="F229" s="60">
        <v>13.734999999999999</v>
      </c>
      <c r="G229" s="60">
        <v>59.717399999999998</v>
      </c>
      <c r="H229" s="60">
        <v>2.2446999999999999</v>
      </c>
    </row>
    <row r="230" spans="1:8" x14ac:dyDescent="0.15">
      <c r="A230" s="60" t="s">
        <v>11</v>
      </c>
      <c r="B230" s="60">
        <v>2510</v>
      </c>
      <c r="C230" s="60">
        <v>23</v>
      </c>
      <c r="D230" s="60">
        <v>8.2900000000000001E-2</v>
      </c>
      <c r="E230" s="60">
        <v>381.36500000000001</v>
      </c>
      <c r="F230" s="60">
        <v>16.338999999999999</v>
      </c>
      <c r="G230" s="60">
        <v>71.038499999999999</v>
      </c>
      <c r="H230" s="60">
        <v>1.9067000000000001</v>
      </c>
    </row>
    <row r="231" spans="1:8" x14ac:dyDescent="0.15">
      <c r="A231" s="60" t="s">
        <v>11</v>
      </c>
      <c r="B231" s="60">
        <v>2510</v>
      </c>
      <c r="C231" s="60">
        <v>23</v>
      </c>
      <c r="D231" s="60">
        <v>7.6899999999999996E-2</v>
      </c>
      <c r="E231" s="60">
        <v>411.02319999999997</v>
      </c>
      <c r="F231" s="60">
        <v>17.61</v>
      </c>
      <c r="G231" s="60">
        <v>76.563100000000006</v>
      </c>
      <c r="H231" s="60">
        <v>1.7686999999999999</v>
      </c>
    </row>
    <row r="232" spans="1:8" x14ac:dyDescent="0.15">
      <c r="A232" s="60" t="s">
        <v>11</v>
      </c>
      <c r="B232" s="60">
        <v>2510</v>
      </c>
      <c r="C232" s="60">
        <v>23</v>
      </c>
      <c r="D232" s="60">
        <v>7.6999999999999999E-2</v>
      </c>
      <c r="E232" s="60">
        <v>410.68310000000002</v>
      </c>
      <c r="F232" s="60">
        <v>17.594999999999999</v>
      </c>
      <c r="G232" s="60">
        <v>76.499799999999993</v>
      </c>
      <c r="H232" s="60">
        <v>1.7697000000000001</v>
      </c>
    </row>
    <row r="233" spans="1:8" x14ac:dyDescent="0.15">
      <c r="A233" s="60" t="s">
        <v>11</v>
      </c>
      <c r="B233" s="60">
        <v>2510</v>
      </c>
      <c r="C233" s="60">
        <v>23</v>
      </c>
      <c r="D233" s="60">
        <v>7.6999999999999999E-2</v>
      </c>
      <c r="E233" s="60">
        <v>410.95049999999998</v>
      </c>
      <c r="F233" s="60">
        <v>17.606000000000002</v>
      </c>
      <c r="G233" s="60">
        <v>76.549599999999998</v>
      </c>
      <c r="H233" s="60">
        <v>1.7697000000000001</v>
      </c>
    </row>
    <row r="234" spans="1:8" x14ac:dyDescent="0.15">
      <c r="A234" s="60" t="s">
        <v>11</v>
      </c>
      <c r="B234" s="60">
        <v>2510</v>
      </c>
      <c r="C234" s="60">
        <v>23</v>
      </c>
      <c r="D234" s="60">
        <v>7.7200000000000005E-2</v>
      </c>
      <c r="E234" s="60">
        <v>409.87529999999998</v>
      </c>
      <c r="F234" s="60">
        <v>17.559999999999999</v>
      </c>
      <c r="G234" s="60">
        <v>76.349299999999999</v>
      </c>
      <c r="H234" s="60">
        <v>1.7726999999999999</v>
      </c>
    </row>
    <row r="235" spans="1:8" x14ac:dyDescent="0.15">
      <c r="A235" s="60" t="s">
        <v>11</v>
      </c>
      <c r="B235" s="60">
        <v>2510</v>
      </c>
      <c r="C235" s="60">
        <v>23</v>
      </c>
      <c r="D235" s="60">
        <v>7.7100000000000002E-2</v>
      </c>
      <c r="E235" s="60">
        <v>410.01049999999998</v>
      </c>
      <c r="F235" s="60">
        <v>17.565999999999999</v>
      </c>
      <c r="G235" s="60">
        <v>76.374499999999998</v>
      </c>
      <c r="H235" s="60">
        <v>1.7737000000000001</v>
      </c>
    </row>
    <row r="236" spans="1:8" x14ac:dyDescent="0.15">
      <c r="A236" s="60" t="s">
        <v>11</v>
      </c>
      <c r="B236" s="60">
        <v>2510</v>
      </c>
      <c r="C236" s="60">
        <v>23</v>
      </c>
      <c r="D236" s="60">
        <v>7.7100000000000002E-2</v>
      </c>
      <c r="E236" s="60">
        <v>410.3544</v>
      </c>
      <c r="F236" s="60">
        <v>17.581</v>
      </c>
      <c r="G236" s="60">
        <v>76.438500000000005</v>
      </c>
      <c r="H236" s="60">
        <v>1.7706999999999999</v>
      </c>
    </row>
    <row r="237" spans="1:8" x14ac:dyDescent="0.15">
      <c r="A237" s="60" t="s">
        <v>11</v>
      </c>
      <c r="B237" s="60">
        <v>2510</v>
      </c>
      <c r="C237" s="60">
        <v>23</v>
      </c>
      <c r="D237" s="60">
        <v>7.6799999999999993E-2</v>
      </c>
      <c r="E237" s="60">
        <v>411.80270000000002</v>
      </c>
      <c r="F237" s="60">
        <v>17.643000000000001</v>
      </c>
      <c r="G237" s="60">
        <v>76.708299999999994</v>
      </c>
      <c r="H237" s="60">
        <v>1.7657</v>
      </c>
    </row>
    <row r="238" spans="1:8" x14ac:dyDescent="0.15">
      <c r="A238" s="60" t="s">
        <v>11</v>
      </c>
      <c r="B238" s="60">
        <v>2510</v>
      </c>
      <c r="C238" s="60">
        <v>23</v>
      </c>
      <c r="D238" s="60">
        <v>7.7100000000000002E-2</v>
      </c>
      <c r="E238" s="60">
        <v>410.37639999999999</v>
      </c>
      <c r="F238" s="60">
        <v>17.582000000000001</v>
      </c>
      <c r="G238" s="60">
        <v>76.442599999999999</v>
      </c>
      <c r="H238" s="60">
        <v>1.7717000000000001</v>
      </c>
    </row>
    <row r="239" spans="1:8" x14ac:dyDescent="0.15">
      <c r="A239" s="60" t="s">
        <v>11</v>
      </c>
      <c r="B239" s="60">
        <v>2510</v>
      </c>
      <c r="C239" s="60">
        <v>23</v>
      </c>
      <c r="D239" s="60">
        <v>7.6999999999999999E-2</v>
      </c>
      <c r="E239" s="60">
        <v>410.52199999999999</v>
      </c>
      <c r="F239" s="60">
        <v>17.588000000000001</v>
      </c>
      <c r="G239" s="60">
        <v>76.469700000000003</v>
      </c>
      <c r="H239" s="60">
        <v>1.7706999999999999</v>
      </c>
    </row>
    <row r="240" spans="1:8" x14ac:dyDescent="0.15">
      <c r="A240" s="60" t="s">
        <v>11</v>
      </c>
      <c r="B240" s="60">
        <v>2510</v>
      </c>
      <c r="C240" s="60">
        <v>23</v>
      </c>
      <c r="D240" s="60">
        <v>7.6999999999999999E-2</v>
      </c>
      <c r="E240" s="60">
        <v>410.48039999999997</v>
      </c>
      <c r="F240" s="60">
        <v>17.585999999999999</v>
      </c>
      <c r="G240" s="60">
        <v>76.462000000000003</v>
      </c>
      <c r="H240" s="60">
        <v>1.7706999999999999</v>
      </c>
    </row>
    <row r="241" spans="1:8" x14ac:dyDescent="0.15">
      <c r="A241" s="60" t="s">
        <v>11</v>
      </c>
      <c r="B241" s="60">
        <v>2510</v>
      </c>
      <c r="C241" s="60">
        <v>23</v>
      </c>
      <c r="D241" s="60">
        <v>7.6999999999999999E-2</v>
      </c>
      <c r="E241" s="60">
        <v>410.9769</v>
      </c>
      <c r="F241" s="60">
        <v>17.608000000000001</v>
      </c>
      <c r="G241" s="60">
        <v>76.554500000000004</v>
      </c>
      <c r="H241" s="60">
        <v>1.7697000000000001</v>
      </c>
    </row>
    <row r="242" spans="1:8" x14ac:dyDescent="0.15">
      <c r="A242" s="60" t="s">
        <v>11</v>
      </c>
      <c r="B242" s="60">
        <v>2510</v>
      </c>
      <c r="C242" s="60">
        <v>23</v>
      </c>
      <c r="D242" s="60">
        <v>7.7200000000000005E-2</v>
      </c>
      <c r="E242" s="60">
        <v>409.44150000000002</v>
      </c>
      <c r="F242" s="60">
        <v>17.542000000000002</v>
      </c>
      <c r="G242" s="60">
        <v>76.268500000000003</v>
      </c>
      <c r="H242" s="60">
        <v>1.7746999999999999</v>
      </c>
    </row>
    <row r="243" spans="1:8" x14ac:dyDescent="0.15">
      <c r="A243" s="60" t="s">
        <v>11</v>
      </c>
      <c r="B243" s="60">
        <v>2510</v>
      </c>
      <c r="C243" s="60">
        <v>23</v>
      </c>
      <c r="D243" s="60">
        <v>7.6999999999999999E-2</v>
      </c>
      <c r="E243" s="60">
        <v>410.76620000000003</v>
      </c>
      <c r="F243" s="60">
        <v>17.599</v>
      </c>
      <c r="G243" s="60">
        <v>76.515199999999993</v>
      </c>
      <c r="H243" s="60">
        <v>1.7697000000000001</v>
      </c>
    </row>
    <row r="244" spans="1:8" x14ac:dyDescent="0.15">
      <c r="A244" s="60" t="s">
        <v>11</v>
      </c>
      <c r="B244" s="60">
        <v>2510</v>
      </c>
      <c r="C244" s="60">
        <v>23</v>
      </c>
      <c r="D244" s="60">
        <v>7.7200000000000005E-2</v>
      </c>
      <c r="E244" s="60">
        <v>409.61009999999999</v>
      </c>
      <c r="F244" s="60">
        <v>17.548999999999999</v>
      </c>
      <c r="G244" s="60">
        <v>76.299899999999994</v>
      </c>
      <c r="H244" s="60">
        <v>1.7746999999999999</v>
      </c>
    </row>
    <row r="245" spans="1:8" x14ac:dyDescent="0.15">
      <c r="A245" s="60" t="s">
        <v>11</v>
      </c>
      <c r="B245" s="60">
        <v>2510</v>
      </c>
      <c r="C245" s="60">
        <v>23</v>
      </c>
      <c r="D245" s="60">
        <v>7.6999999999999999E-2</v>
      </c>
      <c r="E245" s="60">
        <v>410.56709999999998</v>
      </c>
      <c r="F245" s="60">
        <v>17.59</v>
      </c>
      <c r="G245" s="60">
        <v>76.478200000000001</v>
      </c>
      <c r="H245" s="60">
        <v>1.7706999999999999</v>
      </c>
    </row>
    <row r="246" spans="1:8" x14ac:dyDescent="0.15">
      <c r="A246" s="60" t="s">
        <v>11</v>
      </c>
      <c r="B246" s="60">
        <v>2510</v>
      </c>
      <c r="C246" s="60">
        <v>23</v>
      </c>
      <c r="D246" s="60">
        <v>7.6899999999999996E-2</v>
      </c>
      <c r="E246" s="60">
        <v>411.19810000000001</v>
      </c>
      <c r="F246" s="60">
        <v>17.617000000000001</v>
      </c>
      <c r="G246" s="60">
        <v>76.595699999999994</v>
      </c>
      <c r="H246" s="60">
        <v>1.7677</v>
      </c>
    </row>
    <row r="247" spans="1:8" x14ac:dyDescent="0.15">
      <c r="A247" s="60" t="s">
        <v>11</v>
      </c>
      <c r="B247" s="60">
        <v>2510</v>
      </c>
      <c r="C247" s="60">
        <v>23</v>
      </c>
      <c r="D247" s="60">
        <v>7.7399999999999997E-2</v>
      </c>
      <c r="E247" s="60">
        <v>408.38499999999999</v>
      </c>
      <c r="F247" s="60">
        <v>17.495999999999999</v>
      </c>
      <c r="G247" s="60">
        <v>76.071700000000007</v>
      </c>
      <c r="H247" s="60">
        <v>1.7797000000000001</v>
      </c>
    </row>
    <row r="248" spans="1:8" x14ac:dyDescent="0.15">
      <c r="A248" s="60" t="s">
        <v>11</v>
      </c>
      <c r="B248" s="60">
        <v>2510</v>
      </c>
      <c r="C248" s="60">
        <v>23</v>
      </c>
      <c r="D248" s="60">
        <v>7.6899999999999996E-2</v>
      </c>
      <c r="E248" s="60">
        <v>411.2296</v>
      </c>
      <c r="F248" s="60">
        <v>17.617999999999999</v>
      </c>
      <c r="G248" s="60">
        <v>76.601600000000005</v>
      </c>
      <c r="H248" s="60">
        <v>1.7677</v>
      </c>
    </row>
    <row r="249" spans="1:8" x14ac:dyDescent="0.15">
      <c r="A249" s="60" t="s">
        <v>11</v>
      </c>
      <c r="B249" s="60">
        <v>2510</v>
      </c>
      <c r="C249" s="60">
        <v>23</v>
      </c>
      <c r="D249" s="60">
        <v>7.7299999999999994E-2</v>
      </c>
      <c r="E249" s="60">
        <v>409.17079999999999</v>
      </c>
      <c r="F249" s="60">
        <v>17.53</v>
      </c>
      <c r="G249" s="60">
        <v>76.218000000000004</v>
      </c>
      <c r="H249" s="60">
        <v>1.7766999999999999</v>
      </c>
    </row>
    <row r="250" spans="1:8" x14ac:dyDescent="0.15">
      <c r="A250" s="60" t="s">
        <v>11</v>
      </c>
      <c r="B250" s="60">
        <v>2510</v>
      </c>
      <c r="C250" s="60">
        <v>23</v>
      </c>
      <c r="D250" s="60">
        <v>7.7700000000000005E-2</v>
      </c>
      <c r="E250" s="60">
        <v>406.77749999999997</v>
      </c>
      <c r="F250" s="60">
        <v>17.428000000000001</v>
      </c>
      <c r="G250" s="60">
        <v>75.772199999999998</v>
      </c>
      <c r="H250" s="60">
        <v>1.7877000000000001</v>
      </c>
    </row>
    <row r="251" spans="1:8" x14ac:dyDescent="0.15">
      <c r="A251" s="60" t="s">
        <v>11</v>
      </c>
      <c r="B251" s="60">
        <v>2510</v>
      </c>
      <c r="C251" s="60">
        <v>23</v>
      </c>
      <c r="D251" s="60">
        <v>8.3400000000000002E-2</v>
      </c>
      <c r="E251" s="60">
        <v>379.04700000000003</v>
      </c>
      <c r="F251" s="60">
        <v>16.239999999999998</v>
      </c>
      <c r="G251" s="60">
        <v>70.606700000000004</v>
      </c>
      <c r="H251" s="60">
        <v>1.9177</v>
      </c>
    </row>
    <row r="252" spans="1:8" x14ac:dyDescent="0.15">
      <c r="A252" s="60" t="s">
        <v>11</v>
      </c>
      <c r="B252" s="60">
        <v>2510</v>
      </c>
      <c r="C252" s="60">
        <v>23</v>
      </c>
      <c r="D252" s="60">
        <v>8.3400000000000002E-2</v>
      </c>
      <c r="E252" s="60">
        <v>379.2679</v>
      </c>
      <c r="F252" s="60">
        <v>16.248999999999999</v>
      </c>
      <c r="G252" s="60">
        <v>70.647900000000007</v>
      </c>
      <c r="H252" s="60">
        <v>1.9167000000000001</v>
      </c>
    </row>
    <row r="253" spans="1:8" x14ac:dyDescent="0.15">
      <c r="A253" s="60" t="s">
        <v>11</v>
      </c>
      <c r="B253" s="60">
        <v>2510</v>
      </c>
      <c r="C253" s="60">
        <v>23</v>
      </c>
      <c r="D253" s="60">
        <v>8.3099999999999993E-2</v>
      </c>
      <c r="E253" s="60">
        <v>380.47550000000001</v>
      </c>
      <c r="F253" s="60">
        <v>16.300999999999998</v>
      </c>
      <c r="G253" s="60">
        <v>70.872900000000001</v>
      </c>
      <c r="H253" s="60">
        <v>1.9097</v>
      </c>
    </row>
    <row r="254" spans="1:8" x14ac:dyDescent="0.15">
      <c r="A254" s="60" t="s">
        <v>11</v>
      </c>
      <c r="B254" s="60">
        <v>2510</v>
      </c>
      <c r="C254" s="60">
        <v>23</v>
      </c>
      <c r="D254" s="60">
        <v>8.2900000000000001E-2</v>
      </c>
      <c r="E254" s="60">
        <v>381.69830000000002</v>
      </c>
      <c r="F254" s="60">
        <v>16.353000000000002</v>
      </c>
      <c r="G254" s="60">
        <v>71.1006</v>
      </c>
      <c r="H254" s="60">
        <v>1.9047000000000001</v>
      </c>
    </row>
    <row r="255" spans="1:8" x14ac:dyDescent="0.15">
      <c r="A255" s="60" t="s">
        <v>11</v>
      </c>
      <c r="B255" s="60">
        <v>2510</v>
      </c>
      <c r="C255" s="60">
        <v>23</v>
      </c>
      <c r="D255" s="60">
        <v>8.2799999999999999E-2</v>
      </c>
      <c r="E255" s="60">
        <v>381.86649999999997</v>
      </c>
      <c r="F255" s="60">
        <v>16.36</v>
      </c>
      <c r="G255" s="60">
        <v>71.132000000000005</v>
      </c>
      <c r="H255" s="60">
        <v>1.9036999999999999</v>
      </c>
    </row>
    <row r="256" spans="1:8" x14ac:dyDescent="0.15">
      <c r="A256" s="60" t="s">
        <v>11</v>
      </c>
      <c r="B256" s="60">
        <v>2510</v>
      </c>
      <c r="C256" s="60">
        <v>23</v>
      </c>
      <c r="D256" s="60">
        <v>8.2500000000000004E-2</v>
      </c>
      <c r="E256" s="60">
        <v>383.48140000000001</v>
      </c>
      <c r="F256" s="60">
        <v>16.43</v>
      </c>
      <c r="G256" s="60">
        <v>71.4328</v>
      </c>
      <c r="H256" s="60">
        <v>1.8956999999999999</v>
      </c>
    </row>
    <row r="257" spans="1:8" x14ac:dyDescent="0.15">
      <c r="A257" s="60" t="s">
        <v>11</v>
      </c>
      <c r="B257" s="60">
        <v>2510</v>
      </c>
      <c r="C257" s="60">
        <v>23</v>
      </c>
      <c r="D257" s="60">
        <v>8.1799999999999998E-2</v>
      </c>
      <c r="E257" s="60">
        <v>386.56540000000001</v>
      </c>
      <c r="F257" s="60">
        <v>16.562000000000001</v>
      </c>
      <c r="G257" s="60">
        <v>72.007199999999997</v>
      </c>
      <c r="H257" s="60">
        <v>1.8807</v>
      </c>
    </row>
    <row r="258" spans="1:8" x14ac:dyDescent="0.15">
      <c r="A258" s="60" t="s">
        <v>11</v>
      </c>
      <c r="B258" s="60">
        <v>2510</v>
      </c>
      <c r="C258" s="60">
        <v>23</v>
      </c>
      <c r="D258" s="60">
        <v>8.2000000000000003E-2</v>
      </c>
      <c r="E258" s="60">
        <v>385.54790000000003</v>
      </c>
      <c r="F258" s="60">
        <v>16.518000000000001</v>
      </c>
      <c r="G258" s="60">
        <v>71.817700000000002</v>
      </c>
      <c r="H258" s="60">
        <v>1.8856999999999999</v>
      </c>
    </row>
    <row r="259" spans="1:8" x14ac:dyDescent="0.15">
      <c r="A259" s="60" t="s">
        <v>11</v>
      </c>
      <c r="B259" s="60">
        <v>2510</v>
      </c>
      <c r="C259" s="60">
        <v>23</v>
      </c>
      <c r="D259" s="60">
        <v>8.2299999999999998E-2</v>
      </c>
      <c r="E259" s="60">
        <v>384.10359999999997</v>
      </c>
      <c r="F259" s="60">
        <v>16.456</v>
      </c>
      <c r="G259" s="60">
        <v>71.548699999999997</v>
      </c>
      <c r="H259" s="60">
        <v>1.8927</v>
      </c>
    </row>
    <row r="260" spans="1:8" x14ac:dyDescent="0.15">
      <c r="A260" s="60" t="s">
        <v>11</v>
      </c>
      <c r="B260" s="60">
        <v>2510</v>
      </c>
      <c r="C260" s="60">
        <v>23</v>
      </c>
      <c r="D260" s="60">
        <v>8.2199999999999995E-2</v>
      </c>
      <c r="E260" s="60">
        <v>384.64949999999999</v>
      </c>
      <c r="F260" s="60">
        <v>16.48</v>
      </c>
      <c r="G260" s="60">
        <v>71.650400000000005</v>
      </c>
      <c r="H260" s="60">
        <v>1.8896999999999999</v>
      </c>
    </row>
    <row r="261" spans="1:8" x14ac:dyDescent="0.15">
      <c r="A261" s="60" t="s">
        <v>11</v>
      </c>
      <c r="B261" s="60">
        <v>2510</v>
      </c>
      <c r="C261" s="60">
        <v>23</v>
      </c>
      <c r="D261" s="60">
        <v>8.2299999999999998E-2</v>
      </c>
      <c r="E261" s="60">
        <v>384.27809999999999</v>
      </c>
      <c r="F261" s="60">
        <v>16.463999999999999</v>
      </c>
      <c r="G261" s="60">
        <v>71.581199999999995</v>
      </c>
      <c r="H261" s="60">
        <v>1.8916999999999999</v>
      </c>
    </row>
    <row r="262" spans="1:8" x14ac:dyDescent="0.15">
      <c r="A262" s="60" t="s">
        <v>11</v>
      </c>
      <c r="B262" s="60">
        <v>2510</v>
      </c>
      <c r="C262" s="60">
        <v>23</v>
      </c>
      <c r="D262" s="60">
        <v>8.2400000000000001E-2</v>
      </c>
      <c r="E262" s="60">
        <v>383.96260000000001</v>
      </c>
      <c r="F262" s="60">
        <v>16.45</v>
      </c>
      <c r="G262" s="60">
        <v>71.522400000000005</v>
      </c>
      <c r="H262" s="60">
        <v>1.8936999999999999</v>
      </c>
    </row>
    <row r="263" spans="1:8" x14ac:dyDescent="0.15">
      <c r="A263" s="60" t="s">
        <v>11</v>
      </c>
      <c r="B263" s="60">
        <v>2510</v>
      </c>
      <c r="C263" s="60">
        <v>23</v>
      </c>
      <c r="D263" s="60">
        <v>8.2100000000000006E-2</v>
      </c>
      <c r="E263" s="60">
        <v>384.98809999999997</v>
      </c>
      <c r="F263" s="60">
        <v>16.494</v>
      </c>
      <c r="G263" s="60">
        <v>71.713399999999993</v>
      </c>
      <c r="H263" s="60">
        <v>1.8876999999999999</v>
      </c>
    </row>
    <row r="264" spans="1:8" x14ac:dyDescent="0.15">
      <c r="A264" s="60" t="s">
        <v>11</v>
      </c>
      <c r="B264" s="60">
        <v>2510</v>
      </c>
      <c r="C264" s="60">
        <v>23</v>
      </c>
      <c r="D264" s="60">
        <v>8.2299999999999998E-2</v>
      </c>
      <c r="E264" s="60">
        <v>384.30180000000001</v>
      </c>
      <c r="F264" s="60">
        <v>16.465</v>
      </c>
      <c r="G264" s="60">
        <v>71.585599999999999</v>
      </c>
      <c r="H264" s="60">
        <v>1.8916999999999999</v>
      </c>
    </row>
    <row r="265" spans="1:8" x14ac:dyDescent="0.15">
      <c r="A265" s="60" t="s">
        <v>11</v>
      </c>
      <c r="B265" s="60">
        <v>2510</v>
      </c>
      <c r="C265" s="60">
        <v>23</v>
      </c>
      <c r="D265" s="60">
        <v>8.2199999999999995E-2</v>
      </c>
      <c r="E265" s="60">
        <v>384.61590000000001</v>
      </c>
      <c r="F265" s="60">
        <v>16.478000000000002</v>
      </c>
      <c r="G265" s="60">
        <v>71.644099999999995</v>
      </c>
      <c r="H265" s="60">
        <v>1.8907</v>
      </c>
    </row>
    <row r="266" spans="1:8" x14ac:dyDescent="0.15">
      <c r="A266" s="60" t="s">
        <v>11</v>
      </c>
      <c r="B266" s="60">
        <v>2510</v>
      </c>
      <c r="C266" s="60">
        <v>23</v>
      </c>
      <c r="D266" s="60">
        <v>8.2299999999999998E-2</v>
      </c>
      <c r="E266" s="60">
        <v>384.47289999999998</v>
      </c>
      <c r="F266" s="60">
        <v>16.472000000000001</v>
      </c>
      <c r="G266" s="60">
        <v>71.617500000000007</v>
      </c>
      <c r="H266" s="60">
        <v>1.8907</v>
      </c>
    </row>
    <row r="267" spans="1:8" x14ac:dyDescent="0.15">
      <c r="A267" s="60" t="s">
        <v>11</v>
      </c>
      <c r="B267" s="60">
        <v>2510</v>
      </c>
      <c r="C267" s="60">
        <v>23</v>
      </c>
      <c r="D267" s="60">
        <v>8.2400000000000001E-2</v>
      </c>
      <c r="E267" s="60">
        <v>383.61399999999998</v>
      </c>
      <c r="F267" s="60">
        <v>16.434999999999999</v>
      </c>
      <c r="G267" s="60">
        <v>71.457499999999996</v>
      </c>
      <c r="H267" s="60">
        <v>1.8947000000000001</v>
      </c>
    </row>
    <row r="268" spans="1:8" x14ac:dyDescent="0.15">
      <c r="A268" s="60" t="s">
        <v>11</v>
      </c>
      <c r="B268" s="60">
        <v>2510</v>
      </c>
      <c r="C268" s="60">
        <v>23</v>
      </c>
      <c r="D268" s="60">
        <v>8.2299999999999998E-2</v>
      </c>
      <c r="E268" s="60">
        <v>384.08449999999999</v>
      </c>
      <c r="F268" s="60">
        <v>16.454999999999998</v>
      </c>
      <c r="G268" s="60">
        <v>71.545100000000005</v>
      </c>
      <c r="H268" s="60">
        <v>1.8927</v>
      </c>
    </row>
    <row r="269" spans="1:8" x14ac:dyDescent="0.15">
      <c r="A269" s="60" t="s">
        <v>11</v>
      </c>
      <c r="B269" s="60">
        <v>2510</v>
      </c>
      <c r="C269" s="60">
        <v>23</v>
      </c>
      <c r="D269" s="60">
        <v>8.3699999999999997E-2</v>
      </c>
      <c r="E269" s="60">
        <v>378.03460000000001</v>
      </c>
      <c r="F269" s="60">
        <v>16.196000000000002</v>
      </c>
      <c r="G269" s="60">
        <v>70.418199999999999</v>
      </c>
      <c r="H269" s="60">
        <v>1.9197</v>
      </c>
    </row>
    <row r="270" spans="1:8" x14ac:dyDescent="0.15">
      <c r="A270" s="60" t="s">
        <v>11</v>
      </c>
      <c r="B270" s="60">
        <v>2510</v>
      </c>
      <c r="C270" s="60">
        <v>23</v>
      </c>
      <c r="D270" s="60">
        <v>8.2400000000000001E-2</v>
      </c>
      <c r="E270" s="60">
        <v>383.91180000000003</v>
      </c>
      <c r="F270" s="60">
        <v>16.448</v>
      </c>
      <c r="G270" s="60">
        <v>71.512900000000002</v>
      </c>
      <c r="H270" s="60">
        <v>1.8936999999999999</v>
      </c>
    </row>
    <row r="271" spans="1:8" x14ac:dyDescent="0.15">
      <c r="A271" s="60" t="s">
        <v>11</v>
      </c>
      <c r="B271" s="60">
        <v>2510</v>
      </c>
      <c r="C271" s="60">
        <v>23</v>
      </c>
      <c r="D271" s="60">
        <v>8.2299999999999998E-2</v>
      </c>
      <c r="E271" s="60">
        <v>384.26900000000001</v>
      </c>
      <c r="F271" s="60">
        <v>16.463000000000001</v>
      </c>
      <c r="G271" s="60">
        <v>71.579499999999996</v>
      </c>
      <c r="H271" s="60">
        <v>1.8907</v>
      </c>
    </row>
    <row r="272" spans="1:8" x14ac:dyDescent="0.15">
      <c r="A272" s="60" t="s">
        <v>11</v>
      </c>
      <c r="B272" s="60">
        <v>2510</v>
      </c>
      <c r="C272" s="60">
        <v>23</v>
      </c>
      <c r="D272" s="60">
        <v>8.2199999999999995E-2</v>
      </c>
      <c r="E272" s="60">
        <v>384.94049999999999</v>
      </c>
      <c r="F272" s="60">
        <v>16.492000000000001</v>
      </c>
      <c r="G272" s="60">
        <v>71.704599999999999</v>
      </c>
      <c r="H272" s="60">
        <v>1.8887</v>
      </c>
    </row>
    <row r="273" spans="1:8" x14ac:dyDescent="0.15">
      <c r="A273" s="60" t="s">
        <v>11</v>
      </c>
      <c r="B273" s="60">
        <v>2510</v>
      </c>
      <c r="C273" s="60">
        <v>23</v>
      </c>
      <c r="D273" s="60">
        <v>8.2500000000000004E-2</v>
      </c>
      <c r="E273" s="60">
        <v>383.54680000000002</v>
      </c>
      <c r="F273" s="60">
        <v>16.431999999999999</v>
      </c>
      <c r="G273" s="60">
        <v>71.444999999999993</v>
      </c>
      <c r="H273" s="60">
        <v>1.8947000000000001</v>
      </c>
    </row>
    <row r="274" spans="1:8" x14ac:dyDescent="0.15">
      <c r="A274" s="60" t="s">
        <v>11</v>
      </c>
      <c r="B274" s="60">
        <v>2510</v>
      </c>
      <c r="C274" s="60">
        <v>23</v>
      </c>
      <c r="D274" s="60">
        <v>8.2400000000000001E-2</v>
      </c>
      <c r="E274" s="60">
        <v>383.72609999999997</v>
      </c>
      <c r="F274" s="60">
        <v>16.440000000000001</v>
      </c>
      <c r="G274" s="60">
        <v>71.478300000000004</v>
      </c>
      <c r="H274" s="60">
        <v>1.8936999999999999</v>
      </c>
    </row>
    <row r="275" spans="1:8" x14ac:dyDescent="0.15">
      <c r="A275" s="60" t="s">
        <v>11</v>
      </c>
      <c r="B275" s="60">
        <v>2510</v>
      </c>
      <c r="C275" s="60">
        <v>23</v>
      </c>
      <c r="D275" s="60">
        <v>8.2199999999999995E-2</v>
      </c>
      <c r="E275" s="60">
        <v>384.58080000000001</v>
      </c>
      <c r="F275" s="60">
        <v>16.477</v>
      </c>
      <c r="G275" s="60">
        <v>71.637600000000006</v>
      </c>
      <c r="H275" s="60">
        <v>1.8907</v>
      </c>
    </row>
    <row r="276" spans="1:8" x14ac:dyDescent="0.15">
      <c r="A276" s="60" t="s">
        <v>11</v>
      </c>
      <c r="B276" s="60">
        <v>2510</v>
      </c>
      <c r="C276" s="60">
        <v>23</v>
      </c>
      <c r="D276" s="60">
        <v>8.2400000000000001E-2</v>
      </c>
      <c r="E276" s="60">
        <v>383.98200000000003</v>
      </c>
      <c r="F276" s="60">
        <v>16.451000000000001</v>
      </c>
      <c r="G276" s="60">
        <v>71.525999999999996</v>
      </c>
      <c r="H276" s="60">
        <v>1.8927</v>
      </c>
    </row>
    <row r="277" spans="1:8" x14ac:dyDescent="0.15">
      <c r="A277" s="60" t="s">
        <v>11</v>
      </c>
      <c r="B277" s="60">
        <v>2510</v>
      </c>
      <c r="C277" s="60">
        <v>23</v>
      </c>
      <c r="D277" s="60">
        <v>8.2600000000000007E-2</v>
      </c>
      <c r="E277" s="60">
        <v>383.00580000000002</v>
      </c>
      <c r="F277" s="60">
        <v>16.408999999999999</v>
      </c>
      <c r="G277" s="60">
        <v>71.344200000000001</v>
      </c>
      <c r="H277" s="60">
        <v>1.8976999999999999</v>
      </c>
    </row>
    <row r="278" spans="1:8" x14ac:dyDescent="0.15">
      <c r="A278" s="60" t="s">
        <v>11</v>
      </c>
      <c r="B278" s="60">
        <v>2510</v>
      </c>
      <c r="C278" s="60">
        <v>23</v>
      </c>
      <c r="D278" s="60">
        <v>8.2199999999999995E-2</v>
      </c>
      <c r="E278" s="60">
        <v>384.85180000000003</v>
      </c>
      <c r="F278" s="60">
        <v>16.488</v>
      </c>
      <c r="G278" s="60">
        <v>71.688000000000002</v>
      </c>
      <c r="H278" s="60">
        <v>1.8887</v>
      </c>
    </row>
    <row r="279" spans="1:8" x14ac:dyDescent="0.15">
      <c r="A279" s="60" t="s">
        <v>11</v>
      </c>
      <c r="B279" s="60">
        <v>2510</v>
      </c>
      <c r="C279" s="60">
        <v>23</v>
      </c>
      <c r="D279" s="60">
        <v>8.2299999999999998E-2</v>
      </c>
      <c r="E279" s="60">
        <v>384.22320000000002</v>
      </c>
      <c r="F279" s="60">
        <v>16.460999999999999</v>
      </c>
      <c r="G279" s="60">
        <v>71.570899999999995</v>
      </c>
      <c r="H279" s="60">
        <v>1.8916999999999999</v>
      </c>
    </row>
    <row r="280" spans="1:8" x14ac:dyDescent="0.15">
      <c r="A280" s="60" t="s">
        <v>11</v>
      </c>
      <c r="B280" s="60">
        <v>2510</v>
      </c>
      <c r="C280" s="60">
        <v>24</v>
      </c>
      <c r="D280" s="60">
        <v>0.13789999999999999</v>
      </c>
      <c r="E280" s="60">
        <v>229.29230000000001</v>
      </c>
      <c r="F280" s="60">
        <v>9.8239999999999998</v>
      </c>
      <c r="G280" s="60">
        <v>40.931699999999999</v>
      </c>
      <c r="H280" s="60">
        <v>3.1705000000000001</v>
      </c>
    </row>
    <row r="281" spans="1:8" x14ac:dyDescent="0.15">
      <c r="A281" s="60" t="s">
        <v>11</v>
      </c>
      <c r="B281" s="60">
        <v>2510</v>
      </c>
      <c r="C281" s="60">
        <v>24</v>
      </c>
      <c r="D281" s="60">
        <v>0.13139999999999999</v>
      </c>
      <c r="E281" s="60">
        <v>240.7517</v>
      </c>
      <c r="F281" s="60">
        <v>10.315</v>
      </c>
      <c r="G281" s="60">
        <v>42.9773</v>
      </c>
      <c r="H281" s="60">
        <v>3.0194999999999999</v>
      </c>
    </row>
    <row r="282" spans="1:8" x14ac:dyDescent="0.15">
      <c r="A282" s="60" t="s">
        <v>11</v>
      </c>
      <c r="B282" s="60">
        <v>2510</v>
      </c>
      <c r="C282" s="60">
        <v>24</v>
      </c>
      <c r="D282" s="60">
        <v>0.13400000000000001</v>
      </c>
      <c r="E282" s="60">
        <v>236.0198</v>
      </c>
      <c r="F282" s="60">
        <v>10.112</v>
      </c>
      <c r="G282" s="60">
        <v>42.132599999999996</v>
      </c>
      <c r="H282" s="60">
        <v>3.0794999999999999</v>
      </c>
    </row>
    <row r="283" spans="1:8" x14ac:dyDescent="0.15">
      <c r="A283" s="60" t="s">
        <v>11</v>
      </c>
      <c r="B283" s="60">
        <v>2510</v>
      </c>
      <c r="C283" s="60">
        <v>24</v>
      </c>
      <c r="D283" s="60">
        <v>0.13589999999999999</v>
      </c>
      <c r="E283" s="60">
        <v>232.73929999999999</v>
      </c>
      <c r="F283" s="60">
        <v>9.9710000000000001</v>
      </c>
      <c r="G283" s="60">
        <v>41.546999999999997</v>
      </c>
      <c r="H283" s="60">
        <v>3.1244999999999998</v>
      </c>
    </row>
    <row r="284" spans="1:8" x14ac:dyDescent="0.15">
      <c r="A284" s="60" t="s">
        <v>11</v>
      </c>
      <c r="B284" s="60">
        <v>2510</v>
      </c>
      <c r="C284" s="60">
        <v>24</v>
      </c>
      <c r="D284" s="60">
        <v>0.1298</v>
      </c>
      <c r="E284" s="60">
        <v>243.56479999999999</v>
      </c>
      <c r="F284" s="60">
        <v>10.435</v>
      </c>
      <c r="G284" s="60">
        <v>43.479500000000002</v>
      </c>
      <c r="H284" s="60">
        <v>2.9845999999999999</v>
      </c>
    </row>
    <row r="285" spans="1:8" x14ac:dyDescent="0.15">
      <c r="A285" s="60" t="s">
        <v>11</v>
      </c>
      <c r="B285" s="60">
        <v>2510</v>
      </c>
      <c r="C285" s="60">
        <v>24</v>
      </c>
      <c r="D285" s="60">
        <v>0.13600000000000001</v>
      </c>
      <c r="E285" s="60">
        <v>232.49959999999999</v>
      </c>
      <c r="F285" s="60">
        <v>9.9610000000000003</v>
      </c>
      <c r="G285" s="60">
        <v>41.504199999999997</v>
      </c>
      <c r="H285" s="60">
        <v>3.1265000000000001</v>
      </c>
    </row>
    <row r="286" spans="1:8" x14ac:dyDescent="0.15">
      <c r="A286" s="60" t="s">
        <v>11</v>
      </c>
      <c r="B286" s="60">
        <v>2510</v>
      </c>
      <c r="C286" s="60">
        <v>24</v>
      </c>
      <c r="D286" s="60">
        <v>0.13009999999999999</v>
      </c>
      <c r="E286" s="60">
        <v>243.09800000000001</v>
      </c>
      <c r="F286" s="60">
        <v>10.414999999999999</v>
      </c>
      <c r="G286" s="60">
        <v>43.396099999999997</v>
      </c>
      <c r="H286" s="60">
        <v>2.9904999999999999</v>
      </c>
    </row>
    <row r="287" spans="1:8" x14ac:dyDescent="0.15">
      <c r="A287" s="60" t="s">
        <v>11</v>
      </c>
      <c r="B287" s="60">
        <v>2510</v>
      </c>
      <c r="C287" s="60">
        <v>24</v>
      </c>
      <c r="D287" s="60">
        <v>0.12959999999999999</v>
      </c>
      <c r="E287" s="60">
        <v>243.9794</v>
      </c>
      <c r="F287" s="60">
        <v>10.452999999999999</v>
      </c>
      <c r="G287" s="60">
        <v>43.5535</v>
      </c>
      <c r="H287" s="60">
        <v>2.9796</v>
      </c>
    </row>
    <row r="288" spans="1:8" x14ac:dyDescent="0.15">
      <c r="A288" s="60" t="s">
        <v>11</v>
      </c>
      <c r="B288" s="60">
        <v>2510</v>
      </c>
      <c r="C288" s="60">
        <v>24</v>
      </c>
      <c r="D288" s="60">
        <v>0.12720000000000001</v>
      </c>
      <c r="E288" s="60">
        <v>248.65029999999999</v>
      </c>
      <c r="F288" s="60">
        <v>10.653</v>
      </c>
      <c r="G288" s="60">
        <v>44.387300000000003</v>
      </c>
      <c r="H288" s="60">
        <v>2.9236</v>
      </c>
    </row>
    <row r="289" spans="1:8" x14ac:dyDescent="0.15">
      <c r="A289" s="60" t="s">
        <v>11</v>
      </c>
      <c r="B289" s="60">
        <v>2510</v>
      </c>
      <c r="C289" s="60">
        <v>24</v>
      </c>
      <c r="D289" s="60">
        <v>0.13469999999999999</v>
      </c>
      <c r="E289" s="60">
        <v>234.8141</v>
      </c>
      <c r="F289" s="60">
        <v>10.06</v>
      </c>
      <c r="G289" s="60">
        <v>41.917400000000001</v>
      </c>
      <c r="H289" s="60">
        <v>3.0964999999999998</v>
      </c>
    </row>
    <row r="290" spans="1:8" x14ac:dyDescent="0.15">
      <c r="A290" s="60" t="s">
        <v>11</v>
      </c>
      <c r="B290" s="60">
        <v>2510</v>
      </c>
      <c r="C290" s="60">
        <v>24</v>
      </c>
      <c r="D290" s="60">
        <v>0.1273</v>
      </c>
      <c r="E290" s="60">
        <v>248.4742</v>
      </c>
      <c r="F290" s="60">
        <v>10.645</v>
      </c>
      <c r="G290" s="60">
        <v>44.355899999999998</v>
      </c>
      <c r="H290" s="60">
        <v>2.9256000000000002</v>
      </c>
    </row>
    <row r="291" spans="1:8" x14ac:dyDescent="0.15">
      <c r="A291" s="60" t="s">
        <v>11</v>
      </c>
      <c r="B291" s="60">
        <v>2510</v>
      </c>
      <c r="C291" s="60">
        <v>24</v>
      </c>
      <c r="D291" s="60">
        <v>0.13450000000000001</v>
      </c>
      <c r="E291" s="60">
        <v>235.20359999999999</v>
      </c>
      <c r="F291" s="60">
        <v>10.077</v>
      </c>
      <c r="G291" s="60">
        <v>41.986899999999999</v>
      </c>
      <c r="H291" s="60">
        <v>3.0905</v>
      </c>
    </row>
    <row r="292" spans="1:8" x14ac:dyDescent="0.15">
      <c r="A292" s="60" t="s">
        <v>11</v>
      </c>
      <c r="B292" s="60">
        <v>2510</v>
      </c>
      <c r="C292" s="60">
        <v>24</v>
      </c>
      <c r="D292" s="60">
        <v>0.1341</v>
      </c>
      <c r="E292" s="60">
        <v>235.78489999999999</v>
      </c>
      <c r="F292" s="60">
        <v>10.102</v>
      </c>
      <c r="G292" s="60">
        <v>42.090699999999998</v>
      </c>
      <c r="H292" s="60">
        <v>3.0825</v>
      </c>
    </row>
    <row r="293" spans="1:8" x14ac:dyDescent="0.15">
      <c r="A293" s="60" t="s">
        <v>11</v>
      </c>
      <c r="B293" s="60">
        <v>2510</v>
      </c>
      <c r="C293" s="60">
        <v>24</v>
      </c>
      <c r="D293" s="60">
        <v>0.13320000000000001</v>
      </c>
      <c r="E293" s="60">
        <v>237.4263</v>
      </c>
      <c r="F293" s="60">
        <v>10.172000000000001</v>
      </c>
      <c r="G293" s="60">
        <v>42.383699999999997</v>
      </c>
      <c r="H293" s="60">
        <v>3.0625</v>
      </c>
    </row>
    <row r="294" spans="1:8" x14ac:dyDescent="0.15">
      <c r="A294" s="60" t="s">
        <v>11</v>
      </c>
      <c r="B294" s="60">
        <v>2510</v>
      </c>
      <c r="C294" s="60">
        <v>24</v>
      </c>
      <c r="D294" s="60">
        <v>0.1275</v>
      </c>
      <c r="E294" s="60">
        <v>248.10069999999999</v>
      </c>
      <c r="F294" s="60">
        <v>10.629</v>
      </c>
      <c r="G294" s="60">
        <v>44.289200000000001</v>
      </c>
      <c r="H294" s="60">
        <v>2.9296000000000002</v>
      </c>
    </row>
    <row r="295" spans="1:8" x14ac:dyDescent="0.15">
      <c r="A295" s="60" t="s">
        <v>11</v>
      </c>
      <c r="B295" s="60">
        <v>2510</v>
      </c>
      <c r="C295" s="60">
        <v>24</v>
      </c>
      <c r="D295" s="60">
        <v>0.12909999999999999</v>
      </c>
      <c r="E295" s="60">
        <v>245.0625</v>
      </c>
      <c r="F295" s="60">
        <v>10.499000000000001</v>
      </c>
      <c r="G295" s="60">
        <v>43.7468</v>
      </c>
      <c r="H295" s="60">
        <v>2.9666000000000001</v>
      </c>
    </row>
    <row r="296" spans="1:8" x14ac:dyDescent="0.15">
      <c r="A296" s="60" t="s">
        <v>11</v>
      </c>
      <c r="B296" s="60">
        <v>2510</v>
      </c>
      <c r="C296" s="60">
        <v>24</v>
      </c>
      <c r="D296" s="60">
        <v>0.13039999999999999</v>
      </c>
      <c r="E296" s="60">
        <v>242.4718</v>
      </c>
      <c r="F296" s="60">
        <v>10.388</v>
      </c>
      <c r="G296" s="60">
        <v>43.284399999999998</v>
      </c>
      <c r="H296" s="60">
        <v>2.9975000000000001</v>
      </c>
    </row>
    <row r="297" spans="1:8" x14ac:dyDescent="0.15">
      <c r="A297" s="60" t="s">
        <v>11</v>
      </c>
      <c r="B297" s="60">
        <v>2510</v>
      </c>
      <c r="C297" s="60">
        <v>24</v>
      </c>
      <c r="D297" s="60">
        <v>0.1288</v>
      </c>
      <c r="E297" s="60">
        <v>245.476</v>
      </c>
      <c r="F297" s="60">
        <v>10.516999999999999</v>
      </c>
      <c r="G297" s="60">
        <v>43.820700000000002</v>
      </c>
      <c r="H297" s="60">
        <v>2.9615</v>
      </c>
    </row>
    <row r="298" spans="1:8" x14ac:dyDescent="0.15">
      <c r="A298" s="60" t="s">
        <v>11</v>
      </c>
      <c r="B298" s="60">
        <v>2510</v>
      </c>
      <c r="C298" s="60">
        <v>24</v>
      </c>
      <c r="D298" s="60">
        <v>0.13439999999999999</v>
      </c>
      <c r="E298" s="60">
        <v>235.3152</v>
      </c>
      <c r="F298" s="60">
        <v>10.082000000000001</v>
      </c>
      <c r="G298" s="60">
        <v>42.006799999999998</v>
      </c>
      <c r="H298" s="60">
        <v>3.0895000000000001</v>
      </c>
    </row>
    <row r="299" spans="1:8" x14ac:dyDescent="0.15">
      <c r="A299" s="60" t="s">
        <v>11</v>
      </c>
      <c r="B299" s="60">
        <v>2510</v>
      </c>
      <c r="C299" s="60">
        <v>24</v>
      </c>
      <c r="D299" s="60">
        <v>0.1298</v>
      </c>
      <c r="E299" s="60">
        <v>243.63640000000001</v>
      </c>
      <c r="F299" s="60">
        <v>10.438000000000001</v>
      </c>
      <c r="G299" s="60">
        <v>43.4923</v>
      </c>
      <c r="H299" s="60">
        <v>2.9845000000000002</v>
      </c>
    </row>
    <row r="300" spans="1:8" x14ac:dyDescent="0.15">
      <c r="A300" s="60" t="s">
        <v>11</v>
      </c>
      <c r="B300" s="60">
        <v>2510</v>
      </c>
      <c r="C300" s="60">
        <v>24</v>
      </c>
      <c r="D300" s="60">
        <v>0.128</v>
      </c>
      <c r="E300" s="60">
        <v>247.03700000000001</v>
      </c>
      <c r="F300" s="60">
        <v>10.584</v>
      </c>
      <c r="G300" s="60">
        <v>44.099299999999999</v>
      </c>
      <c r="H300" s="60">
        <v>2.9426000000000001</v>
      </c>
    </row>
    <row r="301" spans="1:8" x14ac:dyDescent="0.15">
      <c r="A301" s="60" t="s">
        <v>11</v>
      </c>
      <c r="B301" s="60">
        <v>2510</v>
      </c>
      <c r="C301" s="60">
        <v>24</v>
      </c>
      <c r="D301" s="60">
        <v>0.13059999999999999</v>
      </c>
      <c r="E301" s="60">
        <v>242.15799999999999</v>
      </c>
      <c r="F301" s="60">
        <v>10.375</v>
      </c>
      <c r="G301" s="60">
        <v>43.228299999999997</v>
      </c>
      <c r="H301" s="60">
        <v>3.0005000000000002</v>
      </c>
    </row>
    <row r="302" spans="1:8" x14ac:dyDescent="0.15">
      <c r="A302" s="60" t="s">
        <v>11</v>
      </c>
      <c r="B302" s="60">
        <v>2510</v>
      </c>
      <c r="C302" s="60">
        <v>24</v>
      </c>
      <c r="D302" s="60">
        <v>0.129</v>
      </c>
      <c r="E302" s="60">
        <v>245.09379999999999</v>
      </c>
      <c r="F302" s="60">
        <v>10.500999999999999</v>
      </c>
      <c r="G302" s="60">
        <v>43.752400000000002</v>
      </c>
      <c r="H302" s="60">
        <v>2.9655</v>
      </c>
    </row>
    <row r="303" spans="1:8" x14ac:dyDescent="0.15">
      <c r="A303" s="60" t="s">
        <v>11</v>
      </c>
      <c r="B303" s="60">
        <v>2510</v>
      </c>
      <c r="C303" s="60">
        <v>24</v>
      </c>
      <c r="D303" s="60">
        <v>0.1305</v>
      </c>
      <c r="E303" s="60">
        <v>242.28039999999999</v>
      </c>
      <c r="F303" s="60">
        <v>10.38</v>
      </c>
      <c r="G303" s="60">
        <v>43.2502</v>
      </c>
      <c r="H303" s="60">
        <v>3.0005000000000002</v>
      </c>
    </row>
    <row r="304" spans="1:8" x14ac:dyDescent="0.15">
      <c r="A304" s="60" t="s">
        <v>11</v>
      </c>
      <c r="B304" s="60">
        <v>2510</v>
      </c>
      <c r="C304" s="60">
        <v>24</v>
      </c>
      <c r="D304" s="60">
        <v>0.12970000000000001</v>
      </c>
      <c r="E304" s="60">
        <v>243.93279999999999</v>
      </c>
      <c r="F304" s="60">
        <v>10.451000000000001</v>
      </c>
      <c r="G304" s="60">
        <v>43.545200000000001</v>
      </c>
      <c r="H304" s="60">
        <v>2.9805000000000001</v>
      </c>
    </row>
    <row r="305" spans="1:8" x14ac:dyDescent="0.15">
      <c r="A305" s="60" t="s">
        <v>11</v>
      </c>
      <c r="B305" s="60">
        <v>2510</v>
      </c>
      <c r="C305" s="60">
        <v>24</v>
      </c>
      <c r="D305" s="60">
        <v>0.1273</v>
      </c>
      <c r="E305" s="60">
        <v>248.50989999999999</v>
      </c>
      <c r="F305" s="60">
        <v>10.647</v>
      </c>
      <c r="G305" s="60">
        <v>44.362200000000001</v>
      </c>
      <c r="H305" s="60">
        <v>2.9256000000000002</v>
      </c>
    </row>
    <row r="306" spans="1:8" x14ac:dyDescent="0.15">
      <c r="A306" s="60" t="s">
        <v>11</v>
      </c>
      <c r="B306" s="60">
        <v>2510</v>
      </c>
      <c r="C306" s="60">
        <v>24</v>
      </c>
      <c r="D306" s="60">
        <v>0.13059999999999999</v>
      </c>
      <c r="E306" s="60">
        <v>242.08199999999999</v>
      </c>
      <c r="F306" s="60">
        <v>10.372</v>
      </c>
      <c r="G306" s="60">
        <v>43.214799999999997</v>
      </c>
      <c r="H306" s="60">
        <v>3.0024999999999999</v>
      </c>
    </row>
    <row r="307" spans="1:8" x14ac:dyDescent="0.15">
      <c r="A307" s="60" t="s">
        <v>11</v>
      </c>
      <c r="B307" s="60">
        <v>2510</v>
      </c>
      <c r="C307" s="60">
        <v>24</v>
      </c>
      <c r="D307" s="60">
        <v>0.13239999999999999</v>
      </c>
      <c r="E307" s="60">
        <v>238.93520000000001</v>
      </c>
      <c r="F307" s="60">
        <v>10.237</v>
      </c>
      <c r="G307" s="60">
        <v>42.652999999999999</v>
      </c>
      <c r="H307" s="60">
        <v>3.0425</v>
      </c>
    </row>
    <row r="308" spans="1:8" x14ac:dyDescent="0.15">
      <c r="A308" s="60" t="s">
        <v>11</v>
      </c>
      <c r="B308" s="60">
        <v>2510</v>
      </c>
      <c r="C308" s="60">
        <v>24</v>
      </c>
      <c r="D308" s="60">
        <v>0.1295</v>
      </c>
      <c r="E308" s="60">
        <v>244.136</v>
      </c>
      <c r="F308" s="60">
        <v>10.46</v>
      </c>
      <c r="G308" s="60">
        <v>43.581400000000002</v>
      </c>
      <c r="H308" s="60">
        <v>2.9784999999999999</v>
      </c>
    </row>
    <row r="309" spans="1:8" x14ac:dyDescent="0.15">
      <c r="A309" s="60" t="s">
        <v>11</v>
      </c>
      <c r="B309" s="60">
        <v>2510</v>
      </c>
      <c r="C309" s="60">
        <v>24</v>
      </c>
      <c r="D309" s="60">
        <v>0.1308</v>
      </c>
      <c r="E309" s="60">
        <v>241.75460000000001</v>
      </c>
      <c r="F309" s="60">
        <v>10.358000000000001</v>
      </c>
      <c r="G309" s="60">
        <v>43.156300000000002</v>
      </c>
      <c r="H309" s="60">
        <v>3.0065</v>
      </c>
    </row>
    <row r="310" spans="1:8" x14ac:dyDescent="0.15">
      <c r="A310" s="60" t="s">
        <v>11</v>
      </c>
      <c r="B310" s="60">
        <v>2510</v>
      </c>
      <c r="C310" s="60">
        <v>24</v>
      </c>
      <c r="D310" s="60">
        <v>0.1227</v>
      </c>
      <c r="E310" s="60">
        <v>257.66180000000003</v>
      </c>
      <c r="F310" s="60">
        <v>11.039</v>
      </c>
      <c r="G310" s="60">
        <v>45.996000000000002</v>
      </c>
      <c r="H310" s="60">
        <v>2.8216000000000001</v>
      </c>
    </row>
    <row r="311" spans="1:8" x14ac:dyDescent="0.15">
      <c r="A311" s="60" t="s">
        <v>11</v>
      </c>
      <c r="B311" s="60">
        <v>2510</v>
      </c>
      <c r="C311" s="60">
        <v>24</v>
      </c>
      <c r="D311" s="60">
        <v>0.13109999999999999</v>
      </c>
      <c r="E311" s="60">
        <v>241.2602</v>
      </c>
      <c r="F311" s="60">
        <v>10.336</v>
      </c>
      <c r="G311" s="60">
        <v>43.068100000000001</v>
      </c>
      <c r="H311" s="60">
        <v>3.0125000000000002</v>
      </c>
    </row>
    <row r="312" spans="1:8" x14ac:dyDescent="0.15">
      <c r="A312" s="60" t="s">
        <v>11</v>
      </c>
      <c r="B312" s="60">
        <v>2510</v>
      </c>
      <c r="C312" s="60">
        <v>24</v>
      </c>
      <c r="D312" s="60">
        <v>0.13350000000000001</v>
      </c>
      <c r="E312" s="60">
        <v>236.97800000000001</v>
      </c>
      <c r="F312" s="60">
        <v>10.153</v>
      </c>
      <c r="G312" s="60">
        <v>42.303600000000003</v>
      </c>
      <c r="H312" s="60">
        <v>3.0674999999999999</v>
      </c>
    </row>
    <row r="313" spans="1:8" x14ac:dyDescent="0.15">
      <c r="A313" s="60" t="s">
        <v>11</v>
      </c>
      <c r="B313" s="60">
        <v>2510</v>
      </c>
      <c r="C313" s="60">
        <v>24</v>
      </c>
      <c r="D313" s="60">
        <v>0.1305</v>
      </c>
      <c r="E313" s="60">
        <v>242.29669999999999</v>
      </c>
      <c r="F313" s="60">
        <v>10.381</v>
      </c>
      <c r="G313" s="60">
        <v>43.253100000000003</v>
      </c>
      <c r="H313" s="60">
        <v>3.0005000000000002</v>
      </c>
    </row>
    <row r="314" spans="1:8" x14ac:dyDescent="0.15">
      <c r="A314" s="60" t="s">
        <v>11</v>
      </c>
      <c r="B314" s="60">
        <v>2510</v>
      </c>
      <c r="C314" s="60">
        <v>24</v>
      </c>
      <c r="D314" s="60">
        <v>0.13</v>
      </c>
      <c r="E314" s="60">
        <v>243.35659999999999</v>
      </c>
      <c r="F314" s="60">
        <v>10.426</v>
      </c>
      <c r="G314" s="60">
        <v>43.442300000000003</v>
      </c>
      <c r="H314" s="60">
        <v>2.9874999999999998</v>
      </c>
    </row>
    <row r="315" spans="1:8" x14ac:dyDescent="0.15">
      <c r="A315" s="60" t="s">
        <v>11</v>
      </c>
      <c r="B315" s="60">
        <v>2510</v>
      </c>
      <c r="C315" s="60">
        <v>24</v>
      </c>
      <c r="D315" s="60">
        <v>0.13139999999999999</v>
      </c>
      <c r="E315" s="60">
        <v>240.66249999999999</v>
      </c>
      <c r="F315" s="60">
        <v>10.311</v>
      </c>
      <c r="G315" s="60">
        <v>42.961399999999998</v>
      </c>
      <c r="H315" s="60">
        <v>3.0205000000000002</v>
      </c>
    </row>
    <row r="316" spans="1:8" x14ac:dyDescent="0.15">
      <c r="A316" s="60" t="s">
        <v>11</v>
      </c>
      <c r="B316" s="60">
        <v>2510</v>
      </c>
      <c r="C316" s="60">
        <v>24</v>
      </c>
      <c r="D316" s="60">
        <v>0.13250000000000001</v>
      </c>
      <c r="E316" s="60">
        <v>238.75129999999999</v>
      </c>
      <c r="F316" s="60">
        <v>10.228999999999999</v>
      </c>
      <c r="G316" s="60">
        <v>42.620199999999997</v>
      </c>
      <c r="H316" s="60">
        <v>3.0445000000000002</v>
      </c>
    </row>
    <row r="317" spans="1:8" x14ac:dyDescent="0.15">
      <c r="A317" s="60" t="s">
        <v>11</v>
      </c>
      <c r="B317" s="60">
        <v>2510</v>
      </c>
      <c r="C317" s="60">
        <v>24</v>
      </c>
      <c r="D317" s="60">
        <v>0.13239999999999999</v>
      </c>
      <c r="E317" s="60">
        <v>238.923</v>
      </c>
      <c r="F317" s="60">
        <v>10.236000000000001</v>
      </c>
      <c r="G317" s="60">
        <v>42.6509</v>
      </c>
      <c r="H317" s="60">
        <v>3.0425</v>
      </c>
    </row>
    <row r="318" spans="1:8" x14ac:dyDescent="0.15">
      <c r="A318" s="60" t="s">
        <v>11</v>
      </c>
      <c r="B318" s="60">
        <v>2510</v>
      </c>
      <c r="C318" s="60">
        <v>24</v>
      </c>
      <c r="D318" s="60">
        <v>0.1288</v>
      </c>
      <c r="E318" s="60">
        <v>245.6277</v>
      </c>
      <c r="F318" s="60">
        <v>10.523</v>
      </c>
      <c r="G318" s="60">
        <v>43.847700000000003</v>
      </c>
      <c r="H318" s="60">
        <v>2.9594999999999998</v>
      </c>
    </row>
    <row r="319" spans="1:8" x14ac:dyDescent="0.15">
      <c r="A319" s="60" t="s">
        <v>11</v>
      </c>
      <c r="B319" s="60">
        <v>2510</v>
      </c>
      <c r="C319" s="60">
        <v>24</v>
      </c>
      <c r="D319" s="60">
        <v>0.12720000000000001</v>
      </c>
      <c r="E319" s="60">
        <v>248.54329999999999</v>
      </c>
      <c r="F319" s="60">
        <v>10.648</v>
      </c>
      <c r="G319" s="60">
        <v>44.368200000000002</v>
      </c>
      <c r="H319" s="60">
        <v>2.9256000000000002</v>
      </c>
    </row>
    <row r="320" spans="1:8" x14ac:dyDescent="0.15">
      <c r="A320" s="60" t="s">
        <v>11</v>
      </c>
      <c r="B320" s="60">
        <v>2510</v>
      </c>
      <c r="C320" s="60">
        <v>24</v>
      </c>
      <c r="D320" s="60">
        <v>0.1285</v>
      </c>
      <c r="E320" s="60">
        <v>246.10079999999999</v>
      </c>
      <c r="F320" s="60">
        <v>10.544</v>
      </c>
      <c r="G320" s="60">
        <v>43.932200000000002</v>
      </c>
      <c r="H320" s="60">
        <v>2.9535999999999998</v>
      </c>
    </row>
    <row r="321" spans="1:8" x14ac:dyDescent="0.15">
      <c r="A321" s="60" t="s">
        <v>11</v>
      </c>
      <c r="B321" s="60">
        <v>2510</v>
      </c>
      <c r="C321" s="60">
        <v>24</v>
      </c>
      <c r="D321" s="60">
        <v>0.129</v>
      </c>
      <c r="E321" s="60">
        <v>245.17670000000001</v>
      </c>
      <c r="F321" s="60">
        <v>10.504</v>
      </c>
      <c r="G321" s="60">
        <v>43.767200000000003</v>
      </c>
      <c r="H321" s="60">
        <v>2.9655</v>
      </c>
    </row>
    <row r="322" spans="1:8" x14ac:dyDescent="0.15">
      <c r="A322" s="60" t="s">
        <v>11</v>
      </c>
      <c r="B322" s="60">
        <v>2510</v>
      </c>
      <c r="C322" s="60">
        <v>24</v>
      </c>
      <c r="D322" s="60">
        <v>0.13089999999999999</v>
      </c>
      <c r="E322" s="60">
        <v>241.67619999999999</v>
      </c>
      <c r="F322" s="60">
        <v>10.353999999999999</v>
      </c>
      <c r="G322" s="60">
        <v>43.142299999999999</v>
      </c>
      <c r="H322" s="60">
        <v>3.0074999999999998</v>
      </c>
    </row>
    <row r="323" spans="1:8" x14ac:dyDescent="0.15">
      <c r="A323" s="60" t="s">
        <v>11</v>
      </c>
      <c r="B323" s="60">
        <v>2510</v>
      </c>
      <c r="C323" s="60">
        <v>24</v>
      </c>
      <c r="D323" s="60">
        <v>0.1356</v>
      </c>
      <c r="E323" s="60">
        <v>233.2604</v>
      </c>
      <c r="F323" s="60">
        <v>9.9939999999999998</v>
      </c>
      <c r="G323" s="60">
        <v>41.64</v>
      </c>
      <c r="H323" s="60">
        <v>3.1175000000000002</v>
      </c>
    </row>
    <row r="324" spans="1:8" x14ac:dyDescent="0.15">
      <c r="A324" s="60" t="s">
        <v>11</v>
      </c>
      <c r="B324" s="60">
        <v>2510</v>
      </c>
      <c r="C324" s="60">
        <v>24</v>
      </c>
      <c r="D324" s="60">
        <v>0.13089999999999999</v>
      </c>
      <c r="E324" s="60">
        <v>241.51830000000001</v>
      </c>
      <c r="F324" s="60">
        <v>10.347</v>
      </c>
      <c r="G324" s="60">
        <v>43.114100000000001</v>
      </c>
      <c r="H324" s="60">
        <v>3.0095999999999998</v>
      </c>
    </row>
    <row r="325" spans="1:8" x14ac:dyDescent="0.15">
      <c r="A325" s="60" t="s">
        <v>11</v>
      </c>
      <c r="B325" s="60">
        <v>2510</v>
      </c>
      <c r="C325" s="60">
        <v>24</v>
      </c>
      <c r="D325" s="60">
        <v>0.13220000000000001</v>
      </c>
      <c r="E325" s="60">
        <v>239.24250000000001</v>
      </c>
      <c r="F325" s="60">
        <v>10.25</v>
      </c>
      <c r="G325" s="60">
        <v>42.707900000000002</v>
      </c>
      <c r="H325" s="60">
        <v>3.0375000000000001</v>
      </c>
    </row>
    <row r="326" spans="1:8" x14ac:dyDescent="0.15">
      <c r="A326" s="60" t="s">
        <v>11</v>
      </c>
      <c r="B326" s="60">
        <v>2510</v>
      </c>
      <c r="C326" s="60">
        <v>24</v>
      </c>
      <c r="D326" s="60">
        <v>0.13350000000000001</v>
      </c>
      <c r="E326" s="60">
        <v>236.94829999999999</v>
      </c>
      <c r="F326" s="60">
        <v>10.151999999999999</v>
      </c>
      <c r="G326" s="60">
        <v>42.298299999999998</v>
      </c>
      <c r="H326" s="60">
        <v>3.0684999999999998</v>
      </c>
    </row>
    <row r="327" spans="1:8" x14ac:dyDescent="0.15">
      <c r="A327" s="60" t="s">
        <v>11</v>
      </c>
      <c r="B327" s="60">
        <v>2510</v>
      </c>
      <c r="C327" s="60">
        <v>24</v>
      </c>
      <c r="D327" s="60">
        <v>0.13420000000000001</v>
      </c>
      <c r="E327" s="60">
        <v>235.66839999999999</v>
      </c>
      <c r="F327" s="60">
        <v>10.097</v>
      </c>
      <c r="G327" s="60">
        <v>42.069899999999997</v>
      </c>
      <c r="H327" s="60">
        <v>3.0844999999999998</v>
      </c>
    </row>
    <row r="328" spans="1:8" x14ac:dyDescent="0.15">
      <c r="A328" s="60" t="s">
        <v>11</v>
      </c>
      <c r="B328" s="60">
        <v>2510</v>
      </c>
      <c r="C328" s="60">
        <v>24</v>
      </c>
      <c r="D328" s="60">
        <v>0.12939999999999999</v>
      </c>
      <c r="E328" s="60">
        <v>244.37469999999999</v>
      </c>
      <c r="F328" s="60">
        <v>10.47</v>
      </c>
      <c r="G328" s="60">
        <v>43.624099999999999</v>
      </c>
      <c r="H328" s="60">
        <v>2.9744999999999999</v>
      </c>
    </row>
    <row r="329" spans="1:8" x14ac:dyDescent="0.15">
      <c r="A329" s="60" t="s">
        <v>11</v>
      </c>
      <c r="B329" s="60">
        <v>2510</v>
      </c>
      <c r="C329" s="60">
        <v>24</v>
      </c>
      <c r="D329" s="60">
        <v>0.12740000000000001</v>
      </c>
      <c r="E329" s="60">
        <v>248.1592</v>
      </c>
      <c r="F329" s="60">
        <v>10.632</v>
      </c>
      <c r="G329" s="60">
        <v>44.299599999999998</v>
      </c>
      <c r="H329" s="60">
        <v>2.9296000000000002</v>
      </c>
    </row>
    <row r="330" spans="1:8" x14ac:dyDescent="0.15">
      <c r="A330" s="60" t="s">
        <v>11</v>
      </c>
      <c r="B330" s="60">
        <v>2510</v>
      </c>
      <c r="C330" s="60">
        <v>24</v>
      </c>
      <c r="D330" s="60">
        <v>0.12790000000000001</v>
      </c>
      <c r="E330" s="60">
        <v>247.21369999999999</v>
      </c>
      <c r="F330" s="60">
        <v>10.590999999999999</v>
      </c>
      <c r="G330" s="60">
        <v>44.130899999999997</v>
      </c>
      <c r="H330" s="60">
        <v>2.9416000000000002</v>
      </c>
    </row>
    <row r="331" spans="1:8" x14ac:dyDescent="0.15">
      <c r="A331" s="60" t="s">
        <v>11</v>
      </c>
      <c r="B331" s="60">
        <v>10000</v>
      </c>
      <c r="C331" s="60">
        <v>1</v>
      </c>
      <c r="D331" s="60">
        <v>85.1892</v>
      </c>
      <c r="E331" s="60">
        <v>23.4772</v>
      </c>
      <c r="F331" s="60">
        <v>1</v>
      </c>
      <c r="G331" s="60">
        <v>100</v>
      </c>
      <c r="H331" s="60">
        <v>85.131100000000004</v>
      </c>
    </row>
    <row r="332" spans="1:8" x14ac:dyDescent="0.15">
      <c r="A332" s="60" t="s">
        <v>11</v>
      </c>
      <c r="B332" s="60">
        <v>10000</v>
      </c>
      <c r="C332" s="60">
        <v>1</v>
      </c>
      <c r="D332" s="60">
        <v>85.003900000000002</v>
      </c>
      <c r="E332" s="60">
        <v>23.528300000000002</v>
      </c>
      <c r="F332" s="60">
        <v>1.002</v>
      </c>
      <c r="G332" s="60">
        <v>100.218</v>
      </c>
      <c r="H332" s="60">
        <v>84.947100000000006</v>
      </c>
    </row>
    <row r="333" spans="1:8" x14ac:dyDescent="0.15">
      <c r="A333" s="60" t="s">
        <v>11</v>
      </c>
      <c r="B333" s="60">
        <v>10000</v>
      </c>
      <c r="C333" s="60">
        <v>1</v>
      </c>
      <c r="D333" s="60">
        <v>84.989900000000006</v>
      </c>
      <c r="E333" s="60">
        <v>23.5322</v>
      </c>
      <c r="F333" s="60">
        <v>1.002</v>
      </c>
      <c r="G333" s="60">
        <v>100.2345</v>
      </c>
      <c r="H333" s="60">
        <v>84.934100000000001</v>
      </c>
    </row>
    <row r="334" spans="1:8" x14ac:dyDescent="0.15">
      <c r="A334" s="60" t="s">
        <v>11</v>
      </c>
      <c r="B334" s="60">
        <v>10000</v>
      </c>
      <c r="C334" s="60">
        <v>1</v>
      </c>
      <c r="D334" s="60">
        <v>84.982299999999995</v>
      </c>
      <c r="E334" s="60">
        <v>23.534300000000002</v>
      </c>
      <c r="F334" s="60">
        <v>1.002</v>
      </c>
      <c r="G334" s="60">
        <v>100.2435</v>
      </c>
      <c r="H334" s="60">
        <v>84.9251</v>
      </c>
    </row>
    <row r="335" spans="1:8" x14ac:dyDescent="0.15">
      <c r="A335" s="60" t="s">
        <v>11</v>
      </c>
      <c r="B335" s="60">
        <v>10000</v>
      </c>
      <c r="C335" s="60">
        <v>1</v>
      </c>
      <c r="D335" s="60">
        <v>84.982200000000006</v>
      </c>
      <c r="E335" s="60">
        <v>23.534300000000002</v>
      </c>
      <c r="F335" s="60">
        <v>1.002</v>
      </c>
      <c r="G335" s="60">
        <v>100.2436</v>
      </c>
      <c r="H335" s="60">
        <v>84.9251</v>
      </c>
    </row>
    <row r="336" spans="1:8" x14ac:dyDescent="0.15">
      <c r="A336" s="60" t="s">
        <v>11</v>
      </c>
      <c r="B336" s="60">
        <v>10000</v>
      </c>
      <c r="C336" s="60">
        <v>1</v>
      </c>
      <c r="D336" s="60">
        <v>84.969499999999996</v>
      </c>
      <c r="E336" s="60">
        <v>23.537800000000001</v>
      </c>
      <c r="F336" s="60">
        <v>1.0029999999999999</v>
      </c>
      <c r="G336" s="60">
        <v>100.2585</v>
      </c>
      <c r="H336" s="60">
        <v>84.9131</v>
      </c>
    </row>
    <row r="337" spans="1:8" x14ac:dyDescent="0.15">
      <c r="A337" s="60" t="s">
        <v>11</v>
      </c>
      <c r="B337" s="60">
        <v>10000</v>
      </c>
      <c r="C337" s="60">
        <v>23</v>
      </c>
      <c r="D337" s="60">
        <v>4.8192000000000004</v>
      </c>
      <c r="E337" s="60">
        <v>415.00369999999998</v>
      </c>
      <c r="F337" s="60">
        <v>17.677</v>
      </c>
      <c r="G337" s="60">
        <v>76.856200000000001</v>
      </c>
      <c r="H337" s="60">
        <v>110.6722</v>
      </c>
    </row>
    <row r="338" spans="1:8" x14ac:dyDescent="0.15">
      <c r="A338" s="60" t="s">
        <v>11</v>
      </c>
      <c r="B338" s="60">
        <v>10000</v>
      </c>
      <c r="C338" s="60">
        <v>23</v>
      </c>
      <c r="D338" s="60">
        <v>4.9273999999999996</v>
      </c>
      <c r="E338" s="60">
        <v>405.89519999999999</v>
      </c>
      <c r="F338" s="60">
        <v>17.289000000000001</v>
      </c>
      <c r="G338" s="60">
        <v>75.169300000000007</v>
      </c>
      <c r="H338" s="60">
        <v>113.24679999999999</v>
      </c>
    </row>
    <row r="339" spans="1:8" x14ac:dyDescent="0.15">
      <c r="A339" s="60" t="s">
        <v>11</v>
      </c>
      <c r="B339" s="60">
        <v>10000</v>
      </c>
      <c r="C339" s="60">
        <v>23</v>
      </c>
      <c r="D339" s="60">
        <v>4.9322999999999997</v>
      </c>
      <c r="E339" s="60">
        <v>405.48680000000002</v>
      </c>
      <c r="F339" s="60">
        <v>17.271999999999998</v>
      </c>
      <c r="G339" s="60">
        <v>75.093699999999998</v>
      </c>
      <c r="H339" s="60">
        <v>113.35680000000001</v>
      </c>
    </row>
    <row r="340" spans="1:8" x14ac:dyDescent="0.15">
      <c r="A340" s="60" t="s">
        <v>11</v>
      </c>
      <c r="B340" s="60">
        <v>10000</v>
      </c>
      <c r="C340" s="60">
        <v>23</v>
      </c>
      <c r="D340" s="60">
        <v>4.9424000000000001</v>
      </c>
      <c r="E340" s="60">
        <v>404.65890000000002</v>
      </c>
      <c r="F340" s="60">
        <v>17.236000000000001</v>
      </c>
      <c r="G340" s="60">
        <v>74.940399999999997</v>
      </c>
      <c r="H340" s="60">
        <v>113.59269999999999</v>
      </c>
    </row>
    <row r="341" spans="1:8" x14ac:dyDescent="0.15">
      <c r="A341" s="60" t="s">
        <v>11</v>
      </c>
      <c r="B341" s="60">
        <v>10000</v>
      </c>
      <c r="C341" s="60">
        <v>23</v>
      </c>
      <c r="D341" s="60">
        <v>4.9615</v>
      </c>
      <c r="E341" s="60">
        <v>403.10500000000002</v>
      </c>
      <c r="F341" s="60">
        <v>17.170000000000002</v>
      </c>
      <c r="G341" s="60">
        <v>74.652600000000007</v>
      </c>
      <c r="H341" s="60">
        <v>114.0287</v>
      </c>
    </row>
    <row r="342" spans="1:8" x14ac:dyDescent="0.15">
      <c r="A342" s="60" t="s">
        <v>11</v>
      </c>
      <c r="B342" s="60">
        <v>10000</v>
      </c>
      <c r="C342" s="60">
        <v>23</v>
      </c>
      <c r="D342" s="60">
        <v>4.9809999999999999</v>
      </c>
      <c r="E342" s="60">
        <v>401.52569999999997</v>
      </c>
      <c r="F342" s="60">
        <v>17.103000000000002</v>
      </c>
      <c r="G342" s="60">
        <v>74.360100000000003</v>
      </c>
      <c r="H342" s="60">
        <v>114.4675</v>
      </c>
    </row>
    <row r="343" spans="1:8" x14ac:dyDescent="0.15">
      <c r="A343" s="60" t="s">
        <v>11</v>
      </c>
      <c r="B343" s="60">
        <v>10000</v>
      </c>
      <c r="C343" s="60">
        <v>23</v>
      </c>
      <c r="D343" s="60">
        <v>4.9885000000000002</v>
      </c>
      <c r="E343" s="60">
        <v>400.9221</v>
      </c>
      <c r="F343" s="60">
        <v>17.077000000000002</v>
      </c>
      <c r="G343" s="60">
        <v>74.2483</v>
      </c>
      <c r="H343" s="60">
        <v>114.6486</v>
      </c>
    </row>
    <row r="344" spans="1:8" x14ac:dyDescent="0.15">
      <c r="A344" s="60" t="s">
        <v>11</v>
      </c>
      <c r="B344" s="60">
        <v>10000</v>
      </c>
      <c r="C344" s="60">
        <v>23</v>
      </c>
      <c r="D344" s="60">
        <v>4.9988999999999999</v>
      </c>
      <c r="E344" s="60">
        <v>400.08789999999999</v>
      </c>
      <c r="F344" s="60">
        <v>17.042000000000002</v>
      </c>
      <c r="G344" s="60">
        <v>74.093800000000002</v>
      </c>
      <c r="H344" s="60">
        <v>114.8896</v>
      </c>
    </row>
    <row r="345" spans="1:8" x14ac:dyDescent="0.15">
      <c r="A345" s="60" t="s">
        <v>11</v>
      </c>
      <c r="B345" s="60">
        <v>10000</v>
      </c>
      <c r="C345" s="60">
        <v>23</v>
      </c>
      <c r="D345" s="60">
        <v>5.0072000000000001</v>
      </c>
      <c r="E345" s="60">
        <v>399.42840000000001</v>
      </c>
      <c r="F345" s="60">
        <v>17.013000000000002</v>
      </c>
      <c r="G345" s="60">
        <v>73.971699999999998</v>
      </c>
      <c r="H345" s="60">
        <v>115.07850000000001</v>
      </c>
    </row>
    <row r="346" spans="1:8" x14ac:dyDescent="0.15">
      <c r="A346" s="60" t="s">
        <v>11</v>
      </c>
      <c r="B346" s="60">
        <v>10000</v>
      </c>
      <c r="C346" s="60">
        <v>23</v>
      </c>
      <c r="D346" s="60">
        <v>5.0133000000000001</v>
      </c>
      <c r="E346" s="60">
        <v>398.93770000000001</v>
      </c>
      <c r="F346" s="60">
        <v>16.992999999999999</v>
      </c>
      <c r="G346" s="60">
        <v>73.880799999999994</v>
      </c>
      <c r="H346" s="60">
        <v>115.2124</v>
      </c>
    </row>
    <row r="347" spans="1:8" x14ac:dyDescent="0.15">
      <c r="A347" s="60" t="s">
        <v>11</v>
      </c>
      <c r="B347" s="60">
        <v>10000</v>
      </c>
      <c r="C347" s="60">
        <v>23</v>
      </c>
      <c r="D347" s="60">
        <v>5.0250000000000004</v>
      </c>
      <c r="E347" s="60">
        <v>398.00839999999999</v>
      </c>
      <c r="F347" s="60">
        <v>16.952999999999999</v>
      </c>
      <c r="G347" s="60">
        <v>73.708699999999993</v>
      </c>
      <c r="H347" s="60">
        <v>115.48950000000001</v>
      </c>
    </row>
    <row r="348" spans="1:8" x14ac:dyDescent="0.15">
      <c r="A348" s="60" t="s">
        <v>11</v>
      </c>
      <c r="B348" s="60">
        <v>10000</v>
      </c>
      <c r="C348" s="60">
        <v>23</v>
      </c>
      <c r="D348" s="60">
        <v>5.0354999999999999</v>
      </c>
      <c r="E348" s="60">
        <v>397.17759999999998</v>
      </c>
      <c r="F348" s="60">
        <v>16.917999999999999</v>
      </c>
      <c r="G348" s="60">
        <v>73.554900000000004</v>
      </c>
      <c r="H348" s="60">
        <v>115.73139999999999</v>
      </c>
    </row>
    <row r="349" spans="1:8" x14ac:dyDescent="0.15">
      <c r="A349" s="60" t="s">
        <v>11</v>
      </c>
      <c r="B349" s="60">
        <v>10000</v>
      </c>
      <c r="C349" s="60">
        <v>23</v>
      </c>
      <c r="D349" s="60">
        <v>5.0453999999999999</v>
      </c>
      <c r="E349" s="60">
        <v>396.40359999999998</v>
      </c>
      <c r="F349" s="60">
        <v>16.885000000000002</v>
      </c>
      <c r="G349" s="60">
        <v>73.411500000000004</v>
      </c>
      <c r="H349" s="60">
        <v>115.95529999999999</v>
      </c>
    </row>
    <row r="350" spans="1:8" x14ac:dyDescent="0.15">
      <c r="A350" s="60" t="s">
        <v>11</v>
      </c>
      <c r="B350" s="60">
        <v>10000</v>
      </c>
      <c r="C350" s="60">
        <v>23</v>
      </c>
      <c r="D350" s="60">
        <v>5.0542999999999996</v>
      </c>
      <c r="E350" s="60">
        <v>395.69979999999998</v>
      </c>
      <c r="F350" s="60">
        <v>16.855</v>
      </c>
      <c r="G350" s="60">
        <v>73.281199999999998</v>
      </c>
      <c r="H350" s="60">
        <v>116.1614</v>
      </c>
    </row>
    <row r="351" spans="1:8" x14ac:dyDescent="0.15">
      <c r="A351" s="60" t="s">
        <v>11</v>
      </c>
      <c r="B351" s="60">
        <v>10000</v>
      </c>
      <c r="C351" s="60">
        <v>23</v>
      </c>
      <c r="D351" s="60">
        <v>5.0614999999999997</v>
      </c>
      <c r="E351" s="60">
        <v>395.13799999999998</v>
      </c>
      <c r="F351" s="60">
        <v>16.831</v>
      </c>
      <c r="G351" s="60">
        <v>73.177199999999999</v>
      </c>
      <c r="H351" s="60">
        <v>116.3232</v>
      </c>
    </row>
    <row r="352" spans="1:8" x14ac:dyDescent="0.15">
      <c r="A352" s="60" t="s">
        <v>11</v>
      </c>
      <c r="B352" s="60">
        <v>10000</v>
      </c>
      <c r="C352" s="60">
        <v>23</v>
      </c>
      <c r="D352" s="60">
        <v>5.0698999999999996</v>
      </c>
      <c r="E352" s="60">
        <v>394.4864</v>
      </c>
      <c r="F352" s="60">
        <v>16.803000000000001</v>
      </c>
      <c r="G352" s="60">
        <v>73.0565</v>
      </c>
      <c r="H352" s="60">
        <v>116.5164</v>
      </c>
    </row>
    <row r="353" spans="1:8" x14ac:dyDescent="0.15">
      <c r="A353" s="60" t="s">
        <v>11</v>
      </c>
      <c r="B353" s="60">
        <v>10000</v>
      </c>
      <c r="C353" s="60">
        <v>23</v>
      </c>
      <c r="D353" s="60">
        <v>5.0734000000000004</v>
      </c>
      <c r="E353" s="60">
        <v>394.21530000000001</v>
      </c>
      <c r="F353" s="60">
        <v>16.791</v>
      </c>
      <c r="G353" s="60">
        <v>73.006299999999996</v>
      </c>
      <c r="H353" s="60">
        <v>116.5981</v>
      </c>
    </row>
    <row r="354" spans="1:8" x14ac:dyDescent="0.15">
      <c r="A354" s="60" t="s">
        <v>11</v>
      </c>
      <c r="B354" s="60">
        <v>10000</v>
      </c>
      <c r="C354" s="60">
        <v>23</v>
      </c>
      <c r="D354" s="60">
        <v>5.0808</v>
      </c>
      <c r="E354" s="60">
        <v>393.64179999999999</v>
      </c>
      <c r="F354" s="60">
        <v>16.766999999999999</v>
      </c>
      <c r="G354" s="60">
        <v>72.900099999999995</v>
      </c>
      <c r="H354" s="60">
        <v>116.75539999999999</v>
      </c>
    </row>
    <row r="355" spans="1:8" x14ac:dyDescent="0.15">
      <c r="A355" s="60" t="s">
        <v>11</v>
      </c>
      <c r="B355" s="60">
        <v>10000</v>
      </c>
      <c r="C355" s="60">
        <v>23</v>
      </c>
      <c r="D355" s="60">
        <v>5.0819999999999999</v>
      </c>
      <c r="E355" s="60">
        <v>393.54199999999997</v>
      </c>
      <c r="F355" s="60">
        <v>16.763000000000002</v>
      </c>
      <c r="G355" s="60">
        <v>72.881600000000006</v>
      </c>
      <c r="H355" s="60">
        <v>116.7961</v>
      </c>
    </row>
    <row r="356" spans="1:8" x14ac:dyDescent="0.15">
      <c r="A356" s="60" t="s">
        <v>11</v>
      </c>
      <c r="B356" s="60">
        <v>10000</v>
      </c>
      <c r="C356" s="60">
        <v>23</v>
      </c>
      <c r="D356" s="60">
        <v>5.0862999999999996</v>
      </c>
      <c r="E356" s="60">
        <v>393.21</v>
      </c>
      <c r="F356" s="60">
        <v>16.748999999999999</v>
      </c>
      <c r="G356" s="60">
        <v>72.820099999999996</v>
      </c>
      <c r="H356" s="60">
        <v>116.8994</v>
      </c>
    </row>
    <row r="357" spans="1:8" x14ac:dyDescent="0.15">
      <c r="A357" s="60" t="s">
        <v>11</v>
      </c>
      <c r="B357" s="60">
        <v>10000</v>
      </c>
      <c r="C357" s="60">
        <v>23</v>
      </c>
      <c r="D357" s="60">
        <v>5.0869999999999997</v>
      </c>
      <c r="E357" s="60">
        <v>393.15949999999998</v>
      </c>
      <c r="F357" s="60">
        <v>16.745999999999999</v>
      </c>
      <c r="G357" s="60">
        <v>72.8108</v>
      </c>
      <c r="H357" s="60">
        <v>116.9102</v>
      </c>
    </row>
    <row r="358" spans="1:8" x14ac:dyDescent="0.15">
      <c r="A358" s="60" t="s">
        <v>11</v>
      </c>
      <c r="B358" s="60">
        <v>10000</v>
      </c>
      <c r="C358" s="60">
        <v>23</v>
      </c>
      <c r="D358" s="60">
        <v>5.0929000000000002</v>
      </c>
      <c r="E358" s="60">
        <v>392.70460000000003</v>
      </c>
      <c r="F358" s="60">
        <v>16.727</v>
      </c>
      <c r="G358" s="60">
        <v>72.726500000000001</v>
      </c>
      <c r="H358" s="60">
        <v>117.0403</v>
      </c>
    </row>
    <row r="359" spans="1:8" x14ac:dyDescent="0.15">
      <c r="A359" s="60" t="s">
        <v>11</v>
      </c>
      <c r="B359" s="60">
        <v>10000</v>
      </c>
      <c r="C359" s="60">
        <v>23</v>
      </c>
      <c r="D359" s="60">
        <v>5.0959000000000003</v>
      </c>
      <c r="E359" s="60">
        <v>392.47309999999999</v>
      </c>
      <c r="F359" s="60">
        <v>16.716999999999999</v>
      </c>
      <c r="G359" s="60">
        <v>72.683599999999998</v>
      </c>
      <c r="H359" s="60">
        <v>117.1182</v>
      </c>
    </row>
    <row r="360" spans="1:8" x14ac:dyDescent="0.15">
      <c r="A360" s="60" t="s">
        <v>11</v>
      </c>
      <c r="B360" s="60">
        <v>10000</v>
      </c>
      <c r="C360" s="60">
        <v>23</v>
      </c>
      <c r="D360" s="60">
        <v>5.1001000000000003</v>
      </c>
      <c r="E360" s="60">
        <v>392.14890000000003</v>
      </c>
      <c r="F360" s="60">
        <v>16.702999999999999</v>
      </c>
      <c r="G360" s="60">
        <v>72.623599999999996</v>
      </c>
      <c r="H360" s="60">
        <v>117.2102</v>
      </c>
    </row>
    <row r="361" spans="1:8" x14ac:dyDescent="0.15">
      <c r="A361" s="60" t="s">
        <v>11</v>
      </c>
      <c r="B361" s="60">
        <v>10000</v>
      </c>
      <c r="C361" s="60">
        <v>23</v>
      </c>
      <c r="D361" s="60">
        <v>5.1018999999999997</v>
      </c>
      <c r="E361" s="60">
        <v>392.0136</v>
      </c>
      <c r="F361" s="60">
        <v>16.698</v>
      </c>
      <c r="G361" s="60">
        <v>72.598500000000001</v>
      </c>
      <c r="H361" s="60">
        <v>117.252</v>
      </c>
    </row>
    <row r="362" spans="1:8" x14ac:dyDescent="0.15">
      <c r="A362" s="60" t="s">
        <v>11</v>
      </c>
      <c r="B362" s="60">
        <v>10000</v>
      </c>
      <c r="C362" s="60">
        <v>23</v>
      </c>
      <c r="D362" s="60">
        <v>5.1045999999999996</v>
      </c>
      <c r="E362" s="60">
        <v>391.80529999999999</v>
      </c>
      <c r="F362" s="60">
        <v>16.689</v>
      </c>
      <c r="G362" s="60">
        <v>72.56</v>
      </c>
      <c r="H362" s="60">
        <v>117.31619999999999</v>
      </c>
    </row>
    <row r="363" spans="1:8" x14ac:dyDescent="0.15">
      <c r="A363" s="60" t="s">
        <v>11</v>
      </c>
      <c r="B363" s="60">
        <v>10000</v>
      </c>
      <c r="C363" s="60">
        <v>23</v>
      </c>
      <c r="D363" s="60">
        <v>5.1067</v>
      </c>
      <c r="E363" s="60">
        <v>391.64490000000001</v>
      </c>
      <c r="F363" s="60">
        <v>16.681999999999999</v>
      </c>
      <c r="G363" s="60">
        <v>72.530299999999997</v>
      </c>
      <c r="H363" s="60">
        <v>117.366</v>
      </c>
    </row>
    <row r="364" spans="1:8" x14ac:dyDescent="0.15">
      <c r="A364" s="60" t="s">
        <v>11</v>
      </c>
      <c r="B364" s="60">
        <v>10000</v>
      </c>
      <c r="C364" s="60">
        <v>23</v>
      </c>
      <c r="D364" s="60">
        <v>5.1093000000000002</v>
      </c>
      <c r="E364" s="60">
        <v>391.43959999999998</v>
      </c>
      <c r="F364" s="60">
        <v>16.672999999999998</v>
      </c>
      <c r="G364" s="60">
        <v>72.492199999999997</v>
      </c>
      <c r="H364" s="60">
        <v>117.4263</v>
      </c>
    </row>
    <row r="365" spans="1:8" x14ac:dyDescent="0.15">
      <c r="A365" s="60" t="s">
        <v>11</v>
      </c>
      <c r="B365" s="60">
        <v>10000</v>
      </c>
      <c r="C365" s="60">
        <v>23</v>
      </c>
      <c r="D365" s="60">
        <v>5.1111000000000004</v>
      </c>
      <c r="E365" s="60">
        <v>391.30189999999999</v>
      </c>
      <c r="F365" s="60">
        <v>16.667000000000002</v>
      </c>
      <c r="G365" s="60">
        <v>72.466700000000003</v>
      </c>
      <c r="H365" s="60">
        <v>117.46899999999999</v>
      </c>
    </row>
    <row r="366" spans="1:8" x14ac:dyDescent="0.15">
      <c r="A366" s="60" t="s">
        <v>11</v>
      </c>
      <c r="B366" s="60">
        <v>10000</v>
      </c>
      <c r="C366" s="60">
        <v>23</v>
      </c>
      <c r="D366" s="60">
        <v>5.1120999999999999</v>
      </c>
      <c r="E366" s="60">
        <v>391.22629999999998</v>
      </c>
      <c r="F366" s="60">
        <v>16.664000000000001</v>
      </c>
      <c r="G366" s="60">
        <v>72.452699999999993</v>
      </c>
      <c r="H366" s="60">
        <v>117.4893</v>
      </c>
    </row>
    <row r="367" spans="1:8" x14ac:dyDescent="0.15">
      <c r="A367" s="60" t="s">
        <v>11</v>
      </c>
      <c r="B367" s="60">
        <v>10000</v>
      </c>
      <c r="C367" s="60">
        <v>23</v>
      </c>
      <c r="D367" s="60">
        <v>5.1150000000000002</v>
      </c>
      <c r="E367" s="60">
        <v>391.0052</v>
      </c>
      <c r="F367" s="60">
        <v>16.655000000000001</v>
      </c>
      <c r="G367" s="60">
        <v>72.411799999999999</v>
      </c>
      <c r="H367" s="60">
        <v>117.5581</v>
      </c>
    </row>
    <row r="368" spans="1:8" x14ac:dyDescent="0.15">
      <c r="A368" s="60" t="s">
        <v>11</v>
      </c>
      <c r="B368" s="60">
        <v>10000</v>
      </c>
      <c r="C368" s="60">
        <v>23</v>
      </c>
      <c r="D368" s="60">
        <v>5.1157000000000004</v>
      </c>
      <c r="E368" s="60">
        <v>390.95280000000002</v>
      </c>
      <c r="F368" s="60">
        <v>16.652000000000001</v>
      </c>
      <c r="G368" s="60">
        <v>72.402100000000004</v>
      </c>
      <c r="H368" s="60">
        <v>117.5723</v>
      </c>
    </row>
    <row r="369" spans="1:8" x14ac:dyDescent="0.15">
      <c r="A369" s="60" t="s">
        <v>11</v>
      </c>
      <c r="B369" s="60">
        <v>10000</v>
      </c>
      <c r="C369" s="60">
        <v>23</v>
      </c>
      <c r="D369" s="60">
        <v>5.1155999999999997</v>
      </c>
      <c r="E369" s="60">
        <v>390.96140000000003</v>
      </c>
      <c r="F369" s="60">
        <v>16.652999999999999</v>
      </c>
      <c r="G369" s="60">
        <v>72.403700000000001</v>
      </c>
      <c r="H369" s="60">
        <v>117.5669</v>
      </c>
    </row>
    <row r="370" spans="1:8" x14ac:dyDescent="0.15">
      <c r="A370" s="60" t="s">
        <v>11</v>
      </c>
      <c r="B370" s="60">
        <v>10000</v>
      </c>
      <c r="C370" s="60">
        <v>23</v>
      </c>
      <c r="D370" s="60">
        <v>5.1158000000000001</v>
      </c>
      <c r="E370" s="60">
        <v>390.9461</v>
      </c>
      <c r="F370" s="60">
        <v>16.652000000000001</v>
      </c>
      <c r="G370" s="60">
        <v>72.400800000000004</v>
      </c>
      <c r="H370" s="60">
        <v>117.56740000000001</v>
      </c>
    </row>
    <row r="371" spans="1:8" x14ac:dyDescent="0.15">
      <c r="A371" s="60" t="s">
        <v>11</v>
      </c>
      <c r="B371" s="60">
        <v>10000</v>
      </c>
      <c r="C371" s="60">
        <v>23</v>
      </c>
      <c r="D371" s="60">
        <v>5.1163999999999996</v>
      </c>
      <c r="E371" s="60">
        <v>390.90089999999998</v>
      </c>
      <c r="F371" s="60">
        <v>16.649999999999999</v>
      </c>
      <c r="G371" s="60">
        <v>72.392499999999998</v>
      </c>
      <c r="H371" s="60">
        <v>117.5889</v>
      </c>
    </row>
    <row r="372" spans="1:8" x14ac:dyDescent="0.15">
      <c r="A372" s="60" t="s">
        <v>11</v>
      </c>
      <c r="B372" s="60">
        <v>10000</v>
      </c>
      <c r="C372" s="60">
        <v>23</v>
      </c>
      <c r="D372" s="60">
        <v>5.1170999999999998</v>
      </c>
      <c r="E372" s="60">
        <v>390.84530000000001</v>
      </c>
      <c r="F372" s="60">
        <v>16.648</v>
      </c>
      <c r="G372" s="60">
        <v>72.382199999999997</v>
      </c>
      <c r="H372" s="60">
        <v>117.60299999999999</v>
      </c>
    </row>
    <row r="373" spans="1:8" x14ac:dyDescent="0.15">
      <c r="A373" s="60" t="s">
        <v>11</v>
      </c>
      <c r="B373" s="60">
        <v>10000</v>
      </c>
      <c r="C373" s="60">
        <v>23</v>
      </c>
      <c r="D373" s="60">
        <v>5.117</v>
      </c>
      <c r="E373" s="60">
        <v>390.85079999999999</v>
      </c>
      <c r="F373" s="60">
        <v>16.648</v>
      </c>
      <c r="G373" s="60">
        <v>72.383200000000002</v>
      </c>
      <c r="H373" s="60">
        <v>117.6035</v>
      </c>
    </row>
    <row r="374" spans="1:8" x14ac:dyDescent="0.15">
      <c r="A374" s="60" t="s">
        <v>11</v>
      </c>
      <c r="B374" s="60">
        <v>10000</v>
      </c>
      <c r="C374" s="60">
        <v>23</v>
      </c>
      <c r="D374" s="60">
        <v>5.1169000000000002</v>
      </c>
      <c r="E374" s="60">
        <v>390.86290000000002</v>
      </c>
      <c r="F374" s="60">
        <v>16.649000000000001</v>
      </c>
      <c r="G374" s="60">
        <v>72.385400000000004</v>
      </c>
      <c r="H374" s="60">
        <v>117.59910000000001</v>
      </c>
    </row>
    <row r="375" spans="1:8" x14ac:dyDescent="0.15">
      <c r="A375" s="60" t="s">
        <v>11</v>
      </c>
      <c r="B375" s="60">
        <v>10000</v>
      </c>
      <c r="C375" s="60">
        <v>23</v>
      </c>
      <c r="D375" s="60">
        <v>5.1176000000000004</v>
      </c>
      <c r="E375" s="60">
        <v>390.81079999999997</v>
      </c>
      <c r="F375" s="60">
        <v>16.646000000000001</v>
      </c>
      <c r="G375" s="60">
        <v>72.375799999999998</v>
      </c>
      <c r="H375" s="60">
        <v>117.6157</v>
      </c>
    </row>
    <row r="376" spans="1:8" x14ac:dyDescent="0.15">
      <c r="A376" s="60" t="s">
        <v>11</v>
      </c>
      <c r="B376" s="60">
        <v>10000</v>
      </c>
      <c r="C376" s="60">
        <v>23</v>
      </c>
      <c r="D376" s="60">
        <v>5.1172000000000004</v>
      </c>
      <c r="E376" s="60">
        <v>390.83730000000003</v>
      </c>
      <c r="F376" s="60">
        <v>16.648</v>
      </c>
      <c r="G376" s="60">
        <v>72.380700000000004</v>
      </c>
      <c r="H376" s="60">
        <v>117.6074</v>
      </c>
    </row>
    <row r="377" spans="1:8" x14ac:dyDescent="0.15">
      <c r="A377" s="60" t="s">
        <v>11</v>
      </c>
      <c r="B377" s="60">
        <v>10000</v>
      </c>
      <c r="C377" s="60">
        <v>23</v>
      </c>
      <c r="D377" s="60">
        <v>5.1173999999999999</v>
      </c>
      <c r="E377" s="60">
        <v>390.82690000000002</v>
      </c>
      <c r="F377" s="60">
        <v>16.646999999999998</v>
      </c>
      <c r="G377" s="60">
        <v>72.378799999999998</v>
      </c>
      <c r="H377" s="60">
        <v>117.6108</v>
      </c>
    </row>
    <row r="378" spans="1:8" x14ac:dyDescent="0.15">
      <c r="A378" s="60" t="s">
        <v>11</v>
      </c>
      <c r="B378" s="60">
        <v>10000</v>
      </c>
      <c r="C378" s="60">
        <v>23</v>
      </c>
      <c r="D378" s="60">
        <v>5.1181000000000001</v>
      </c>
      <c r="E378" s="60">
        <v>390.77100000000002</v>
      </c>
      <c r="F378" s="60">
        <v>16.645</v>
      </c>
      <c r="G378" s="60">
        <v>72.368399999999994</v>
      </c>
      <c r="H378" s="60">
        <v>117.6113</v>
      </c>
    </row>
    <row r="379" spans="1:8" x14ac:dyDescent="0.15">
      <c r="A379" s="60" t="s">
        <v>11</v>
      </c>
      <c r="B379" s="60">
        <v>10000</v>
      </c>
      <c r="C379" s="60">
        <v>23</v>
      </c>
      <c r="D379" s="60">
        <v>5.1178999999999997</v>
      </c>
      <c r="E379" s="60">
        <v>390.78469999999999</v>
      </c>
      <c r="F379" s="60">
        <v>16.645</v>
      </c>
      <c r="G379" s="60">
        <v>72.370900000000006</v>
      </c>
      <c r="H379" s="60">
        <v>117.624</v>
      </c>
    </row>
    <row r="380" spans="1:8" x14ac:dyDescent="0.15">
      <c r="A380" s="60" t="s">
        <v>11</v>
      </c>
      <c r="B380" s="60">
        <v>10000</v>
      </c>
      <c r="C380" s="60">
        <v>23</v>
      </c>
      <c r="D380" s="60">
        <v>5.1172000000000004</v>
      </c>
      <c r="E380" s="60">
        <v>390.83539999999999</v>
      </c>
      <c r="F380" s="60">
        <v>16.646999999999998</v>
      </c>
      <c r="G380" s="60">
        <v>72.380300000000005</v>
      </c>
      <c r="H380" s="60">
        <v>117.60639999999999</v>
      </c>
    </row>
    <row r="381" spans="1:8" x14ac:dyDescent="0.15">
      <c r="A381" s="60" t="s">
        <v>11</v>
      </c>
      <c r="B381" s="60">
        <v>10000</v>
      </c>
      <c r="C381" s="60">
        <v>23</v>
      </c>
      <c r="D381" s="60">
        <v>5.1192000000000002</v>
      </c>
      <c r="E381" s="60">
        <v>390.68400000000003</v>
      </c>
      <c r="F381" s="60">
        <v>16.640999999999998</v>
      </c>
      <c r="G381" s="60">
        <v>72.3523</v>
      </c>
      <c r="H381" s="60">
        <v>117.64700000000001</v>
      </c>
    </row>
    <row r="382" spans="1:8" x14ac:dyDescent="0.15">
      <c r="A382" s="60" t="s">
        <v>11</v>
      </c>
      <c r="B382" s="60">
        <v>10000</v>
      </c>
      <c r="C382" s="60">
        <v>23</v>
      </c>
      <c r="D382" s="60">
        <v>5.1181999999999999</v>
      </c>
      <c r="E382" s="60">
        <v>390.75990000000002</v>
      </c>
      <c r="F382" s="60">
        <v>16.643999999999998</v>
      </c>
      <c r="G382" s="60">
        <v>72.366399999999999</v>
      </c>
      <c r="H382" s="60">
        <v>117.6152</v>
      </c>
    </row>
    <row r="383" spans="1:8" x14ac:dyDescent="0.15">
      <c r="A383" s="60" t="s">
        <v>11</v>
      </c>
      <c r="B383" s="60">
        <v>10000</v>
      </c>
      <c r="C383" s="60">
        <v>23</v>
      </c>
      <c r="D383" s="60">
        <v>5.1176000000000004</v>
      </c>
      <c r="E383" s="60">
        <v>390.80470000000003</v>
      </c>
      <c r="F383" s="60">
        <v>16.646000000000001</v>
      </c>
      <c r="G383" s="60">
        <v>72.374600000000001</v>
      </c>
      <c r="H383" s="60">
        <v>117.6147</v>
      </c>
    </row>
    <row r="384" spans="1:8" x14ac:dyDescent="0.15">
      <c r="A384" s="60" t="s">
        <v>11</v>
      </c>
      <c r="B384" s="60">
        <v>10000</v>
      </c>
      <c r="C384" s="60">
        <v>23</v>
      </c>
      <c r="D384" s="60">
        <v>5.1196999999999999</v>
      </c>
      <c r="E384" s="60">
        <v>390.65120000000002</v>
      </c>
      <c r="F384" s="60">
        <v>16.64</v>
      </c>
      <c r="G384" s="60">
        <v>72.346199999999996</v>
      </c>
      <c r="H384" s="60">
        <v>117.6621</v>
      </c>
    </row>
    <row r="385" spans="1:8" x14ac:dyDescent="0.15">
      <c r="A385" s="60" t="s">
        <v>11</v>
      </c>
      <c r="B385" s="60">
        <v>10000</v>
      </c>
      <c r="C385" s="60">
        <v>23</v>
      </c>
      <c r="D385" s="60">
        <v>5.1191000000000004</v>
      </c>
      <c r="E385" s="60">
        <v>390.69659999999999</v>
      </c>
      <c r="F385" s="60">
        <v>16.641999999999999</v>
      </c>
      <c r="G385" s="60">
        <v>72.354600000000005</v>
      </c>
      <c r="H385" s="60">
        <v>117.6504</v>
      </c>
    </row>
    <row r="386" spans="1:8" x14ac:dyDescent="0.15">
      <c r="A386" s="60" t="s">
        <v>11</v>
      </c>
      <c r="B386" s="60">
        <v>10000</v>
      </c>
      <c r="C386" s="60">
        <v>23</v>
      </c>
      <c r="D386" s="60">
        <v>5.12</v>
      </c>
      <c r="E386" s="60">
        <v>390.62169999999998</v>
      </c>
      <c r="F386" s="60">
        <v>16.638000000000002</v>
      </c>
      <c r="G386" s="60">
        <v>72.340800000000002</v>
      </c>
      <c r="H386" s="60">
        <v>117.667</v>
      </c>
    </row>
    <row r="387" spans="1:8" x14ac:dyDescent="0.15">
      <c r="A387" s="60" t="s">
        <v>11</v>
      </c>
      <c r="B387" s="60">
        <v>10000</v>
      </c>
      <c r="C387" s="60">
        <v>23</v>
      </c>
      <c r="D387" s="60">
        <v>5.1203000000000003</v>
      </c>
      <c r="E387" s="60">
        <v>390.6044</v>
      </c>
      <c r="F387" s="60">
        <v>16.638000000000002</v>
      </c>
      <c r="G387" s="60">
        <v>72.337599999999995</v>
      </c>
      <c r="H387" s="60">
        <v>117.6802</v>
      </c>
    </row>
    <row r="388" spans="1:8" x14ac:dyDescent="0.15">
      <c r="A388" s="60" t="s">
        <v>11</v>
      </c>
      <c r="B388" s="60">
        <v>10000</v>
      </c>
      <c r="C388" s="60">
        <v>24</v>
      </c>
      <c r="D388" s="60">
        <v>4.8822000000000001</v>
      </c>
      <c r="E388" s="60">
        <v>409.65269999999998</v>
      </c>
      <c r="F388" s="60">
        <v>17.449000000000002</v>
      </c>
      <c r="G388" s="60">
        <v>72.704099999999997</v>
      </c>
      <c r="H388" s="60">
        <v>117.0391</v>
      </c>
    </row>
    <row r="389" spans="1:8" x14ac:dyDescent="0.15">
      <c r="A389" s="60" t="s">
        <v>11</v>
      </c>
      <c r="B389" s="60">
        <v>10000</v>
      </c>
      <c r="C389" s="60">
        <v>24</v>
      </c>
      <c r="D389" s="60">
        <v>4.9093999999999998</v>
      </c>
      <c r="E389" s="60">
        <v>407.38409999999999</v>
      </c>
      <c r="F389" s="60">
        <v>17.352</v>
      </c>
      <c r="G389" s="60">
        <v>72.301500000000004</v>
      </c>
      <c r="H389" s="60">
        <v>117.5752</v>
      </c>
    </row>
    <row r="390" spans="1:8" x14ac:dyDescent="0.15">
      <c r="A390" s="60" t="s">
        <v>11</v>
      </c>
      <c r="B390" s="60">
        <v>10000</v>
      </c>
      <c r="C390" s="60">
        <v>24</v>
      </c>
      <c r="D390" s="60">
        <v>4.8834</v>
      </c>
      <c r="E390" s="60">
        <v>409.54939999999999</v>
      </c>
      <c r="F390" s="60">
        <v>17.445</v>
      </c>
      <c r="G390" s="60">
        <v>72.6858</v>
      </c>
      <c r="H390" s="60">
        <v>117.06010000000001</v>
      </c>
    </row>
    <row r="391" spans="1:8" x14ac:dyDescent="0.15">
      <c r="A391" s="60" t="s">
        <v>11</v>
      </c>
      <c r="B391" s="60">
        <v>10000</v>
      </c>
      <c r="C391" s="60">
        <v>24</v>
      </c>
      <c r="D391" s="60">
        <v>4.8788999999999998</v>
      </c>
      <c r="E391" s="60">
        <v>409.93119999999999</v>
      </c>
      <c r="F391" s="60">
        <v>17.460999999999999</v>
      </c>
      <c r="G391" s="60">
        <v>72.753600000000006</v>
      </c>
      <c r="H391" s="60">
        <v>116.96040000000001</v>
      </c>
    </row>
    <row r="392" spans="1:8" x14ac:dyDescent="0.15">
      <c r="A392" s="60" t="s">
        <v>11</v>
      </c>
      <c r="B392" s="60">
        <v>10000</v>
      </c>
      <c r="C392" s="60">
        <v>24</v>
      </c>
      <c r="D392" s="60">
        <v>4.9114000000000004</v>
      </c>
      <c r="E392" s="60">
        <v>407.21300000000002</v>
      </c>
      <c r="F392" s="60">
        <v>17.344999999999999</v>
      </c>
      <c r="G392" s="60">
        <v>72.271100000000004</v>
      </c>
      <c r="H392" s="60">
        <v>117.542</v>
      </c>
    </row>
    <row r="393" spans="1:8" x14ac:dyDescent="0.15">
      <c r="A393" s="60" t="s">
        <v>11</v>
      </c>
      <c r="B393" s="60">
        <v>10000</v>
      </c>
      <c r="C393" s="60">
        <v>24</v>
      </c>
      <c r="D393" s="60">
        <v>4.8798000000000004</v>
      </c>
      <c r="E393" s="60">
        <v>409.85410000000002</v>
      </c>
      <c r="F393" s="60">
        <v>17.457999999999998</v>
      </c>
      <c r="G393" s="60">
        <v>72.739900000000006</v>
      </c>
      <c r="H393" s="60">
        <v>116.9731</v>
      </c>
    </row>
    <row r="394" spans="1:8" x14ac:dyDescent="0.15">
      <c r="A394" s="60" t="s">
        <v>11</v>
      </c>
      <c r="B394" s="60">
        <v>10000</v>
      </c>
      <c r="C394" s="60">
        <v>24</v>
      </c>
      <c r="D394" s="60">
        <v>4.8795999999999999</v>
      </c>
      <c r="E394" s="60">
        <v>409.87029999999999</v>
      </c>
      <c r="F394" s="60">
        <v>17.457999999999998</v>
      </c>
      <c r="G394" s="60">
        <v>72.742699999999999</v>
      </c>
      <c r="H394" s="60">
        <v>116.9766</v>
      </c>
    </row>
    <row r="395" spans="1:8" x14ac:dyDescent="0.15">
      <c r="A395" s="60" t="s">
        <v>11</v>
      </c>
      <c r="B395" s="60">
        <v>10000</v>
      </c>
      <c r="C395" s="60">
        <v>24</v>
      </c>
      <c r="D395" s="60">
        <v>4.8837000000000002</v>
      </c>
      <c r="E395" s="60">
        <v>409.5249</v>
      </c>
      <c r="F395" s="60">
        <v>17.443999999999999</v>
      </c>
      <c r="G395" s="60">
        <v>72.6815</v>
      </c>
      <c r="H395" s="60">
        <v>117.0791</v>
      </c>
    </row>
    <row r="396" spans="1:8" x14ac:dyDescent="0.15">
      <c r="A396" s="60" t="s">
        <v>11</v>
      </c>
      <c r="B396" s="60">
        <v>10000</v>
      </c>
      <c r="C396" s="60">
        <v>24</v>
      </c>
      <c r="D396" s="60">
        <v>4.8815</v>
      </c>
      <c r="E396" s="60">
        <v>409.71359999999999</v>
      </c>
      <c r="F396" s="60">
        <v>17.452000000000002</v>
      </c>
      <c r="G396" s="60">
        <v>72.7149</v>
      </c>
      <c r="H396" s="60">
        <v>117.01220000000001</v>
      </c>
    </row>
    <row r="397" spans="1:8" x14ac:dyDescent="0.15">
      <c r="A397" s="60" t="s">
        <v>11</v>
      </c>
      <c r="B397" s="60">
        <v>10000</v>
      </c>
      <c r="C397" s="60">
        <v>24</v>
      </c>
      <c r="D397" s="60">
        <v>4.8808999999999996</v>
      </c>
      <c r="E397" s="60">
        <v>409.76429999999999</v>
      </c>
      <c r="F397" s="60">
        <v>17.454000000000001</v>
      </c>
      <c r="G397" s="60">
        <v>72.7239</v>
      </c>
      <c r="H397" s="60">
        <v>117.002</v>
      </c>
    </row>
    <row r="398" spans="1:8" x14ac:dyDescent="0.15">
      <c r="A398" s="60" t="s">
        <v>11</v>
      </c>
      <c r="B398" s="60">
        <v>10000</v>
      </c>
      <c r="C398" s="60">
        <v>24</v>
      </c>
      <c r="D398" s="60">
        <v>4.8849</v>
      </c>
      <c r="E398" s="60">
        <v>409.42439999999999</v>
      </c>
      <c r="F398" s="60">
        <v>17.439</v>
      </c>
      <c r="G398" s="60">
        <v>72.663600000000002</v>
      </c>
      <c r="H398" s="60">
        <v>117.1133</v>
      </c>
    </row>
    <row r="399" spans="1:8" x14ac:dyDescent="0.15">
      <c r="A399" s="60" t="s">
        <v>11</v>
      </c>
      <c r="B399" s="60">
        <v>10000</v>
      </c>
      <c r="C399" s="60">
        <v>24</v>
      </c>
      <c r="D399" s="60">
        <v>4.8783000000000003</v>
      </c>
      <c r="E399" s="60">
        <v>409.97680000000003</v>
      </c>
      <c r="F399" s="60">
        <v>17.463000000000001</v>
      </c>
      <c r="G399" s="60">
        <v>72.761700000000005</v>
      </c>
      <c r="H399" s="60">
        <v>116.9692</v>
      </c>
    </row>
    <row r="400" spans="1:8" x14ac:dyDescent="0.15">
      <c r="A400" s="60" t="s">
        <v>11</v>
      </c>
      <c r="B400" s="60">
        <v>10000</v>
      </c>
      <c r="C400" s="60">
        <v>24</v>
      </c>
      <c r="D400" s="60">
        <v>4.8826000000000001</v>
      </c>
      <c r="E400" s="60">
        <v>409.62029999999999</v>
      </c>
      <c r="F400" s="60">
        <v>17.448</v>
      </c>
      <c r="G400" s="60">
        <v>72.698400000000007</v>
      </c>
      <c r="H400" s="60">
        <v>117.0562</v>
      </c>
    </row>
    <row r="401" spans="1:8" x14ac:dyDescent="0.15">
      <c r="A401" s="60" t="s">
        <v>11</v>
      </c>
      <c r="B401" s="60">
        <v>10000</v>
      </c>
      <c r="C401" s="60">
        <v>24</v>
      </c>
      <c r="D401" s="60">
        <v>4.8756000000000004</v>
      </c>
      <c r="E401" s="60">
        <v>410.20299999999997</v>
      </c>
      <c r="F401" s="60">
        <v>17.472000000000001</v>
      </c>
      <c r="G401" s="60">
        <v>72.8018</v>
      </c>
      <c r="H401" s="60">
        <v>116.8716</v>
      </c>
    </row>
    <row r="402" spans="1:8" x14ac:dyDescent="0.15">
      <c r="A402" s="60" t="s">
        <v>11</v>
      </c>
      <c r="B402" s="60">
        <v>10000</v>
      </c>
      <c r="C402" s="60">
        <v>24</v>
      </c>
      <c r="D402" s="60">
        <v>4.9042000000000003</v>
      </c>
      <c r="E402" s="60">
        <v>407.81330000000003</v>
      </c>
      <c r="F402" s="60">
        <v>17.370999999999999</v>
      </c>
      <c r="G402" s="60">
        <v>72.377700000000004</v>
      </c>
      <c r="H402" s="60">
        <v>117.42529999999999</v>
      </c>
    </row>
    <row r="403" spans="1:8" x14ac:dyDescent="0.15">
      <c r="A403" s="60" t="s">
        <v>11</v>
      </c>
      <c r="B403" s="60">
        <v>10000</v>
      </c>
      <c r="C403" s="60">
        <v>24</v>
      </c>
      <c r="D403" s="60">
        <v>4.8787000000000003</v>
      </c>
      <c r="E403" s="60">
        <v>409.94299999999998</v>
      </c>
      <c r="F403" s="60">
        <v>17.460999999999999</v>
      </c>
      <c r="G403" s="60">
        <v>72.755700000000004</v>
      </c>
      <c r="H403" s="60">
        <v>116.9346</v>
      </c>
    </row>
    <row r="404" spans="1:8" x14ac:dyDescent="0.15">
      <c r="A404" s="60" t="s">
        <v>11</v>
      </c>
      <c r="B404" s="60">
        <v>10000</v>
      </c>
      <c r="C404" s="60">
        <v>24</v>
      </c>
      <c r="D404" s="60">
        <v>4.8887</v>
      </c>
      <c r="E404" s="60">
        <v>409.10789999999997</v>
      </c>
      <c r="F404" s="60">
        <v>17.425999999999998</v>
      </c>
      <c r="G404" s="60">
        <v>72.607399999999998</v>
      </c>
      <c r="H404" s="60">
        <v>117.1934</v>
      </c>
    </row>
    <row r="405" spans="1:8" x14ac:dyDescent="0.15">
      <c r="A405" s="60" t="s">
        <v>11</v>
      </c>
      <c r="B405" s="60">
        <v>10000</v>
      </c>
      <c r="C405" s="60">
        <v>24</v>
      </c>
      <c r="D405" s="60">
        <v>4.8715000000000002</v>
      </c>
      <c r="E405" s="60">
        <v>410.55529999999999</v>
      </c>
      <c r="F405" s="60">
        <v>17.486999999999998</v>
      </c>
      <c r="G405" s="60">
        <v>72.8643</v>
      </c>
      <c r="H405" s="60">
        <v>116.7764</v>
      </c>
    </row>
    <row r="406" spans="1:8" x14ac:dyDescent="0.15">
      <c r="A406" s="60" t="s">
        <v>11</v>
      </c>
      <c r="B406" s="60">
        <v>10000</v>
      </c>
      <c r="C406" s="60">
        <v>24</v>
      </c>
      <c r="D406" s="60">
        <v>4.8893000000000004</v>
      </c>
      <c r="E406" s="60">
        <v>409.053</v>
      </c>
      <c r="F406" s="60">
        <v>17.422999999999998</v>
      </c>
      <c r="G406" s="60">
        <v>72.597700000000003</v>
      </c>
      <c r="H406" s="60">
        <v>117.2051</v>
      </c>
    </row>
    <row r="407" spans="1:8" x14ac:dyDescent="0.15">
      <c r="A407" s="60" t="s">
        <v>11</v>
      </c>
      <c r="B407" s="60">
        <v>10000</v>
      </c>
      <c r="C407" s="60">
        <v>24</v>
      </c>
      <c r="D407" s="60">
        <v>4.8848000000000003</v>
      </c>
      <c r="E407" s="60">
        <v>409.4359</v>
      </c>
      <c r="F407" s="60">
        <v>17.440000000000001</v>
      </c>
      <c r="G407" s="60">
        <v>72.665700000000001</v>
      </c>
      <c r="H407" s="60">
        <v>117.1035</v>
      </c>
    </row>
    <row r="408" spans="1:8" x14ac:dyDescent="0.15">
      <c r="A408" s="60" t="s">
        <v>11</v>
      </c>
      <c r="B408" s="60">
        <v>10000</v>
      </c>
      <c r="C408" s="60">
        <v>24</v>
      </c>
      <c r="D408" s="60">
        <v>4.8804999999999996</v>
      </c>
      <c r="E408" s="60">
        <v>409.79750000000001</v>
      </c>
      <c r="F408" s="60">
        <v>17.454999999999998</v>
      </c>
      <c r="G408" s="60">
        <v>72.729799999999997</v>
      </c>
      <c r="H408" s="60">
        <v>117</v>
      </c>
    </row>
    <row r="409" spans="1:8" x14ac:dyDescent="0.15">
      <c r="A409" s="60" t="s">
        <v>11</v>
      </c>
      <c r="B409" s="60">
        <v>10000</v>
      </c>
      <c r="C409" s="60">
        <v>24</v>
      </c>
      <c r="D409" s="60">
        <v>4.8878000000000004</v>
      </c>
      <c r="E409" s="60">
        <v>409.17989999999998</v>
      </c>
      <c r="F409" s="60">
        <v>17.428999999999998</v>
      </c>
      <c r="G409" s="60">
        <v>72.620199999999997</v>
      </c>
      <c r="H409" s="60">
        <v>117.1377</v>
      </c>
    </row>
    <row r="410" spans="1:8" x14ac:dyDescent="0.15">
      <c r="A410" s="60" t="s">
        <v>11</v>
      </c>
      <c r="B410" s="60">
        <v>10000</v>
      </c>
      <c r="C410" s="60">
        <v>24</v>
      </c>
      <c r="D410" s="60">
        <v>4.8743999999999996</v>
      </c>
      <c r="E410" s="60">
        <v>410.3091</v>
      </c>
      <c r="F410" s="60">
        <v>17.477</v>
      </c>
      <c r="G410" s="60">
        <v>72.820599999999999</v>
      </c>
      <c r="H410" s="60">
        <v>116.85250000000001</v>
      </c>
    </row>
    <row r="411" spans="1:8" x14ac:dyDescent="0.15">
      <c r="A411" s="60" t="s">
        <v>11</v>
      </c>
      <c r="B411" s="60">
        <v>10000</v>
      </c>
      <c r="C411" s="60">
        <v>24</v>
      </c>
      <c r="D411" s="60">
        <v>4.8780999999999999</v>
      </c>
      <c r="E411" s="60">
        <v>409.99939999999998</v>
      </c>
      <c r="F411" s="60">
        <v>17.463999999999999</v>
      </c>
      <c r="G411" s="60">
        <v>72.765699999999995</v>
      </c>
      <c r="H411" s="60">
        <v>116.94240000000001</v>
      </c>
    </row>
    <row r="412" spans="1:8" x14ac:dyDescent="0.15">
      <c r="A412" s="60" t="s">
        <v>11</v>
      </c>
      <c r="B412" s="60">
        <v>10000</v>
      </c>
      <c r="C412" s="60">
        <v>24</v>
      </c>
      <c r="D412" s="60">
        <v>4.8916000000000004</v>
      </c>
      <c r="E412" s="60">
        <v>408.86290000000002</v>
      </c>
      <c r="F412" s="60">
        <v>17.414999999999999</v>
      </c>
      <c r="G412" s="60">
        <v>72.563999999999993</v>
      </c>
      <c r="H412" s="60">
        <v>117.1875</v>
      </c>
    </row>
    <row r="413" spans="1:8" x14ac:dyDescent="0.15">
      <c r="A413" s="60" t="s">
        <v>11</v>
      </c>
      <c r="B413" s="60">
        <v>10000</v>
      </c>
      <c r="C413" s="60">
        <v>24</v>
      </c>
      <c r="D413" s="60">
        <v>4.8895</v>
      </c>
      <c r="E413" s="60">
        <v>409.03620000000001</v>
      </c>
      <c r="F413" s="60">
        <v>17.422999999999998</v>
      </c>
      <c r="G413" s="60">
        <v>72.594700000000003</v>
      </c>
      <c r="H413" s="60">
        <v>117.2148</v>
      </c>
    </row>
    <row r="414" spans="1:8" x14ac:dyDescent="0.15">
      <c r="A414" s="60" t="s">
        <v>11</v>
      </c>
      <c r="B414" s="60">
        <v>10000</v>
      </c>
      <c r="C414" s="60">
        <v>24</v>
      </c>
      <c r="D414" s="60">
        <v>4.8853999999999997</v>
      </c>
      <c r="E414" s="60">
        <v>409.37970000000001</v>
      </c>
      <c r="F414" s="60">
        <v>17.437000000000001</v>
      </c>
      <c r="G414" s="60">
        <v>72.655699999999996</v>
      </c>
      <c r="H414" s="60">
        <v>117.1123</v>
      </c>
    </row>
    <row r="415" spans="1:8" x14ac:dyDescent="0.15">
      <c r="A415" s="60" t="s">
        <v>11</v>
      </c>
      <c r="B415" s="60">
        <v>10000</v>
      </c>
      <c r="C415" s="60">
        <v>24</v>
      </c>
      <c r="D415" s="60">
        <v>4.8777999999999997</v>
      </c>
      <c r="E415" s="60">
        <v>410.02379999999999</v>
      </c>
      <c r="F415" s="60">
        <v>17.465</v>
      </c>
      <c r="G415" s="60">
        <v>72.77</v>
      </c>
      <c r="H415" s="60">
        <v>116.9258</v>
      </c>
    </row>
    <row r="416" spans="1:8" x14ac:dyDescent="0.15">
      <c r="A416" s="60" t="s">
        <v>11</v>
      </c>
      <c r="B416" s="60">
        <v>10000</v>
      </c>
      <c r="C416" s="60">
        <v>24</v>
      </c>
      <c r="D416" s="60">
        <v>4.8791000000000002</v>
      </c>
      <c r="E416" s="60">
        <v>409.90870000000001</v>
      </c>
      <c r="F416" s="60">
        <v>17.46</v>
      </c>
      <c r="G416" s="60">
        <v>72.749600000000001</v>
      </c>
      <c r="H416" s="60">
        <v>116.96680000000001</v>
      </c>
    </row>
    <row r="417" spans="1:8" x14ac:dyDescent="0.15">
      <c r="A417" s="60" t="s">
        <v>11</v>
      </c>
      <c r="B417" s="60">
        <v>10000</v>
      </c>
      <c r="C417" s="60">
        <v>24</v>
      </c>
      <c r="D417" s="60">
        <v>4.8807</v>
      </c>
      <c r="E417" s="60">
        <v>409.77890000000002</v>
      </c>
      <c r="F417" s="60">
        <v>17.454000000000001</v>
      </c>
      <c r="G417" s="60">
        <v>72.726500000000001</v>
      </c>
      <c r="H417" s="60">
        <v>117.0059</v>
      </c>
    </row>
    <row r="418" spans="1:8" x14ac:dyDescent="0.15">
      <c r="A418" s="60" t="s">
        <v>11</v>
      </c>
      <c r="B418" s="60">
        <v>10000</v>
      </c>
      <c r="C418" s="60">
        <v>24</v>
      </c>
      <c r="D418" s="60">
        <v>4.8860000000000001</v>
      </c>
      <c r="E418" s="60">
        <v>409.3297</v>
      </c>
      <c r="F418" s="60">
        <v>17.434999999999999</v>
      </c>
      <c r="G418" s="60">
        <v>72.646799999999999</v>
      </c>
      <c r="H418" s="60">
        <v>117.126</v>
      </c>
    </row>
    <row r="419" spans="1:8" x14ac:dyDescent="0.15">
      <c r="A419" s="60" t="s">
        <v>11</v>
      </c>
      <c r="B419" s="60">
        <v>10000</v>
      </c>
      <c r="C419" s="60">
        <v>24</v>
      </c>
      <c r="D419" s="60">
        <v>4.8888999999999996</v>
      </c>
      <c r="E419" s="60">
        <v>409.08730000000003</v>
      </c>
      <c r="F419" s="60">
        <v>17.425000000000001</v>
      </c>
      <c r="G419" s="60">
        <v>72.603800000000007</v>
      </c>
      <c r="H419" s="60">
        <v>117.2021</v>
      </c>
    </row>
    <row r="420" spans="1:8" x14ac:dyDescent="0.15">
      <c r="A420" s="60" t="s">
        <v>11</v>
      </c>
      <c r="B420" s="60">
        <v>10000</v>
      </c>
      <c r="C420" s="60">
        <v>24</v>
      </c>
      <c r="D420" s="60">
        <v>4.8773999999999997</v>
      </c>
      <c r="E420" s="60">
        <v>410.05680000000001</v>
      </c>
      <c r="F420" s="60">
        <v>17.466000000000001</v>
      </c>
      <c r="G420" s="60">
        <v>72.775899999999993</v>
      </c>
      <c r="H420" s="60">
        <v>116.9277</v>
      </c>
    </row>
    <row r="421" spans="1:8" x14ac:dyDescent="0.15">
      <c r="A421" s="60" t="s">
        <v>11</v>
      </c>
      <c r="B421" s="60">
        <v>10000</v>
      </c>
      <c r="C421" s="60">
        <v>24</v>
      </c>
      <c r="D421" s="60">
        <v>4.8773999999999997</v>
      </c>
      <c r="E421" s="60">
        <v>410.05160000000001</v>
      </c>
      <c r="F421" s="60">
        <v>17.466000000000001</v>
      </c>
      <c r="G421" s="60">
        <v>72.774900000000002</v>
      </c>
      <c r="H421" s="60">
        <v>116.9092</v>
      </c>
    </row>
    <row r="422" spans="1:8" x14ac:dyDescent="0.15">
      <c r="A422" s="60" t="s">
        <v>11</v>
      </c>
      <c r="B422" s="60">
        <v>10000</v>
      </c>
      <c r="C422" s="60">
        <v>24</v>
      </c>
      <c r="D422" s="60">
        <v>4.8826999999999998</v>
      </c>
      <c r="E422" s="60">
        <v>409.6121</v>
      </c>
      <c r="F422" s="60">
        <v>17.446999999999999</v>
      </c>
      <c r="G422" s="60">
        <v>72.696899999999999</v>
      </c>
      <c r="H422" s="60">
        <v>117.0547</v>
      </c>
    </row>
    <row r="423" spans="1:8" x14ac:dyDescent="0.15">
      <c r="A423" s="60" t="s">
        <v>11</v>
      </c>
      <c r="B423" s="60">
        <v>10000</v>
      </c>
      <c r="C423" s="60">
        <v>24</v>
      </c>
      <c r="D423" s="60">
        <v>4.8856000000000002</v>
      </c>
      <c r="E423" s="60">
        <v>409.36340000000001</v>
      </c>
      <c r="F423" s="60">
        <v>17.437000000000001</v>
      </c>
      <c r="G423" s="60">
        <v>72.652799999999999</v>
      </c>
      <c r="H423" s="60">
        <v>117.1143</v>
      </c>
    </row>
    <row r="424" spans="1:8" x14ac:dyDescent="0.15">
      <c r="A424" s="60" t="s">
        <v>11</v>
      </c>
      <c r="B424" s="60">
        <v>10000</v>
      </c>
      <c r="C424" s="60">
        <v>24</v>
      </c>
      <c r="D424" s="60">
        <v>4.8849999999999998</v>
      </c>
      <c r="E424" s="60">
        <v>409.4194</v>
      </c>
      <c r="F424" s="60">
        <v>17.439</v>
      </c>
      <c r="G424" s="60">
        <v>72.662700000000001</v>
      </c>
      <c r="H424" s="60">
        <v>117.1104</v>
      </c>
    </row>
    <row r="425" spans="1:8" x14ac:dyDescent="0.15">
      <c r="A425" s="60" t="s">
        <v>11</v>
      </c>
      <c r="B425" s="60">
        <v>10000</v>
      </c>
      <c r="C425" s="60">
        <v>24</v>
      </c>
      <c r="D425" s="60">
        <v>4.8768000000000002</v>
      </c>
      <c r="E425" s="60">
        <v>410.1035</v>
      </c>
      <c r="F425" s="60">
        <v>17.468</v>
      </c>
      <c r="G425" s="60">
        <v>72.784099999999995</v>
      </c>
      <c r="H425" s="60">
        <v>116.9102</v>
      </c>
    </row>
    <row r="426" spans="1:8" x14ac:dyDescent="0.15">
      <c r="A426" s="60" t="s">
        <v>11</v>
      </c>
      <c r="B426" s="60">
        <v>10000</v>
      </c>
      <c r="C426" s="60">
        <v>24</v>
      </c>
      <c r="D426" s="60">
        <v>4.8818999999999999</v>
      </c>
      <c r="E426" s="60">
        <v>409.67829999999998</v>
      </c>
      <c r="F426" s="60">
        <v>17.45</v>
      </c>
      <c r="G426" s="60">
        <v>72.708699999999993</v>
      </c>
      <c r="H426" s="60">
        <v>117.02930000000001</v>
      </c>
    </row>
    <row r="427" spans="1:8" x14ac:dyDescent="0.15">
      <c r="A427" s="60" t="s">
        <v>11</v>
      </c>
      <c r="B427" s="60">
        <v>10000</v>
      </c>
      <c r="C427" s="60">
        <v>24</v>
      </c>
      <c r="D427" s="60">
        <v>4.8867000000000003</v>
      </c>
      <c r="E427" s="60">
        <v>409.27050000000003</v>
      </c>
      <c r="F427" s="60">
        <v>17.433</v>
      </c>
      <c r="G427" s="60">
        <v>72.636300000000006</v>
      </c>
      <c r="H427" s="60">
        <v>117.1416</v>
      </c>
    </row>
    <row r="428" spans="1:8" x14ac:dyDescent="0.15">
      <c r="A428" s="60" t="s">
        <v>11</v>
      </c>
      <c r="B428" s="60">
        <v>10000</v>
      </c>
      <c r="C428" s="60">
        <v>24</v>
      </c>
      <c r="D428" s="60">
        <v>4.8825000000000003</v>
      </c>
      <c r="E428" s="60">
        <v>409.62830000000002</v>
      </c>
      <c r="F428" s="60">
        <v>17.448</v>
      </c>
      <c r="G428" s="60">
        <v>72.699799999999996</v>
      </c>
      <c r="H428" s="60">
        <v>117.0479</v>
      </c>
    </row>
    <row r="429" spans="1:8" x14ac:dyDescent="0.15">
      <c r="A429" s="60" t="s">
        <v>11</v>
      </c>
      <c r="B429" s="60">
        <v>10000</v>
      </c>
      <c r="C429" s="60">
        <v>24</v>
      </c>
      <c r="D429" s="60">
        <v>4.8841000000000001</v>
      </c>
      <c r="E429" s="60">
        <v>409.49040000000002</v>
      </c>
      <c r="F429" s="60">
        <v>17.442</v>
      </c>
      <c r="G429" s="60">
        <v>72.675299999999993</v>
      </c>
      <c r="H429" s="60">
        <v>117.0879</v>
      </c>
    </row>
    <row r="430" spans="1:8" x14ac:dyDescent="0.15">
      <c r="A430" s="60" t="s">
        <v>11</v>
      </c>
      <c r="B430" s="60">
        <v>10000</v>
      </c>
      <c r="C430" s="60">
        <v>24</v>
      </c>
      <c r="D430" s="60">
        <v>4.8779000000000003</v>
      </c>
      <c r="E430" s="60">
        <v>410.0136</v>
      </c>
      <c r="F430" s="60">
        <v>17.463999999999999</v>
      </c>
      <c r="G430" s="60">
        <v>72.768199999999993</v>
      </c>
      <c r="H430" s="60">
        <v>116.9307</v>
      </c>
    </row>
    <row r="431" spans="1:8" x14ac:dyDescent="0.15">
      <c r="A431" s="60" t="s">
        <v>11</v>
      </c>
      <c r="B431" s="60">
        <v>10000</v>
      </c>
      <c r="C431" s="60">
        <v>24</v>
      </c>
      <c r="D431" s="60">
        <v>4.8776999999999999</v>
      </c>
      <c r="E431" s="60">
        <v>410.03059999999999</v>
      </c>
      <c r="F431" s="60">
        <v>17.465</v>
      </c>
      <c r="G431" s="60">
        <v>72.771199999999993</v>
      </c>
      <c r="H431" s="60">
        <v>116.9297</v>
      </c>
    </row>
    <row r="432" spans="1:8" x14ac:dyDescent="0.15">
      <c r="A432" s="60" t="s">
        <v>11</v>
      </c>
      <c r="B432" s="60">
        <v>10000</v>
      </c>
      <c r="C432" s="60">
        <v>24</v>
      </c>
      <c r="D432" s="60">
        <v>4.8769</v>
      </c>
      <c r="E432" s="60">
        <v>410.09370000000001</v>
      </c>
      <c r="F432" s="60">
        <v>17.468</v>
      </c>
      <c r="G432" s="60">
        <v>72.782399999999996</v>
      </c>
      <c r="H432" s="60">
        <v>116.9102</v>
      </c>
    </row>
    <row r="433" spans="1:8" x14ac:dyDescent="0.15">
      <c r="A433" s="60" t="s">
        <v>11</v>
      </c>
      <c r="B433" s="60">
        <v>10000</v>
      </c>
      <c r="C433" s="60">
        <v>24</v>
      </c>
      <c r="D433" s="60">
        <v>4.8941999999999997</v>
      </c>
      <c r="E433" s="60">
        <v>408.64920000000001</v>
      </c>
      <c r="F433" s="60">
        <v>17.405999999999999</v>
      </c>
      <c r="G433" s="60">
        <v>72.525999999999996</v>
      </c>
      <c r="H433" s="60">
        <v>117.29</v>
      </c>
    </row>
    <row r="434" spans="1:8" x14ac:dyDescent="0.15">
      <c r="A434" s="60" t="s">
        <v>11</v>
      </c>
      <c r="B434" s="60">
        <v>10000</v>
      </c>
      <c r="C434" s="60">
        <v>24</v>
      </c>
      <c r="D434" s="60">
        <v>4.8887999999999998</v>
      </c>
      <c r="E434" s="60">
        <v>409.09500000000003</v>
      </c>
      <c r="F434" s="60">
        <v>17.425000000000001</v>
      </c>
      <c r="G434" s="60">
        <v>72.605199999999996</v>
      </c>
      <c r="H434" s="60">
        <v>117.2002</v>
      </c>
    </row>
    <row r="435" spans="1:8" x14ac:dyDescent="0.15">
      <c r="A435" s="60" t="s">
        <v>11</v>
      </c>
      <c r="B435" s="60">
        <v>10000</v>
      </c>
      <c r="C435" s="60">
        <v>24</v>
      </c>
      <c r="D435" s="60">
        <v>4.8865999999999996</v>
      </c>
      <c r="E435" s="60">
        <v>409.28559999999999</v>
      </c>
      <c r="F435" s="60">
        <v>17.433</v>
      </c>
      <c r="G435" s="60">
        <v>72.638999999999996</v>
      </c>
      <c r="H435" s="60">
        <v>117.14449999999999</v>
      </c>
    </row>
    <row r="436" spans="1:8" x14ac:dyDescent="0.15">
      <c r="A436" s="60" t="s">
        <v>11</v>
      </c>
      <c r="B436" s="60">
        <v>10000</v>
      </c>
      <c r="C436" s="60">
        <v>24</v>
      </c>
      <c r="D436" s="60">
        <v>4.8823999999999996</v>
      </c>
      <c r="E436" s="60">
        <v>409.63350000000003</v>
      </c>
      <c r="F436" s="60">
        <v>17.448</v>
      </c>
      <c r="G436" s="60">
        <v>72.700699999999998</v>
      </c>
      <c r="H436" s="60">
        <v>117.04689999999999</v>
      </c>
    </row>
    <row r="437" spans="1:8" x14ac:dyDescent="0.15">
      <c r="A437" s="60" t="s">
        <v>11</v>
      </c>
      <c r="B437" s="60">
        <v>10000</v>
      </c>
      <c r="C437" s="60">
        <v>24</v>
      </c>
      <c r="D437" s="60">
        <v>4.8846999999999996</v>
      </c>
      <c r="E437" s="60">
        <v>409.44040000000001</v>
      </c>
      <c r="F437" s="60">
        <v>17.440000000000001</v>
      </c>
      <c r="G437" s="60">
        <v>72.666499999999999</v>
      </c>
      <c r="H437" s="60">
        <v>117.0977</v>
      </c>
    </row>
    <row r="438" spans="1:8" x14ac:dyDescent="0.15">
      <c r="A438" s="60" t="s">
        <v>11</v>
      </c>
      <c r="B438" s="60">
        <v>10000</v>
      </c>
      <c r="C438" s="60">
        <v>24</v>
      </c>
      <c r="D438" s="60">
        <v>4.9185999999999996</v>
      </c>
      <c r="E438" s="60">
        <v>406.62079999999997</v>
      </c>
      <c r="F438" s="60">
        <v>17.32</v>
      </c>
      <c r="G438" s="60">
        <v>72.165999999999997</v>
      </c>
      <c r="H438" s="60">
        <v>117.7979</v>
      </c>
    </row>
    <row r="439" spans="1:8" x14ac:dyDescent="0.15">
      <c r="A439" s="60" t="s">
        <v>11</v>
      </c>
      <c r="B439" s="60">
        <v>10005</v>
      </c>
      <c r="C439" s="60">
        <v>1</v>
      </c>
      <c r="D439" s="60">
        <v>85.459599999999995</v>
      </c>
      <c r="E439" s="60">
        <v>23.437999999999999</v>
      </c>
      <c r="F439" s="60">
        <v>1</v>
      </c>
      <c r="G439" s="60">
        <v>100</v>
      </c>
      <c r="H439" s="60">
        <v>85.414000000000001</v>
      </c>
    </row>
    <row r="440" spans="1:8" x14ac:dyDescent="0.15">
      <c r="A440" s="60" t="s">
        <v>11</v>
      </c>
      <c r="B440" s="60">
        <v>10005</v>
      </c>
      <c r="C440" s="60">
        <v>1</v>
      </c>
      <c r="D440" s="60">
        <v>85.278999999999996</v>
      </c>
      <c r="E440" s="60">
        <v>23.4876</v>
      </c>
      <c r="F440" s="60">
        <v>1.002</v>
      </c>
      <c r="G440" s="60">
        <v>100.2118</v>
      </c>
      <c r="H440" s="60">
        <v>85.233000000000004</v>
      </c>
    </row>
    <row r="441" spans="1:8" x14ac:dyDescent="0.15">
      <c r="A441" s="60" t="s">
        <v>11</v>
      </c>
      <c r="B441" s="60">
        <v>10005</v>
      </c>
      <c r="C441" s="60">
        <v>1</v>
      </c>
      <c r="D441" s="60">
        <v>85.278599999999997</v>
      </c>
      <c r="E441" s="60">
        <v>23.4877</v>
      </c>
      <c r="F441" s="60">
        <v>1.002</v>
      </c>
      <c r="G441" s="60">
        <v>100.2123</v>
      </c>
      <c r="H441" s="60">
        <v>85.231999999999999</v>
      </c>
    </row>
    <row r="442" spans="1:8" x14ac:dyDescent="0.15">
      <c r="A442" s="60" t="s">
        <v>11</v>
      </c>
      <c r="B442" s="60">
        <v>10005</v>
      </c>
      <c r="C442" s="60">
        <v>1</v>
      </c>
      <c r="D442" s="60">
        <v>85.290099999999995</v>
      </c>
      <c r="E442" s="60">
        <v>23.4846</v>
      </c>
      <c r="F442" s="60">
        <v>1.002</v>
      </c>
      <c r="G442" s="60">
        <v>100.19880000000001</v>
      </c>
      <c r="H442" s="60">
        <v>85.244</v>
      </c>
    </row>
    <row r="443" spans="1:8" x14ac:dyDescent="0.15">
      <c r="A443" s="60" t="s">
        <v>11</v>
      </c>
      <c r="B443" s="60">
        <v>10005</v>
      </c>
      <c r="C443" s="60">
        <v>1</v>
      </c>
      <c r="D443" s="60">
        <v>85.3005</v>
      </c>
      <c r="E443" s="60">
        <v>23.4817</v>
      </c>
      <c r="F443" s="60">
        <v>1.002</v>
      </c>
      <c r="G443" s="60">
        <v>100.1866</v>
      </c>
      <c r="H443" s="60">
        <v>85.254000000000005</v>
      </c>
    </row>
    <row r="444" spans="1:8" x14ac:dyDescent="0.15">
      <c r="A444" s="60" t="s">
        <v>11</v>
      </c>
      <c r="B444" s="60">
        <v>10005</v>
      </c>
      <c r="C444" s="60">
        <v>1</v>
      </c>
      <c r="D444" s="60">
        <v>85.278400000000005</v>
      </c>
      <c r="E444" s="60">
        <v>23.4878</v>
      </c>
      <c r="F444" s="60">
        <v>1.002</v>
      </c>
      <c r="G444" s="60">
        <v>100.21250000000001</v>
      </c>
      <c r="H444" s="60">
        <v>85.230999999999995</v>
      </c>
    </row>
    <row r="445" spans="1:8" x14ac:dyDescent="0.15">
      <c r="A445" s="60" t="s">
        <v>11</v>
      </c>
      <c r="B445" s="60">
        <v>10005</v>
      </c>
      <c r="C445" s="60">
        <v>23</v>
      </c>
      <c r="D445" s="60">
        <v>4.8139000000000003</v>
      </c>
      <c r="E445" s="60">
        <v>416.08760000000001</v>
      </c>
      <c r="F445" s="60">
        <v>17.753</v>
      </c>
      <c r="G445" s="60">
        <v>77.185699999999997</v>
      </c>
      <c r="H445" s="60">
        <v>110.6212</v>
      </c>
    </row>
    <row r="446" spans="1:8" x14ac:dyDescent="0.15">
      <c r="A446" s="60" t="s">
        <v>11</v>
      </c>
      <c r="B446" s="60">
        <v>10005</v>
      </c>
      <c r="C446" s="60">
        <v>23</v>
      </c>
      <c r="D446" s="60">
        <v>4.9333</v>
      </c>
      <c r="E446" s="60">
        <v>406.01609999999999</v>
      </c>
      <c r="F446" s="60">
        <v>17.323</v>
      </c>
      <c r="G446" s="60">
        <v>75.317400000000006</v>
      </c>
      <c r="H446" s="60">
        <v>113.3807</v>
      </c>
    </row>
    <row r="447" spans="1:8" x14ac:dyDescent="0.15">
      <c r="A447" s="60" t="s">
        <v>11</v>
      </c>
      <c r="B447" s="60">
        <v>10005</v>
      </c>
      <c r="C447" s="60">
        <v>23</v>
      </c>
      <c r="D447" s="60">
        <v>4.9405000000000001</v>
      </c>
      <c r="E447" s="60">
        <v>405.42500000000001</v>
      </c>
      <c r="F447" s="60">
        <v>17.297999999999998</v>
      </c>
      <c r="G447" s="60">
        <v>75.207700000000003</v>
      </c>
      <c r="H447" s="60">
        <v>113.54470000000001</v>
      </c>
    </row>
    <row r="448" spans="1:8" x14ac:dyDescent="0.15">
      <c r="A448" s="60" t="s">
        <v>11</v>
      </c>
      <c r="B448" s="60">
        <v>10005</v>
      </c>
      <c r="C448" s="60">
        <v>23</v>
      </c>
      <c r="D448" s="60">
        <v>4.9489000000000001</v>
      </c>
      <c r="E448" s="60">
        <v>404.74009999999998</v>
      </c>
      <c r="F448" s="60">
        <v>17.268999999999998</v>
      </c>
      <c r="G448" s="60">
        <v>75.080699999999993</v>
      </c>
      <c r="H448" s="60">
        <v>113.7367</v>
      </c>
    </row>
    <row r="449" spans="1:8" x14ac:dyDescent="0.15">
      <c r="A449" s="60" t="s">
        <v>11</v>
      </c>
      <c r="B449" s="60">
        <v>10005</v>
      </c>
      <c r="C449" s="60">
        <v>23</v>
      </c>
      <c r="D449" s="60">
        <v>4.9584000000000001</v>
      </c>
      <c r="E449" s="60">
        <v>403.96359999999999</v>
      </c>
      <c r="F449" s="60">
        <v>17.234999999999999</v>
      </c>
      <c r="G449" s="60">
        <v>74.936599999999999</v>
      </c>
      <c r="H449" s="60">
        <v>113.94370000000001</v>
      </c>
    </row>
    <row r="450" spans="1:8" x14ac:dyDescent="0.15">
      <c r="A450" s="60" t="s">
        <v>11</v>
      </c>
      <c r="B450" s="60">
        <v>10005</v>
      </c>
      <c r="C450" s="60">
        <v>23</v>
      </c>
      <c r="D450" s="60">
        <v>4.9625000000000004</v>
      </c>
      <c r="E450" s="60">
        <v>403.6268</v>
      </c>
      <c r="F450" s="60">
        <v>17.221</v>
      </c>
      <c r="G450" s="60">
        <v>74.874200000000002</v>
      </c>
      <c r="H450" s="60">
        <v>114.0457</v>
      </c>
    </row>
    <row r="451" spans="1:8" x14ac:dyDescent="0.15">
      <c r="A451" s="60" t="s">
        <v>11</v>
      </c>
      <c r="B451" s="60">
        <v>10005</v>
      </c>
      <c r="C451" s="60">
        <v>23</v>
      </c>
      <c r="D451" s="60">
        <v>4.9678000000000004</v>
      </c>
      <c r="E451" s="60">
        <v>403.19630000000001</v>
      </c>
      <c r="F451" s="60">
        <v>17.202999999999999</v>
      </c>
      <c r="G451" s="60">
        <v>74.794300000000007</v>
      </c>
      <c r="H451" s="60">
        <v>114.1726</v>
      </c>
    </row>
    <row r="452" spans="1:8" x14ac:dyDescent="0.15">
      <c r="A452" s="60" t="s">
        <v>11</v>
      </c>
      <c r="B452" s="60">
        <v>10005</v>
      </c>
      <c r="C452" s="60">
        <v>23</v>
      </c>
      <c r="D452" s="60">
        <v>4.9813000000000001</v>
      </c>
      <c r="E452" s="60">
        <v>402.1026</v>
      </c>
      <c r="F452" s="60">
        <v>17.155999999999999</v>
      </c>
      <c r="G452" s="60">
        <v>74.591399999999993</v>
      </c>
      <c r="H452" s="60">
        <v>114.4836</v>
      </c>
    </row>
    <row r="453" spans="1:8" x14ac:dyDescent="0.15">
      <c r="A453" s="60" t="s">
        <v>11</v>
      </c>
      <c r="B453" s="60">
        <v>10005</v>
      </c>
      <c r="C453" s="60">
        <v>23</v>
      </c>
      <c r="D453" s="60">
        <v>4.9939</v>
      </c>
      <c r="E453" s="60">
        <v>401.08949999999999</v>
      </c>
      <c r="F453" s="60">
        <v>17.113</v>
      </c>
      <c r="G453" s="60">
        <v>74.403499999999994</v>
      </c>
      <c r="H453" s="60">
        <v>114.77249999999999</v>
      </c>
    </row>
    <row r="454" spans="1:8" x14ac:dyDescent="0.15">
      <c r="A454" s="60" t="s">
        <v>11</v>
      </c>
      <c r="B454" s="60">
        <v>10005</v>
      </c>
      <c r="C454" s="60">
        <v>23</v>
      </c>
      <c r="D454" s="60">
        <v>5.0099</v>
      </c>
      <c r="E454" s="60">
        <v>399.80880000000002</v>
      </c>
      <c r="F454" s="60">
        <v>17.058</v>
      </c>
      <c r="G454" s="60">
        <v>74.165899999999993</v>
      </c>
      <c r="H454" s="60">
        <v>115.1405</v>
      </c>
    </row>
    <row r="455" spans="1:8" x14ac:dyDescent="0.15">
      <c r="A455" s="60" t="s">
        <v>11</v>
      </c>
      <c r="B455" s="60">
        <v>10005</v>
      </c>
      <c r="C455" s="60">
        <v>23</v>
      </c>
      <c r="D455" s="60">
        <v>5.0171999999999999</v>
      </c>
      <c r="E455" s="60">
        <v>399.22370000000001</v>
      </c>
      <c r="F455" s="60">
        <v>17.033000000000001</v>
      </c>
      <c r="G455" s="60">
        <v>74.057400000000001</v>
      </c>
      <c r="H455" s="60">
        <v>115.3085</v>
      </c>
    </row>
    <row r="456" spans="1:8" x14ac:dyDescent="0.15">
      <c r="A456" s="60" t="s">
        <v>11</v>
      </c>
      <c r="B456" s="60">
        <v>10005</v>
      </c>
      <c r="C456" s="60">
        <v>23</v>
      </c>
      <c r="D456" s="60">
        <v>5.0296000000000003</v>
      </c>
      <c r="E456" s="60">
        <v>398.24549999999999</v>
      </c>
      <c r="F456" s="60">
        <v>16.991</v>
      </c>
      <c r="G456" s="60">
        <v>73.875900000000001</v>
      </c>
      <c r="H456" s="60">
        <v>115.5894</v>
      </c>
    </row>
    <row r="457" spans="1:8" x14ac:dyDescent="0.15">
      <c r="A457" s="60" t="s">
        <v>11</v>
      </c>
      <c r="B457" s="60">
        <v>10005</v>
      </c>
      <c r="C457" s="60">
        <v>23</v>
      </c>
      <c r="D457" s="60">
        <v>5.0462999999999996</v>
      </c>
      <c r="E457" s="60">
        <v>396.9246</v>
      </c>
      <c r="F457" s="60">
        <v>16.934999999999999</v>
      </c>
      <c r="G457" s="60">
        <v>73.630899999999997</v>
      </c>
      <c r="H457" s="60">
        <v>115.9753</v>
      </c>
    </row>
    <row r="458" spans="1:8" x14ac:dyDescent="0.15">
      <c r="A458" s="60" t="s">
        <v>11</v>
      </c>
      <c r="B458" s="60">
        <v>10005</v>
      </c>
      <c r="C458" s="60">
        <v>23</v>
      </c>
      <c r="D458" s="60">
        <v>5.0572999999999997</v>
      </c>
      <c r="E458" s="60">
        <v>396.05950000000001</v>
      </c>
      <c r="F458" s="60">
        <v>16.898</v>
      </c>
      <c r="G458" s="60">
        <v>73.470399999999998</v>
      </c>
      <c r="H458" s="60">
        <v>116.2313</v>
      </c>
    </row>
    <row r="459" spans="1:8" x14ac:dyDescent="0.15">
      <c r="A459" s="60" t="s">
        <v>11</v>
      </c>
      <c r="B459" s="60">
        <v>10005</v>
      </c>
      <c r="C459" s="60">
        <v>23</v>
      </c>
      <c r="D459" s="60">
        <v>5.0735999999999999</v>
      </c>
      <c r="E459" s="60">
        <v>394.78710000000001</v>
      </c>
      <c r="F459" s="60">
        <v>16.844000000000001</v>
      </c>
      <c r="G459" s="60">
        <v>73.234399999999994</v>
      </c>
      <c r="H459" s="60">
        <v>116.60420000000001</v>
      </c>
    </row>
    <row r="460" spans="1:8" x14ac:dyDescent="0.15">
      <c r="A460" s="60" t="s">
        <v>11</v>
      </c>
      <c r="B460" s="60">
        <v>10005</v>
      </c>
      <c r="C460" s="60">
        <v>23</v>
      </c>
      <c r="D460" s="60">
        <v>5.0838999999999999</v>
      </c>
      <c r="E460" s="60">
        <v>393.98719999999997</v>
      </c>
      <c r="F460" s="60">
        <v>16.809999999999999</v>
      </c>
      <c r="G460" s="60">
        <v>73.085999999999999</v>
      </c>
      <c r="H460" s="60">
        <v>116.8403</v>
      </c>
    </row>
    <row r="461" spans="1:8" x14ac:dyDescent="0.15">
      <c r="A461" s="60" t="s">
        <v>11</v>
      </c>
      <c r="B461" s="60">
        <v>10005</v>
      </c>
      <c r="C461" s="60">
        <v>23</v>
      </c>
      <c r="D461" s="60">
        <v>5.0976999999999997</v>
      </c>
      <c r="E461" s="60">
        <v>392.92540000000002</v>
      </c>
      <c r="F461" s="60">
        <v>16.763999999999999</v>
      </c>
      <c r="G461" s="60">
        <v>72.888999999999996</v>
      </c>
      <c r="H461" s="60">
        <v>117.1572</v>
      </c>
    </row>
    <row r="462" spans="1:8" x14ac:dyDescent="0.15">
      <c r="A462" s="60" t="s">
        <v>11</v>
      </c>
      <c r="B462" s="60">
        <v>10005</v>
      </c>
      <c r="C462" s="60">
        <v>23</v>
      </c>
      <c r="D462" s="60">
        <v>5.1135000000000002</v>
      </c>
      <c r="E462" s="60">
        <v>391.7122</v>
      </c>
      <c r="F462" s="60">
        <v>16.713000000000001</v>
      </c>
      <c r="G462" s="60">
        <v>72.664000000000001</v>
      </c>
      <c r="H462" s="60">
        <v>117.5181</v>
      </c>
    </row>
    <row r="463" spans="1:8" x14ac:dyDescent="0.15">
      <c r="A463" s="60" t="s">
        <v>11</v>
      </c>
      <c r="B463" s="60">
        <v>10005</v>
      </c>
      <c r="C463" s="60">
        <v>23</v>
      </c>
      <c r="D463" s="60">
        <v>5.1239999999999997</v>
      </c>
      <c r="E463" s="60">
        <v>390.90429999999998</v>
      </c>
      <c r="F463" s="60">
        <v>16.678000000000001</v>
      </c>
      <c r="G463" s="60">
        <v>72.514099999999999</v>
      </c>
      <c r="H463" s="60">
        <v>117.7632</v>
      </c>
    </row>
    <row r="464" spans="1:8" x14ac:dyDescent="0.15">
      <c r="A464" s="60" t="s">
        <v>11</v>
      </c>
      <c r="B464" s="60">
        <v>10005</v>
      </c>
      <c r="C464" s="60">
        <v>23</v>
      </c>
      <c r="D464" s="60">
        <v>5.1315</v>
      </c>
      <c r="E464" s="60">
        <v>390.33240000000001</v>
      </c>
      <c r="F464" s="60">
        <v>16.654</v>
      </c>
      <c r="G464" s="60">
        <v>72.408000000000001</v>
      </c>
      <c r="H464" s="60">
        <v>117.9331</v>
      </c>
    </row>
    <row r="465" spans="1:8" x14ac:dyDescent="0.15">
      <c r="A465" s="60" t="s">
        <v>11</v>
      </c>
      <c r="B465" s="60">
        <v>10005</v>
      </c>
      <c r="C465" s="60">
        <v>23</v>
      </c>
      <c r="D465" s="60">
        <v>5.14</v>
      </c>
      <c r="E465" s="60">
        <v>389.69220000000001</v>
      </c>
      <c r="F465" s="60">
        <v>16.626999999999999</v>
      </c>
      <c r="G465" s="60">
        <v>72.289199999999994</v>
      </c>
      <c r="H465" s="60">
        <v>118.1289</v>
      </c>
    </row>
    <row r="466" spans="1:8" x14ac:dyDescent="0.15">
      <c r="A466" s="60" t="s">
        <v>11</v>
      </c>
      <c r="B466" s="60">
        <v>10005</v>
      </c>
      <c r="C466" s="60">
        <v>23</v>
      </c>
      <c r="D466" s="60">
        <v>5.1463999999999999</v>
      </c>
      <c r="E466" s="60">
        <v>389.20089999999999</v>
      </c>
      <c r="F466" s="60">
        <v>16.606000000000002</v>
      </c>
      <c r="G466" s="60">
        <v>72.198099999999997</v>
      </c>
      <c r="H466" s="60">
        <v>118.27809999999999</v>
      </c>
    </row>
    <row r="467" spans="1:8" x14ac:dyDescent="0.15">
      <c r="A467" s="60" t="s">
        <v>11</v>
      </c>
      <c r="B467" s="60">
        <v>10005</v>
      </c>
      <c r="C467" s="60">
        <v>23</v>
      </c>
      <c r="D467" s="60">
        <v>5.1527000000000003</v>
      </c>
      <c r="E467" s="60">
        <v>388.72620000000001</v>
      </c>
      <c r="F467" s="60">
        <v>16.585000000000001</v>
      </c>
      <c r="G467" s="60">
        <v>72.110100000000003</v>
      </c>
      <c r="H467" s="60">
        <v>118.4229</v>
      </c>
    </row>
    <row r="468" spans="1:8" x14ac:dyDescent="0.15">
      <c r="A468" s="60" t="s">
        <v>11</v>
      </c>
      <c r="B468" s="60">
        <v>10005</v>
      </c>
      <c r="C468" s="60">
        <v>23</v>
      </c>
      <c r="D468" s="60">
        <v>5.1562000000000001</v>
      </c>
      <c r="E468" s="60">
        <v>388.46820000000002</v>
      </c>
      <c r="F468" s="60">
        <v>16.574000000000002</v>
      </c>
      <c r="G468" s="60">
        <v>72.062200000000004</v>
      </c>
      <c r="H468" s="60">
        <v>118.5</v>
      </c>
    </row>
    <row r="469" spans="1:8" x14ac:dyDescent="0.15">
      <c r="A469" s="60" t="s">
        <v>11</v>
      </c>
      <c r="B469" s="60">
        <v>10005</v>
      </c>
      <c r="C469" s="60">
        <v>23</v>
      </c>
      <c r="D469" s="60">
        <v>5.1609999999999996</v>
      </c>
      <c r="E469" s="60">
        <v>388.101</v>
      </c>
      <c r="F469" s="60">
        <v>16.559000000000001</v>
      </c>
      <c r="G469" s="60">
        <v>71.994100000000003</v>
      </c>
      <c r="H469" s="60">
        <v>118.613</v>
      </c>
    </row>
    <row r="470" spans="1:8" x14ac:dyDescent="0.15">
      <c r="A470" s="60" t="s">
        <v>11</v>
      </c>
      <c r="B470" s="60">
        <v>10005</v>
      </c>
      <c r="C470" s="60">
        <v>23</v>
      </c>
      <c r="D470" s="60">
        <v>5.1626000000000003</v>
      </c>
      <c r="E470" s="60">
        <v>387.98509999999999</v>
      </c>
      <c r="F470" s="60">
        <v>16.553999999999998</v>
      </c>
      <c r="G470" s="60">
        <v>71.9726</v>
      </c>
      <c r="H470" s="60">
        <v>118.6489</v>
      </c>
    </row>
    <row r="471" spans="1:8" x14ac:dyDescent="0.15">
      <c r="A471" s="60" t="s">
        <v>11</v>
      </c>
      <c r="B471" s="60">
        <v>10005</v>
      </c>
      <c r="C471" s="60">
        <v>23</v>
      </c>
      <c r="D471" s="60">
        <v>5.1669999999999998</v>
      </c>
      <c r="E471" s="60">
        <v>387.65170000000001</v>
      </c>
      <c r="F471" s="60">
        <v>16.539000000000001</v>
      </c>
      <c r="G471" s="60">
        <v>71.910700000000006</v>
      </c>
      <c r="H471" s="60">
        <v>118.748</v>
      </c>
    </row>
    <row r="472" spans="1:8" x14ac:dyDescent="0.15">
      <c r="A472" s="60" t="s">
        <v>11</v>
      </c>
      <c r="B472" s="60">
        <v>10005</v>
      </c>
      <c r="C472" s="60">
        <v>23</v>
      </c>
      <c r="D472" s="60">
        <v>5.1715</v>
      </c>
      <c r="E472" s="60">
        <v>387.31889999999999</v>
      </c>
      <c r="F472" s="60">
        <v>16.524999999999999</v>
      </c>
      <c r="G472" s="60">
        <v>71.849000000000004</v>
      </c>
      <c r="H472" s="60">
        <v>118.85080000000001</v>
      </c>
    </row>
    <row r="473" spans="1:8" x14ac:dyDescent="0.15">
      <c r="A473" s="60" t="s">
        <v>11</v>
      </c>
      <c r="B473" s="60">
        <v>10005</v>
      </c>
      <c r="C473" s="60">
        <v>23</v>
      </c>
      <c r="D473" s="60">
        <v>5.1753999999999998</v>
      </c>
      <c r="E473" s="60">
        <v>387.02319999999997</v>
      </c>
      <c r="F473" s="60">
        <v>16.513000000000002</v>
      </c>
      <c r="G473" s="60">
        <v>71.7941</v>
      </c>
      <c r="H473" s="60">
        <v>118.94410000000001</v>
      </c>
    </row>
    <row r="474" spans="1:8" x14ac:dyDescent="0.15">
      <c r="A474" s="60" t="s">
        <v>11</v>
      </c>
      <c r="B474" s="60">
        <v>10005</v>
      </c>
      <c r="C474" s="60">
        <v>23</v>
      </c>
      <c r="D474" s="60">
        <v>5.1820000000000004</v>
      </c>
      <c r="E474" s="60">
        <v>386.5317</v>
      </c>
      <c r="F474" s="60">
        <v>16.492000000000001</v>
      </c>
      <c r="G474" s="60">
        <v>71.703000000000003</v>
      </c>
      <c r="H474" s="60">
        <v>119.07980000000001</v>
      </c>
    </row>
    <row r="475" spans="1:8" x14ac:dyDescent="0.15">
      <c r="A475" s="60" t="s">
        <v>11</v>
      </c>
      <c r="B475" s="60">
        <v>10005</v>
      </c>
      <c r="C475" s="60">
        <v>23</v>
      </c>
      <c r="D475" s="60">
        <v>5.1909999999999998</v>
      </c>
      <c r="E475" s="60">
        <v>385.85899999999998</v>
      </c>
      <c r="F475" s="60">
        <v>16.463000000000001</v>
      </c>
      <c r="G475" s="60">
        <v>71.578199999999995</v>
      </c>
      <c r="H475" s="60">
        <v>119.3008</v>
      </c>
    </row>
    <row r="476" spans="1:8" x14ac:dyDescent="0.15">
      <c r="A476" s="60" t="s">
        <v>11</v>
      </c>
      <c r="B476" s="60">
        <v>10005</v>
      </c>
      <c r="C476" s="60">
        <v>23</v>
      </c>
      <c r="D476" s="60">
        <v>5.1988000000000003</v>
      </c>
      <c r="E476" s="60">
        <v>385.28219999999999</v>
      </c>
      <c r="F476" s="60">
        <v>16.437999999999999</v>
      </c>
      <c r="G476" s="60">
        <v>71.471199999999996</v>
      </c>
      <c r="H476" s="60">
        <v>119.48099999999999</v>
      </c>
    </row>
    <row r="477" spans="1:8" x14ac:dyDescent="0.15">
      <c r="A477" s="60" t="s">
        <v>11</v>
      </c>
      <c r="B477" s="60">
        <v>10005</v>
      </c>
      <c r="C477" s="60">
        <v>23</v>
      </c>
      <c r="D477" s="60">
        <v>5.2159000000000004</v>
      </c>
      <c r="E477" s="60">
        <v>384.01650000000001</v>
      </c>
      <c r="F477" s="60">
        <v>16.384</v>
      </c>
      <c r="G477" s="60">
        <v>71.236400000000003</v>
      </c>
      <c r="H477" s="60">
        <v>119.87350000000001</v>
      </c>
    </row>
    <row r="478" spans="1:8" x14ac:dyDescent="0.15">
      <c r="A478" s="60" t="s">
        <v>11</v>
      </c>
      <c r="B478" s="60">
        <v>10005</v>
      </c>
      <c r="C478" s="60">
        <v>23</v>
      </c>
      <c r="D478" s="60">
        <v>5.2050999999999998</v>
      </c>
      <c r="E478" s="60">
        <v>384.81299999999999</v>
      </c>
      <c r="F478" s="60">
        <v>16.417999999999999</v>
      </c>
      <c r="G478" s="60">
        <v>71.384100000000004</v>
      </c>
      <c r="H478" s="60">
        <v>119.625</v>
      </c>
    </row>
    <row r="479" spans="1:8" x14ac:dyDescent="0.15">
      <c r="A479" s="60" t="s">
        <v>11</v>
      </c>
      <c r="B479" s="60">
        <v>10005</v>
      </c>
      <c r="C479" s="60">
        <v>23</v>
      </c>
      <c r="D479" s="60">
        <v>5.1840000000000002</v>
      </c>
      <c r="E479" s="60">
        <v>386.38</v>
      </c>
      <c r="F479" s="60">
        <v>16.484999999999999</v>
      </c>
      <c r="G479" s="60">
        <v>71.674800000000005</v>
      </c>
      <c r="H479" s="60">
        <v>119.1367</v>
      </c>
    </row>
    <row r="480" spans="1:8" x14ac:dyDescent="0.15">
      <c r="A480" s="60" t="s">
        <v>11</v>
      </c>
      <c r="B480" s="60">
        <v>10005</v>
      </c>
      <c r="C480" s="60">
        <v>23</v>
      </c>
      <c r="D480" s="60">
        <v>5.1786000000000003</v>
      </c>
      <c r="E480" s="60">
        <v>386.78289999999998</v>
      </c>
      <c r="F480" s="60">
        <v>16.501999999999999</v>
      </c>
      <c r="G480" s="60">
        <v>71.749600000000001</v>
      </c>
      <c r="H480" s="60">
        <v>119.0151</v>
      </c>
    </row>
    <row r="481" spans="1:8" x14ac:dyDescent="0.15">
      <c r="A481" s="60" t="s">
        <v>11</v>
      </c>
      <c r="B481" s="60">
        <v>10005</v>
      </c>
      <c r="C481" s="60">
        <v>23</v>
      </c>
      <c r="D481" s="60">
        <v>5.1764000000000001</v>
      </c>
      <c r="E481" s="60">
        <v>386.94880000000001</v>
      </c>
      <c r="F481" s="60">
        <v>16.509</v>
      </c>
      <c r="G481" s="60">
        <v>71.780299999999997</v>
      </c>
      <c r="H481" s="60">
        <v>118.96680000000001</v>
      </c>
    </row>
    <row r="482" spans="1:8" x14ac:dyDescent="0.15">
      <c r="A482" s="60" t="s">
        <v>11</v>
      </c>
      <c r="B482" s="60">
        <v>10005</v>
      </c>
      <c r="C482" s="60">
        <v>23</v>
      </c>
      <c r="D482" s="60">
        <v>5.1786000000000003</v>
      </c>
      <c r="E482" s="60">
        <v>386.78519999999997</v>
      </c>
      <c r="F482" s="60">
        <v>16.501999999999999</v>
      </c>
      <c r="G482" s="60">
        <v>71.75</v>
      </c>
      <c r="H482" s="60">
        <v>119.0171</v>
      </c>
    </row>
    <row r="483" spans="1:8" x14ac:dyDescent="0.15">
      <c r="A483" s="60" t="s">
        <v>11</v>
      </c>
      <c r="B483" s="60">
        <v>10005</v>
      </c>
      <c r="C483" s="60">
        <v>23</v>
      </c>
      <c r="D483" s="60">
        <v>5.1814999999999998</v>
      </c>
      <c r="E483" s="60">
        <v>386.56790000000001</v>
      </c>
      <c r="F483" s="60">
        <v>16.492999999999999</v>
      </c>
      <c r="G483" s="60">
        <v>71.709699999999998</v>
      </c>
      <c r="H483" s="60">
        <v>119.08150000000001</v>
      </c>
    </row>
    <row r="484" spans="1:8" x14ac:dyDescent="0.15">
      <c r="A484" s="60" t="s">
        <v>11</v>
      </c>
      <c r="B484" s="60">
        <v>10005</v>
      </c>
      <c r="C484" s="60">
        <v>23</v>
      </c>
      <c r="D484" s="60">
        <v>5.1877000000000004</v>
      </c>
      <c r="E484" s="60">
        <v>386.10750000000002</v>
      </c>
      <c r="F484" s="60">
        <v>16.474</v>
      </c>
      <c r="G484" s="60">
        <v>71.624300000000005</v>
      </c>
      <c r="H484" s="60">
        <v>119.22410000000001</v>
      </c>
    </row>
    <row r="485" spans="1:8" x14ac:dyDescent="0.15">
      <c r="A485" s="60" t="s">
        <v>11</v>
      </c>
      <c r="B485" s="60">
        <v>10005</v>
      </c>
      <c r="C485" s="60">
        <v>23</v>
      </c>
      <c r="D485" s="60">
        <v>5.1913</v>
      </c>
      <c r="E485" s="60">
        <v>385.83499999999998</v>
      </c>
      <c r="F485" s="60">
        <v>16.462</v>
      </c>
      <c r="G485" s="60">
        <v>71.573700000000002</v>
      </c>
      <c r="H485" s="60">
        <v>119.3091</v>
      </c>
    </row>
    <row r="486" spans="1:8" x14ac:dyDescent="0.15">
      <c r="A486" s="60" t="s">
        <v>11</v>
      </c>
      <c r="B486" s="60">
        <v>10005</v>
      </c>
      <c r="C486" s="60">
        <v>23</v>
      </c>
      <c r="D486" s="60">
        <v>5.1928999999999998</v>
      </c>
      <c r="E486" s="60">
        <v>385.71969999999999</v>
      </c>
      <c r="F486" s="60">
        <v>16.457000000000001</v>
      </c>
      <c r="G486" s="60">
        <v>71.552300000000002</v>
      </c>
      <c r="H486" s="60">
        <v>119.34180000000001</v>
      </c>
    </row>
    <row r="487" spans="1:8" x14ac:dyDescent="0.15">
      <c r="A487" s="60" t="s">
        <v>11</v>
      </c>
      <c r="B487" s="60">
        <v>10005</v>
      </c>
      <c r="C487" s="60">
        <v>23</v>
      </c>
      <c r="D487" s="60">
        <v>5.1959</v>
      </c>
      <c r="E487" s="60">
        <v>385.49979999999999</v>
      </c>
      <c r="F487" s="60">
        <v>16.448</v>
      </c>
      <c r="G487" s="60">
        <v>71.511499999999998</v>
      </c>
      <c r="H487" s="60">
        <v>119.41459999999999</v>
      </c>
    </row>
    <row r="488" spans="1:8" x14ac:dyDescent="0.15">
      <c r="A488" s="60" t="s">
        <v>11</v>
      </c>
      <c r="B488" s="60">
        <v>10005</v>
      </c>
      <c r="C488" s="60">
        <v>23</v>
      </c>
      <c r="D488" s="60">
        <v>5.2003000000000004</v>
      </c>
      <c r="E488" s="60">
        <v>385.17189999999999</v>
      </c>
      <c r="F488" s="60">
        <v>16.434000000000001</v>
      </c>
      <c r="G488" s="60">
        <v>71.450699999999998</v>
      </c>
      <c r="H488" s="60">
        <v>119.5142</v>
      </c>
    </row>
    <row r="489" spans="1:8" x14ac:dyDescent="0.15">
      <c r="A489" s="60" t="s">
        <v>11</v>
      </c>
      <c r="B489" s="60">
        <v>10005</v>
      </c>
      <c r="C489" s="60">
        <v>23</v>
      </c>
      <c r="D489" s="60">
        <v>5.2023999999999999</v>
      </c>
      <c r="E489" s="60">
        <v>385.01519999999999</v>
      </c>
      <c r="F489" s="60">
        <v>16.427</v>
      </c>
      <c r="G489" s="60">
        <v>71.421599999999998</v>
      </c>
      <c r="H489" s="60">
        <v>119.5645</v>
      </c>
    </row>
    <row r="490" spans="1:8" x14ac:dyDescent="0.15">
      <c r="A490" s="60" t="s">
        <v>11</v>
      </c>
      <c r="B490" s="60">
        <v>10005</v>
      </c>
      <c r="C490" s="60">
        <v>23</v>
      </c>
      <c r="D490" s="60">
        <v>5.2015000000000002</v>
      </c>
      <c r="E490" s="60">
        <v>385.08339999999998</v>
      </c>
      <c r="F490" s="60">
        <v>16.43</v>
      </c>
      <c r="G490" s="60">
        <v>71.434299999999993</v>
      </c>
      <c r="H490" s="60">
        <v>119.54</v>
      </c>
    </row>
    <row r="491" spans="1:8" x14ac:dyDescent="0.15">
      <c r="A491" s="60" t="s">
        <v>11</v>
      </c>
      <c r="B491" s="60">
        <v>10005</v>
      </c>
      <c r="C491" s="60">
        <v>23</v>
      </c>
      <c r="D491" s="60">
        <v>5.2057000000000002</v>
      </c>
      <c r="E491" s="60">
        <v>384.77170000000001</v>
      </c>
      <c r="F491" s="60">
        <v>16.417000000000002</v>
      </c>
      <c r="G491" s="60">
        <v>71.376499999999993</v>
      </c>
      <c r="H491" s="60">
        <v>119.6387</v>
      </c>
    </row>
    <row r="492" spans="1:8" x14ac:dyDescent="0.15">
      <c r="A492" s="60" t="s">
        <v>11</v>
      </c>
      <c r="B492" s="60">
        <v>10005</v>
      </c>
      <c r="C492" s="60">
        <v>23</v>
      </c>
      <c r="D492" s="60">
        <v>5.2068000000000003</v>
      </c>
      <c r="E492" s="60">
        <v>384.69200000000001</v>
      </c>
      <c r="F492" s="60">
        <v>16.413</v>
      </c>
      <c r="G492" s="60">
        <v>71.361699999999999</v>
      </c>
      <c r="H492" s="60">
        <v>119.6641</v>
      </c>
    </row>
    <row r="493" spans="1:8" x14ac:dyDescent="0.15">
      <c r="A493" s="60" t="s">
        <v>11</v>
      </c>
      <c r="B493" s="60">
        <v>10005</v>
      </c>
      <c r="C493" s="60">
        <v>23</v>
      </c>
      <c r="D493" s="60">
        <v>5.2077999999999998</v>
      </c>
      <c r="E493" s="60">
        <v>384.6155</v>
      </c>
      <c r="F493" s="60">
        <v>16.41</v>
      </c>
      <c r="G493" s="60">
        <v>71.347499999999997</v>
      </c>
      <c r="H493" s="60">
        <v>119.6846</v>
      </c>
    </row>
    <row r="494" spans="1:8" x14ac:dyDescent="0.15">
      <c r="A494" s="60" t="s">
        <v>11</v>
      </c>
      <c r="B494" s="60">
        <v>10005</v>
      </c>
      <c r="C494" s="60">
        <v>23</v>
      </c>
      <c r="D494" s="60">
        <v>5.2111999999999998</v>
      </c>
      <c r="E494" s="60">
        <v>384.3664</v>
      </c>
      <c r="F494" s="60">
        <v>16.399000000000001</v>
      </c>
      <c r="G494" s="60">
        <v>71.301299999999998</v>
      </c>
      <c r="H494" s="60">
        <v>119.7578</v>
      </c>
    </row>
    <row r="495" spans="1:8" x14ac:dyDescent="0.15">
      <c r="A495" s="60" t="s">
        <v>11</v>
      </c>
      <c r="B495" s="60">
        <v>10005</v>
      </c>
      <c r="C495" s="60">
        <v>23</v>
      </c>
      <c r="D495" s="60">
        <v>5.2092000000000001</v>
      </c>
      <c r="E495" s="60">
        <v>384.5129</v>
      </c>
      <c r="F495" s="60">
        <v>16.405999999999999</v>
      </c>
      <c r="G495" s="60">
        <v>71.328500000000005</v>
      </c>
      <c r="H495" s="60">
        <v>119.7178</v>
      </c>
    </row>
    <row r="496" spans="1:8" x14ac:dyDescent="0.15">
      <c r="A496" s="60" t="s">
        <v>11</v>
      </c>
      <c r="B496" s="60">
        <v>10005</v>
      </c>
      <c r="C496" s="60">
        <v>24</v>
      </c>
      <c r="D496" s="60">
        <v>4.9882</v>
      </c>
      <c r="E496" s="60">
        <v>401.54700000000003</v>
      </c>
      <c r="F496" s="60">
        <v>17.132000000000001</v>
      </c>
      <c r="G496" s="60">
        <v>71.384699999999995</v>
      </c>
      <c r="H496" s="60">
        <v>119.4331</v>
      </c>
    </row>
    <row r="497" spans="1:8" x14ac:dyDescent="0.15">
      <c r="A497" s="60" t="s">
        <v>11</v>
      </c>
      <c r="B497" s="60">
        <v>10005</v>
      </c>
      <c r="C497" s="60">
        <v>24</v>
      </c>
      <c r="D497" s="60">
        <v>4.9535</v>
      </c>
      <c r="E497" s="60">
        <v>404.36320000000001</v>
      </c>
      <c r="F497" s="60">
        <v>17.251999999999999</v>
      </c>
      <c r="G497" s="60">
        <v>71.885300000000001</v>
      </c>
      <c r="H497" s="60">
        <v>118.751</v>
      </c>
    </row>
    <row r="498" spans="1:8" x14ac:dyDescent="0.15">
      <c r="A498" s="60" t="s">
        <v>11</v>
      </c>
      <c r="B498" s="60">
        <v>10005</v>
      </c>
      <c r="C498" s="60">
        <v>24</v>
      </c>
      <c r="D498" s="60">
        <v>4.9518000000000004</v>
      </c>
      <c r="E498" s="60">
        <v>404.49590000000001</v>
      </c>
      <c r="F498" s="60">
        <v>17.257999999999999</v>
      </c>
      <c r="G498" s="60">
        <v>71.908900000000003</v>
      </c>
      <c r="H498" s="60">
        <v>118.7119</v>
      </c>
    </row>
    <row r="499" spans="1:8" x14ac:dyDescent="0.15">
      <c r="A499" s="60" t="s">
        <v>11</v>
      </c>
      <c r="B499" s="60">
        <v>10005</v>
      </c>
      <c r="C499" s="60">
        <v>24</v>
      </c>
      <c r="D499" s="60">
        <v>4.9512</v>
      </c>
      <c r="E499" s="60">
        <v>404.54989999999998</v>
      </c>
      <c r="F499" s="60">
        <v>17.260000000000002</v>
      </c>
      <c r="G499" s="60">
        <v>71.918499999999995</v>
      </c>
      <c r="H499" s="60">
        <v>118.6978</v>
      </c>
    </row>
    <row r="500" spans="1:8" x14ac:dyDescent="0.15">
      <c r="A500" s="60" t="s">
        <v>11</v>
      </c>
      <c r="B500" s="60">
        <v>10005</v>
      </c>
      <c r="C500" s="60">
        <v>24</v>
      </c>
      <c r="D500" s="60">
        <v>4.9462000000000002</v>
      </c>
      <c r="E500" s="60">
        <v>404.95620000000002</v>
      </c>
      <c r="F500" s="60">
        <v>17.277999999999999</v>
      </c>
      <c r="G500" s="60">
        <v>71.990700000000004</v>
      </c>
      <c r="H500" s="60">
        <v>118.5669</v>
      </c>
    </row>
    <row r="501" spans="1:8" x14ac:dyDescent="0.15">
      <c r="A501" s="60" t="s">
        <v>11</v>
      </c>
      <c r="B501" s="60">
        <v>10005</v>
      </c>
      <c r="C501" s="60">
        <v>24</v>
      </c>
      <c r="D501" s="60">
        <v>4.9424999999999999</v>
      </c>
      <c r="E501" s="60">
        <v>405.25689999999997</v>
      </c>
      <c r="F501" s="60">
        <v>17.291</v>
      </c>
      <c r="G501" s="60">
        <v>72.044200000000004</v>
      </c>
      <c r="H501" s="60">
        <v>118.4893</v>
      </c>
    </row>
    <row r="502" spans="1:8" x14ac:dyDescent="0.15">
      <c r="A502" s="60" t="s">
        <v>11</v>
      </c>
      <c r="B502" s="60">
        <v>10005</v>
      </c>
      <c r="C502" s="60">
        <v>24</v>
      </c>
      <c r="D502" s="60">
        <v>4.9412000000000003</v>
      </c>
      <c r="E502" s="60">
        <v>405.37150000000003</v>
      </c>
      <c r="F502" s="60">
        <v>17.295000000000002</v>
      </c>
      <c r="G502" s="60">
        <v>72.064599999999999</v>
      </c>
      <c r="H502" s="60">
        <v>118.45610000000001</v>
      </c>
    </row>
    <row r="503" spans="1:8" x14ac:dyDescent="0.15">
      <c r="A503" s="60" t="s">
        <v>11</v>
      </c>
      <c r="B503" s="60">
        <v>10005</v>
      </c>
      <c r="C503" s="60">
        <v>24</v>
      </c>
      <c r="D503" s="60">
        <v>4.9372999999999996</v>
      </c>
      <c r="E503" s="60">
        <v>405.68490000000003</v>
      </c>
      <c r="F503" s="60">
        <v>17.309000000000001</v>
      </c>
      <c r="G503" s="60">
        <v>72.1203</v>
      </c>
      <c r="H503" s="60">
        <v>118.3257</v>
      </c>
    </row>
    <row r="504" spans="1:8" x14ac:dyDescent="0.15">
      <c r="A504" s="60" t="s">
        <v>11</v>
      </c>
      <c r="B504" s="60">
        <v>10005</v>
      </c>
      <c r="C504" s="60">
        <v>24</v>
      </c>
      <c r="D504" s="60">
        <v>4.9351000000000003</v>
      </c>
      <c r="E504" s="60">
        <v>405.86869999999999</v>
      </c>
      <c r="F504" s="60">
        <v>17.317</v>
      </c>
      <c r="G504" s="60">
        <v>72.153000000000006</v>
      </c>
      <c r="H504" s="60">
        <v>118.31100000000001</v>
      </c>
    </row>
    <row r="505" spans="1:8" x14ac:dyDescent="0.15">
      <c r="A505" s="60" t="s">
        <v>11</v>
      </c>
      <c r="B505" s="60">
        <v>10005</v>
      </c>
      <c r="C505" s="60">
        <v>24</v>
      </c>
      <c r="D505" s="60">
        <v>4.9333</v>
      </c>
      <c r="E505" s="60">
        <v>406.01350000000002</v>
      </c>
      <c r="F505" s="60">
        <v>17.323</v>
      </c>
      <c r="G505" s="60">
        <v>72.178700000000006</v>
      </c>
      <c r="H505" s="60">
        <v>118.2612</v>
      </c>
    </row>
    <row r="506" spans="1:8" x14ac:dyDescent="0.15">
      <c r="A506" s="60" t="s">
        <v>11</v>
      </c>
      <c r="B506" s="60">
        <v>10005</v>
      </c>
      <c r="C506" s="60">
        <v>24</v>
      </c>
      <c r="D506" s="60">
        <v>4.9295</v>
      </c>
      <c r="E506" s="60">
        <v>406.33019999999999</v>
      </c>
      <c r="F506" s="60">
        <v>17.335999999999999</v>
      </c>
      <c r="G506" s="60">
        <v>72.234999999999999</v>
      </c>
      <c r="H506" s="60">
        <v>118.1768</v>
      </c>
    </row>
    <row r="507" spans="1:8" x14ac:dyDescent="0.15">
      <c r="A507" s="60" t="s">
        <v>11</v>
      </c>
      <c r="B507" s="60">
        <v>10005</v>
      </c>
      <c r="C507" s="60">
        <v>24</v>
      </c>
      <c r="D507" s="60">
        <v>4.9279999999999999</v>
      </c>
      <c r="E507" s="60">
        <v>406.45010000000002</v>
      </c>
      <c r="F507" s="60">
        <v>17.341999999999999</v>
      </c>
      <c r="G507" s="60">
        <v>72.256299999999996</v>
      </c>
      <c r="H507" s="60">
        <v>118.1401</v>
      </c>
    </row>
    <row r="508" spans="1:8" x14ac:dyDescent="0.15">
      <c r="A508" s="60" t="s">
        <v>11</v>
      </c>
      <c r="B508" s="60">
        <v>10005</v>
      </c>
      <c r="C508" s="60">
        <v>24</v>
      </c>
      <c r="D508" s="60">
        <v>4.9252000000000002</v>
      </c>
      <c r="E508" s="60">
        <v>406.6807</v>
      </c>
      <c r="F508" s="60">
        <v>17.350999999999999</v>
      </c>
      <c r="G508" s="60">
        <v>72.297300000000007</v>
      </c>
      <c r="H508" s="60">
        <v>118.0723</v>
      </c>
    </row>
    <row r="509" spans="1:8" x14ac:dyDescent="0.15">
      <c r="A509" s="60" t="s">
        <v>11</v>
      </c>
      <c r="B509" s="60">
        <v>10005</v>
      </c>
      <c r="C509" s="60">
        <v>24</v>
      </c>
      <c r="D509" s="60">
        <v>4.9242999999999997</v>
      </c>
      <c r="E509" s="60">
        <v>406.7577</v>
      </c>
      <c r="F509" s="60">
        <v>17.355</v>
      </c>
      <c r="G509" s="60">
        <v>72.311000000000007</v>
      </c>
      <c r="H509" s="60">
        <v>118.0508</v>
      </c>
    </row>
    <row r="510" spans="1:8" x14ac:dyDescent="0.15">
      <c r="A510" s="60" t="s">
        <v>11</v>
      </c>
      <c r="B510" s="60">
        <v>10005</v>
      </c>
      <c r="C510" s="60">
        <v>24</v>
      </c>
      <c r="D510" s="60">
        <v>4.9191000000000003</v>
      </c>
      <c r="E510" s="60">
        <v>407.19060000000002</v>
      </c>
      <c r="F510" s="60">
        <v>17.373000000000001</v>
      </c>
      <c r="G510" s="60">
        <v>72.388000000000005</v>
      </c>
      <c r="H510" s="60">
        <v>117.9272</v>
      </c>
    </row>
    <row r="511" spans="1:8" x14ac:dyDescent="0.15">
      <c r="A511" s="60" t="s">
        <v>11</v>
      </c>
      <c r="B511" s="60">
        <v>10005</v>
      </c>
      <c r="C511" s="60">
        <v>24</v>
      </c>
      <c r="D511" s="60">
        <v>4.9181999999999997</v>
      </c>
      <c r="E511" s="60">
        <v>407.26620000000003</v>
      </c>
      <c r="F511" s="60">
        <v>17.376000000000001</v>
      </c>
      <c r="G511" s="60">
        <v>72.401399999999995</v>
      </c>
      <c r="H511" s="60">
        <v>117.9053</v>
      </c>
    </row>
    <row r="512" spans="1:8" x14ac:dyDescent="0.15">
      <c r="A512" s="60" t="s">
        <v>11</v>
      </c>
      <c r="B512" s="60">
        <v>10005</v>
      </c>
      <c r="C512" s="60">
        <v>24</v>
      </c>
      <c r="D512" s="60">
        <v>4.9175000000000004</v>
      </c>
      <c r="E512" s="60">
        <v>407.32100000000003</v>
      </c>
      <c r="F512" s="60">
        <v>17.379000000000001</v>
      </c>
      <c r="G512" s="60">
        <v>72.411100000000005</v>
      </c>
      <c r="H512" s="60">
        <v>117.8828</v>
      </c>
    </row>
    <row r="513" spans="1:8" x14ac:dyDescent="0.15">
      <c r="A513" s="60" t="s">
        <v>11</v>
      </c>
      <c r="B513" s="60">
        <v>10005</v>
      </c>
      <c r="C513" s="60">
        <v>24</v>
      </c>
      <c r="D513" s="60">
        <v>4.9151999999999996</v>
      </c>
      <c r="E513" s="60">
        <v>407.51560000000001</v>
      </c>
      <c r="F513" s="60">
        <v>17.387</v>
      </c>
      <c r="G513" s="60">
        <v>72.445700000000002</v>
      </c>
      <c r="H513" s="60">
        <v>117.833</v>
      </c>
    </row>
    <row r="514" spans="1:8" x14ac:dyDescent="0.15">
      <c r="A514" s="60" t="s">
        <v>11</v>
      </c>
      <c r="B514" s="60">
        <v>10005</v>
      </c>
      <c r="C514" s="60">
        <v>24</v>
      </c>
      <c r="D514" s="60">
        <v>4.9143999999999997</v>
      </c>
      <c r="E514" s="60">
        <v>407.5763</v>
      </c>
      <c r="F514" s="60">
        <v>17.39</v>
      </c>
      <c r="G514" s="60">
        <v>72.456500000000005</v>
      </c>
      <c r="H514" s="60">
        <v>117.8096</v>
      </c>
    </row>
    <row r="515" spans="1:8" x14ac:dyDescent="0.15">
      <c r="A515" s="60" t="s">
        <v>11</v>
      </c>
      <c r="B515" s="60">
        <v>10005</v>
      </c>
      <c r="C515" s="60">
        <v>24</v>
      </c>
      <c r="D515" s="60">
        <v>4.9138999999999999</v>
      </c>
      <c r="E515" s="60">
        <v>407.6155</v>
      </c>
      <c r="F515" s="60">
        <v>17.390999999999998</v>
      </c>
      <c r="G515" s="60">
        <v>72.463499999999996</v>
      </c>
      <c r="H515" s="60">
        <v>117.7822</v>
      </c>
    </row>
    <row r="516" spans="1:8" x14ac:dyDescent="0.15">
      <c r="A516" s="60" t="s">
        <v>11</v>
      </c>
      <c r="B516" s="60">
        <v>10005</v>
      </c>
      <c r="C516" s="60">
        <v>24</v>
      </c>
      <c r="D516" s="60">
        <v>4.9127999999999998</v>
      </c>
      <c r="E516" s="60">
        <v>407.7106</v>
      </c>
      <c r="F516" s="60">
        <v>17.395</v>
      </c>
      <c r="G516" s="60">
        <v>72.480400000000003</v>
      </c>
      <c r="H516" s="60">
        <v>117.7734</v>
      </c>
    </row>
    <row r="517" spans="1:8" x14ac:dyDescent="0.15">
      <c r="A517" s="60" t="s">
        <v>11</v>
      </c>
      <c r="B517" s="60">
        <v>10005</v>
      </c>
      <c r="C517" s="60">
        <v>24</v>
      </c>
      <c r="D517" s="60">
        <v>4.9101999999999997</v>
      </c>
      <c r="E517" s="60">
        <v>407.92590000000001</v>
      </c>
      <c r="F517" s="60">
        <v>17.404</v>
      </c>
      <c r="G517" s="60">
        <v>72.518699999999995</v>
      </c>
      <c r="H517" s="60">
        <v>117.7139</v>
      </c>
    </row>
    <row r="518" spans="1:8" x14ac:dyDescent="0.15">
      <c r="A518" s="60" t="s">
        <v>11</v>
      </c>
      <c r="B518" s="60">
        <v>10005</v>
      </c>
      <c r="C518" s="60">
        <v>24</v>
      </c>
      <c r="D518" s="60">
        <v>4.9084000000000003</v>
      </c>
      <c r="E518" s="60">
        <v>408.07850000000002</v>
      </c>
      <c r="F518" s="60">
        <v>17.411000000000001</v>
      </c>
      <c r="G518" s="60">
        <v>72.5458</v>
      </c>
      <c r="H518" s="60">
        <v>117.67189999999999</v>
      </c>
    </row>
    <row r="519" spans="1:8" x14ac:dyDescent="0.15">
      <c r="A519" s="60" t="s">
        <v>11</v>
      </c>
      <c r="B519" s="60">
        <v>10005</v>
      </c>
      <c r="C519" s="60">
        <v>24</v>
      </c>
      <c r="D519" s="60">
        <v>4.9069000000000003</v>
      </c>
      <c r="E519" s="60">
        <v>408.20389999999998</v>
      </c>
      <c r="F519" s="60">
        <v>17.416</v>
      </c>
      <c r="G519" s="60">
        <v>72.568100000000001</v>
      </c>
      <c r="H519" s="60">
        <v>117.6289</v>
      </c>
    </row>
    <row r="520" spans="1:8" x14ac:dyDescent="0.15">
      <c r="A520" s="60" t="s">
        <v>11</v>
      </c>
      <c r="B520" s="60">
        <v>10005</v>
      </c>
      <c r="C520" s="60">
        <v>24</v>
      </c>
      <c r="D520" s="60">
        <v>4.9059999999999997</v>
      </c>
      <c r="E520" s="60">
        <v>408.27460000000002</v>
      </c>
      <c r="F520" s="60">
        <v>17.419</v>
      </c>
      <c r="G520" s="60">
        <v>72.580699999999993</v>
      </c>
      <c r="H520" s="60">
        <v>117.5977</v>
      </c>
    </row>
    <row r="521" spans="1:8" x14ac:dyDescent="0.15">
      <c r="A521" s="60" t="s">
        <v>11</v>
      </c>
      <c r="B521" s="60">
        <v>10005</v>
      </c>
      <c r="C521" s="60">
        <v>24</v>
      </c>
      <c r="D521" s="60">
        <v>4.9054000000000002</v>
      </c>
      <c r="E521" s="60">
        <v>408.32690000000002</v>
      </c>
      <c r="F521" s="60">
        <v>17.422000000000001</v>
      </c>
      <c r="G521" s="60">
        <v>72.59</v>
      </c>
      <c r="H521" s="60">
        <v>117.59569999999999</v>
      </c>
    </row>
    <row r="522" spans="1:8" x14ac:dyDescent="0.15">
      <c r="A522" s="60" t="s">
        <v>11</v>
      </c>
      <c r="B522" s="60">
        <v>10005</v>
      </c>
      <c r="C522" s="60">
        <v>24</v>
      </c>
      <c r="D522" s="60">
        <v>4.9103000000000003</v>
      </c>
      <c r="E522" s="60">
        <v>407.91750000000002</v>
      </c>
      <c r="F522" s="60">
        <v>17.404</v>
      </c>
      <c r="G522" s="60">
        <v>72.517200000000003</v>
      </c>
      <c r="H522" s="60">
        <v>117.71680000000001</v>
      </c>
    </row>
    <row r="523" spans="1:8" x14ac:dyDescent="0.15">
      <c r="A523" s="60" t="s">
        <v>11</v>
      </c>
      <c r="B523" s="60">
        <v>10005</v>
      </c>
      <c r="C523" s="60">
        <v>24</v>
      </c>
      <c r="D523" s="60">
        <v>4.9051</v>
      </c>
      <c r="E523" s="60">
        <v>408.35469999999998</v>
      </c>
      <c r="F523" s="60">
        <v>17.422999999999998</v>
      </c>
      <c r="G523" s="60">
        <v>72.594899999999996</v>
      </c>
      <c r="H523" s="60">
        <v>117.58499999999999</v>
      </c>
    </row>
    <row r="524" spans="1:8" x14ac:dyDescent="0.15">
      <c r="A524" s="60" t="s">
        <v>11</v>
      </c>
      <c r="B524" s="60">
        <v>10005</v>
      </c>
      <c r="C524" s="60">
        <v>24</v>
      </c>
      <c r="D524" s="60">
        <v>4.9162999999999997</v>
      </c>
      <c r="E524" s="60">
        <v>407.4203</v>
      </c>
      <c r="F524" s="60">
        <v>17.382999999999999</v>
      </c>
      <c r="G524" s="60">
        <v>72.428799999999995</v>
      </c>
      <c r="H524" s="60">
        <v>117.85550000000001</v>
      </c>
    </row>
    <row r="525" spans="1:8" x14ac:dyDescent="0.15">
      <c r="A525" s="60" t="s">
        <v>11</v>
      </c>
      <c r="B525" s="60">
        <v>10005</v>
      </c>
      <c r="C525" s="60">
        <v>24</v>
      </c>
      <c r="D525" s="60">
        <v>4.9127999999999998</v>
      </c>
      <c r="E525" s="60">
        <v>407.70740000000001</v>
      </c>
      <c r="F525" s="60">
        <v>17.395</v>
      </c>
      <c r="G525" s="60">
        <v>72.479799999999997</v>
      </c>
      <c r="H525" s="60">
        <v>117.7754</v>
      </c>
    </row>
    <row r="526" spans="1:8" x14ac:dyDescent="0.15">
      <c r="A526" s="60" t="s">
        <v>11</v>
      </c>
      <c r="B526" s="60">
        <v>10005</v>
      </c>
      <c r="C526" s="60">
        <v>24</v>
      </c>
      <c r="D526" s="60">
        <v>4.9061000000000003</v>
      </c>
      <c r="E526" s="60">
        <v>408.2715</v>
      </c>
      <c r="F526" s="60">
        <v>17.419</v>
      </c>
      <c r="G526" s="60">
        <v>72.580100000000002</v>
      </c>
      <c r="H526" s="60">
        <v>117.61620000000001</v>
      </c>
    </row>
    <row r="527" spans="1:8" x14ac:dyDescent="0.15">
      <c r="A527" s="60" t="s">
        <v>11</v>
      </c>
      <c r="B527" s="60">
        <v>10005</v>
      </c>
      <c r="C527" s="60">
        <v>24</v>
      </c>
      <c r="D527" s="60">
        <v>4.9123999999999999</v>
      </c>
      <c r="E527" s="60">
        <v>407.74189999999999</v>
      </c>
      <c r="F527" s="60">
        <v>17.396999999999998</v>
      </c>
      <c r="G527" s="60">
        <v>72.486000000000004</v>
      </c>
      <c r="H527" s="60">
        <v>117.7256</v>
      </c>
    </row>
    <row r="528" spans="1:8" x14ac:dyDescent="0.15">
      <c r="A528" s="60" t="s">
        <v>11</v>
      </c>
      <c r="B528" s="60">
        <v>10005</v>
      </c>
      <c r="C528" s="60">
        <v>24</v>
      </c>
      <c r="D528" s="60">
        <v>4.9253999999999998</v>
      </c>
      <c r="E528" s="60">
        <v>406.66829999999999</v>
      </c>
      <c r="F528" s="60">
        <v>17.350999999999999</v>
      </c>
      <c r="G528" s="60">
        <v>72.295100000000005</v>
      </c>
      <c r="H528" s="60">
        <v>118.07810000000001</v>
      </c>
    </row>
    <row r="529" spans="1:8" x14ac:dyDescent="0.15">
      <c r="A529" s="60" t="s">
        <v>11</v>
      </c>
      <c r="B529" s="60">
        <v>10005</v>
      </c>
      <c r="C529" s="60">
        <v>24</v>
      </c>
      <c r="D529" s="60">
        <v>4.9177</v>
      </c>
      <c r="E529" s="60">
        <v>407.30439999999999</v>
      </c>
      <c r="F529" s="60">
        <v>17.378</v>
      </c>
      <c r="G529" s="60">
        <v>72.408199999999994</v>
      </c>
      <c r="H529" s="60">
        <v>117.8926</v>
      </c>
    </row>
    <row r="530" spans="1:8" x14ac:dyDescent="0.15">
      <c r="A530" s="60" t="s">
        <v>11</v>
      </c>
      <c r="B530" s="60">
        <v>10005</v>
      </c>
      <c r="C530" s="60">
        <v>24</v>
      </c>
      <c r="D530" s="60">
        <v>4.9202000000000004</v>
      </c>
      <c r="E530" s="60">
        <v>407.09500000000003</v>
      </c>
      <c r="F530" s="60">
        <v>17.369</v>
      </c>
      <c r="G530" s="60">
        <v>72.370999999999995</v>
      </c>
      <c r="H530" s="60">
        <v>117.95699999999999</v>
      </c>
    </row>
    <row r="531" spans="1:8" x14ac:dyDescent="0.15">
      <c r="A531" s="60" t="s">
        <v>11</v>
      </c>
      <c r="B531" s="60">
        <v>10005</v>
      </c>
      <c r="C531" s="60">
        <v>24</v>
      </c>
      <c r="D531" s="60">
        <v>4.9034000000000004</v>
      </c>
      <c r="E531" s="60">
        <v>408.48899999999998</v>
      </c>
      <c r="F531" s="60">
        <v>17.428999999999998</v>
      </c>
      <c r="G531" s="60">
        <v>72.618799999999993</v>
      </c>
      <c r="H531" s="60">
        <v>117.5498</v>
      </c>
    </row>
    <row r="532" spans="1:8" x14ac:dyDescent="0.15">
      <c r="A532" s="60" t="s">
        <v>11</v>
      </c>
      <c r="B532" s="60">
        <v>10005</v>
      </c>
      <c r="C532" s="60">
        <v>24</v>
      </c>
      <c r="D532" s="60">
        <v>4.9393000000000002</v>
      </c>
      <c r="E532" s="60">
        <v>405.52390000000003</v>
      </c>
      <c r="F532" s="60">
        <v>17.302</v>
      </c>
      <c r="G532" s="60">
        <v>72.091700000000003</v>
      </c>
      <c r="H532" s="60">
        <v>118.29300000000001</v>
      </c>
    </row>
    <row r="533" spans="1:8" x14ac:dyDescent="0.15">
      <c r="A533" s="60" t="s">
        <v>11</v>
      </c>
      <c r="B533" s="60">
        <v>10005</v>
      </c>
      <c r="C533" s="60">
        <v>24</v>
      </c>
      <c r="D533" s="60">
        <v>4.9073000000000002</v>
      </c>
      <c r="E533" s="60">
        <v>408.16809999999998</v>
      </c>
      <c r="F533" s="60">
        <v>17.414999999999999</v>
      </c>
      <c r="G533" s="60">
        <v>72.561700000000002</v>
      </c>
      <c r="H533" s="60">
        <v>117.627</v>
      </c>
    </row>
    <row r="534" spans="1:8" x14ac:dyDescent="0.15">
      <c r="A534" s="60" t="s">
        <v>11</v>
      </c>
      <c r="B534" s="60">
        <v>10005</v>
      </c>
      <c r="C534" s="60">
        <v>24</v>
      </c>
      <c r="D534" s="60">
        <v>4.9078999999999997</v>
      </c>
      <c r="E534" s="60">
        <v>408.11529999999999</v>
      </c>
      <c r="F534" s="60">
        <v>17.413</v>
      </c>
      <c r="G534" s="60">
        <v>72.552400000000006</v>
      </c>
      <c r="H534" s="60">
        <v>117.6602</v>
      </c>
    </row>
    <row r="535" spans="1:8" x14ac:dyDescent="0.15">
      <c r="A535" s="60" t="s">
        <v>11</v>
      </c>
      <c r="B535" s="60">
        <v>10005</v>
      </c>
      <c r="C535" s="60">
        <v>24</v>
      </c>
      <c r="D535" s="60">
        <v>4.9218000000000002</v>
      </c>
      <c r="E535" s="60">
        <v>406.96510000000001</v>
      </c>
      <c r="F535" s="60">
        <v>17.363</v>
      </c>
      <c r="G535" s="60">
        <v>72.347899999999996</v>
      </c>
      <c r="H535" s="60">
        <v>117.99120000000001</v>
      </c>
    </row>
    <row r="536" spans="1:8" x14ac:dyDescent="0.15">
      <c r="A536" s="60" t="s">
        <v>11</v>
      </c>
      <c r="B536" s="60">
        <v>10005</v>
      </c>
      <c r="C536" s="60">
        <v>24</v>
      </c>
      <c r="D536" s="60">
        <v>4.9496000000000002</v>
      </c>
      <c r="E536" s="60">
        <v>404.67680000000001</v>
      </c>
      <c r="F536" s="60">
        <v>17.265999999999998</v>
      </c>
      <c r="G536" s="60">
        <v>71.941100000000006</v>
      </c>
      <c r="H536" s="60">
        <v>118.6533</v>
      </c>
    </row>
    <row r="537" spans="1:8" x14ac:dyDescent="0.15">
      <c r="A537" s="60" t="s">
        <v>11</v>
      </c>
      <c r="B537" s="60">
        <v>10005</v>
      </c>
      <c r="C537" s="60">
        <v>24</v>
      </c>
      <c r="D537" s="60">
        <v>4.9316000000000004</v>
      </c>
      <c r="E537" s="60">
        <v>406.1601</v>
      </c>
      <c r="F537" s="60">
        <v>17.329000000000001</v>
      </c>
      <c r="G537" s="60">
        <v>72.204800000000006</v>
      </c>
      <c r="H537" s="60">
        <v>118.2236</v>
      </c>
    </row>
    <row r="538" spans="1:8" x14ac:dyDescent="0.15">
      <c r="A538" s="60" t="s">
        <v>11</v>
      </c>
      <c r="B538" s="60">
        <v>10005</v>
      </c>
      <c r="C538" s="60">
        <v>24</v>
      </c>
      <c r="D538" s="60">
        <v>4.9535999999999998</v>
      </c>
      <c r="E538" s="60">
        <v>404.35149999999999</v>
      </c>
      <c r="F538" s="60">
        <v>17.251999999999999</v>
      </c>
      <c r="G538" s="60">
        <v>71.883200000000002</v>
      </c>
      <c r="H538" s="60">
        <v>118.75490000000001</v>
      </c>
    </row>
    <row r="539" spans="1:8" x14ac:dyDescent="0.15">
      <c r="A539" s="60" t="s">
        <v>11</v>
      </c>
      <c r="B539" s="60">
        <v>10005</v>
      </c>
      <c r="C539" s="60">
        <v>24</v>
      </c>
      <c r="D539" s="60">
        <v>4.9451999999999998</v>
      </c>
      <c r="E539" s="60">
        <v>405.04230000000001</v>
      </c>
      <c r="F539" s="60">
        <v>17.280999999999999</v>
      </c>
      <c r="G539" s="60">
        <v>72.006</v>
      </c>
      <c r="H539" s="60">
        <v>118.5312</v>
      </c>
    </row>
    <row r="540" spans="1:8" x14ac:dyDescent="0.15">
      <c r="A540" s="60" t="s">
        <v>11</v>
      </c>
      <c r="B540" s="60">
        <v>10005</v>
      </c>
      <c r="C540" s="60">
        <v>24</v>
      </c>
      <c r="D540" s="60">
        <v>4.9165000000000001</v>
      </c>
      <c r="E540" s="60">
        <v>407.40719999999999</v>
      </c>
      <c r="F540" s="60">
        <v>17.382000000000001</v>
      </c>
      <c r="G540" s="60">
        <v>72.426500000000004</v>
      </c>
      <c r="H540" s="60">
        <v>117.8633</v>
      </c>
    </row>
    <row r="541" spans="1:8" x14ac:dyDescent="0.15">
      <c r="A541" s="60" t="s">
        <v>11</v>
      </c>
      <c r="B541" s="60">
        <v>10005</v>
      </c>
      <c r="C541" s="60">
        <v>24</v>
      </c>
      <c r="D541" s="60">
        <v>4.9176000000000002</v>
      </c>
      <c r="E541" s="60">
        <v>407.31389999999999</v>
      </c>
      <c r="F541" s="60">
        <v>17.378</v>
      </c>
      <c r="G541" s="60">
        <v>72.409899999999993</v>
      </c>
      <c r="H541" s="60">
        <v>117.89060000000001</v>
      </c>
    </row>
    <row r="542" spans="1:8" x14ac:dyDescent="0.15">
      <c r="A542" s="60" t="s">
        <v>11</v>
      </c>
      <c r="B542" s="60">
        <v>10005</v>
      </c>
      <c r="C542" s="60">
        <v>24</v>
      </c>
      <c r="D542" s="60">
        <v>4.9345999999999997</v>
      </c>
      <c r="E542" s="60">
        <v>405.91079999999999</v>
      </c>
      <c r="F542" s="60">
        <v>17.318999999999999</v>
      </c>
      <c r="G542" s="60">
        <v>72.160399999999996</v>
      </c>
      <c r="H542" s="60">
        <v>118.29389999999999</v>
      </c>
    </row>
    <row r="543" spans="1:8" x14ac:dyDescent="0.15">
      <c r="A543" s="60" t="s">
        <v>11</v>
      </c>
      <c r="B543" s="60">
        <v>10005</v>
      </c>
      <c r="C543" s="60">
        <v>24</v>
      </c>
      <c r="D543" s="60">
        <v>4.9428000000000001</v>
      </c>
      <c r="E543" s="60">
        <v>405.23489999999998</v>
      </c>
      <c r="F543" s="60">
        <v>17.29</v>
      </c>
      <c r="G543" s="60">
        <v>72.040300000000002</v>
      </c>
      <c r="H543" s="60">
        <v>118.4941</v>
      </c>
    </row>
    <row r="544" spans="1:8" x14ac:dyDescent="0.15">
      <c r="A544" s="60" t="s">
        <v>11</v>
      </c>
      <c r="B544" s="60">
        <v>10005</v>
      </c>
      <c r="C544" s="60">
        <v>24</v>
      </c>
      <c r="D544" s="60">
        <v>4.9454000000000002</v>
      </c>
      <c r="E544" s="60">
        <v>405.0249</v>
      </c>
      <c r="F544" s="60">
        <v>17.280999999999999</v>
      </c>
      <c r="G544" s="60">
        <v>72.003</v>
      </c>
      <c r="H544" s="60">
        <v>118.54689999999999</v>
      </c>
    </row>
    <row r="545" spans="1:8" x14ac:dyDescent="0.15">
      <c r="A545" s="60" t="s">
        <v>11</v>
      </c>
      <c r="B545" s="60">
        <v>10005</v>
      </c>
      <c r="C545" s="60">
        <v>24</v>
      </c>
      <c r="D545" s="60">
        <v>4.9673999999999996</v>
      </c>
      <c r="E545" s="60">
        <v>403.23129999999998</v>
      </c>
      <c r="F545" s="60">
        <v>17.204000000000001</v>
      </c>
      <c r="G545" s="60">
        <v>71.684100000000001</v>
      </c>
      <c r="H545" s="60">
        <v>118.9385</v>
      </c>
    </row>
    <row r="546" spans="1:8" x14ac:dyDescent="0.15">
      <c r="A546" s="60" t="s">
        <v>11</v>
      </c>
      <c r="B546" s="60">
        <v>10005</v>
      </c>
      <c r="C546" s="60">
        <v>24</v>
      </c>
      <c r="D546" s="60">
        <v>4.9554999999999998</v>
      </c>
      <c r="E546" s="60">
        <v>404.19839999999999</v>
      </c>
      <c r="F546" s="60">
        <v>17.245000000000001</v>
      </c>
      <c r="G546" s="60">
        <v>71.855999999999995</v>
      </c>
      <c r="H546" s="60">
        <v>118.7959</v>
      </c>
    </row>
    <row r="547" spans="1:8" x14ac:dyDescent="0.15">
      <c r="A547" s="60" t="s">
        <v>11</v>
      </c>
      <c r="B547" s="60">
        <v>10010</v>
      </c>
      <c r="C547" s="60">
        <v>1</v>
      </c>
      <c r="D547" s="60">
        <v>85.278099999999995</v>
      </c>
      <c r="E547" s="60">
        <v>23.523099999999999</v>
      </c>
      <c r="F547" s="60">
        <v>1</v>
      </c>
      <c r="G547" s="60">
        <v>100</v>
      </c>
      <c r="H547" s="60">
        <v>85.224000000000004</v>
      </c>
    </row>
    <row r="548" spans="1:8" x14ac:dyDescent="0.15">
      <c r="A548" s="60" t="s">
        <v>11</v>
      </c>
      <c r="B548" s="60">
        <v>10010</v>
      </c>
      <c r="C548" s="60">
        <v>1</v>
      </c>
      <c r="D548" s="60">
        <v>85.095100000000002</v>
      </c>
      <c r="E548" s="60">
        <v>23.573699999999999</v>
      </c>
      <c r="F548" s="60">
        <v>1.002</v>
      </c>
      <c r="G548" s="60">
        <v>100.21510000000001</v>
      </c>
      <c r="H548" s="60">
        <v>85.0411</v>
      </c>
    </row>
    <row r="549" spans="1:8" x14ac:dyDescent="0.15">
      <c r="A549" s="60" t="s">
        <v>11</v>
      </c>
      <c r="B549" s="60">
        <v>10010</v>
      </c>
      <c r="C549" s="60">
        <v>1</v>
      </c>
      <c r="D549" s="60">
        <v>85.119100000000003</v>
      </c>
      <c r="E549" s="60">
        <v>23.567</v>
      </c>
      <c r="F549" s="60">
        <v>1.002</v>
      </c>
      <c r="G549" s="60">
        <v>100.18680000000001</v>
      </c>
      <c r="H549" s="60">
        <v>85.062100000000001</v>
      </c>
    </row>
    <row r="550" spans="1:8" x14ac:dyDescent="0.15">
      <c r="A550" s="60" t="s">
        <v>11</v>
      </c>
      <c r="B550" s="60">
        <v>10010</v>
      </c>
      <c r="C550" s="60">
        <v>1</v>
      </c>
      <c r="D550" s="60">
        <v>85.078000000000003</v>
      </c>
      <c r="E550" s="60">
        <v>23.578399999999998</v>
      </c>
      <c r="F550" s="60">
        <v>1.002</v>
      </c>
      <c r="G550" s="60">
        <v>100.23520000000001</v>
      </c>
      <c r="H550" s="60">
        <v>85.024100000000004</v>
      </c>
    </row>
    <row r="551" spans="1:8" x14ac:dyDescent="0.15">
      <c r="A551" s="60" t="s">
        <v>11</v>
      </c>
      <c r="B551" s="60">
        <v>10010</v>
      </c>
      <c r="C551" s="60">
        <v>1</v>
      </c>
      <c r="D551" s="60">
        <v>85.091800000000006</v>
      </c>
      <c r="E551" s="60">
        <v>23.5746</v>
      </c>
      <c r="F551" s="60">
        <v>1.002</v>
      </c>
      <c r="G551" s="60">
        <v>100.21899999999999</v>
      </c>
      <c r="H551" s="60">
        <v>85.0381</v>
      </c>
    </row>
    <row r="552" spans="1:8" x14ac:dyDescent="0.15">
      <c r="A552" s="60" t="s">
        <v>11</v>
      </c>
      <c r="B552" s="60">
        <v>10010</v>
      </c>
      <c r="C552" s="60">
        <v>1</v>
      </c>
      <c r="D552" s="60">
        <v>85.081199999999995</v>
      </c>
      <c r="E552" s="60">
        <v>23.5776</v>
      </c>
      <c r="F552" s="60">
        <v>1.002</v>
      </c>
      <c r="G552" s="60">
        <v>100.2315</v>
      </c>
      <c r="H552" s="60">
        <v>85.027100000000004</v>
      </c>
    </row>
    <row r="553" spans="1:8" x14ac:dyDescent="0.15">
      <c r="A553" s="60" t="s">
        <v>11</v>
      </c>
      <c r="B553" s="60">
        <v>10010</v>
      </c>
      <c r="C553" s="60">
        <v>23</v>
      </c>
      <c r="D553" s="60">
        <v>4.8464999999999998</v>
      </c>
      <c r="E553" s="60">
        <v>413.91180000000003</v>
      </c>
      <c r="F553" s="60">
        <v>17.596</v>
      </c>
      <c r="G553" s="60">
        <v>76.504199999999997</v>
      </c>
      <c r="H553" s="60">
        <v>111.3571</v>
      </c>
    </row>
    <row r="554" spans="1:8" x14ac:dyDescent="0.15">
      <c r="A554" s="60" t="s">
        <v>11</v>
      </c>
      <c r="B554" s="60">
        <v>10010</v>
      </c>
      <c r="C554" s="60">
        <v>23</v>
      </c>
      <c r="D554" s="60">
        <v>4.9573</v>
      </c>
      <c r="E554" s="60">
        <v>404.65820000000002</v>
      </c>
      <c r="F554" s="60">
        <v>17.202999999999999</v>
      </c>
      <c r="G554" s="60">
        <v>74.793800000000005</v>
      </c>
      <c r="H554" s="60">
        <v>113.9307</v>
      </c>
    </row>
    <row r="555" spans="1:8" x14ac:dyDescent="0.15">
      <c r="A555" s="60" t="s">
        <v>11</v>
      </c>
      <c r="B555" s="60">
        <v>10010</v>
      </c>
      <c r="C555" s="60">
        <v>23</v>
      </c>
      <c r="D555" s="60">
        <v>4.9635999999999996</v>
      </c>
      <c r="E555" s="60">
        <v>404.14330000000001</v>
      </c>
      <c r="F555" s="60">
        <v>17.181000000000001</v>
      </c>
      <c r="G555" s="60">
        <v>74.698700000000002</v>
      </c>
      <c r="H555" s="60">
        <v>114.0797</v>
      </c>
    </row>
    <row r="556" spans="1:8" x14ac:dyDescent="0.15">
      <c r="A556" s="60" t="s">
        <v>11</v>
      </c>
      <c r="B556" s="60">
        <v>10010</v>
      </c>
      <c r="C556" s="60">
        <v>23</v>
      </c>
      <c r="D556" s="60">
        <v>4.9729999999999999</v>
      </c>
      <c r="E556" s="60">
        <v>403.38240000000002</v>
      </c>
      <c r="F556" s="60">
        <v>17.148</v>
      </c>
      <c r="G556" s="60">
        <v>74.558000000000007</v>
      </c>
      <c r="H556" s="60">
        <v>114.2886</v>
      </c>
    </row>
    <row r="557" spans="1:8" x14ac:dyDescent="0.15">
      <c r="A557" s="60" t="s">
        <v>11</v>
      </c>
      <c r="B557" s="60">
        <v>10010</v>
      </c>
      <c r="C557" s="60">
        <v>23</v>
      </c>
      <c r="D557" s="60">
        <v>4.9942000000000002</v>
      </c>
      <c r="E557" s="60">
        <v>401.6653</v>
      </c>
      <c r="F557" s="60">
        <v>17.074999999999999</v>
      </c>
      <c r="G557" s="60">
        <v>74.240700000000004</v>
      </c>
      <c r="H557" s="60">
        <v>114.7826</v>
      </c>
    </row>
    <row r="558" spans="1:8" x14ac:dyDescent="0.15">
      <c r="A558" s="60" t="s">
        <v>11</v>
      </c>
      <c r="B558" s="60">
        <v>10010</v>
      </c>
      <c r="C558" s="60">
        <v>23</v>
      </c>
      <c r="D558" s="60">
        <v>5.0106000000000002</v>
      </c>
      <c r="E558" s="60">
        <v>400.34989999999999</v>
      </c>
      <c r="F558" s="60">
        <v>17.018999999999998</v>
      </c>
      <c r="G558" s="60">
        <v>73.997500000000002</v>
      </c>
      <c r="H558" s="60">
        <v>115.1554</v>
      </c>
    </row>
    <row r="559" spans="1:8" x14ac:dyDescent="0.15">
      <c r="A559" s="60" t="s">
        <v>11</v>
      </c>
      <c r="B559" s="60">
        <v>10010</v>
      </c>
      <c r="C559" s="60">
        <v>23</v>
      </c>
      <c r="D559" s="60">
        <v>5.0201000000000002</v>
      </c>
      <c r="E559" s="60">
        <v>399.59109999999998</v>
      </c>
      <c r="F559" s="60">
        <v>16.986999999999998</v>
      </c>
      <c r="G559" s="60">
        <v>73.857299999999995</v>
      </c>
      <c r="H559" s="60">
        <v>115.3715</v>
      </c>
    </row>
    <row r="560" spans="1:8" x14ac:dyDescent="0.15">
      <c r="A560" s="60" t="s">
        <v>11</v>
      </c>
      <c r="B560" s="60">
        <v>10010</v>
      </c>
      <c r="C560" s="60">
        <v>23</v>
      </c>
      <c r="D560" s="60">
        <v>5.0308000000000002</v>
      </c>
      <c r="E560" s="60">
        <v>398.74520000000001</v>
      </c>
      <c r="F560" s="60">
        <v>16.951000000000001</v>
      </c>
      <c r="G560" s="60">
        <v>73.700900000000004</v>
      </c>
      <c r="H560" s="60">
        <v>115.62050000000001</v>
      </c>
    </row>
    <row r="561" spans="1:8" x14ac:dyDescent="0.15">
      <c r="A561" s="60" t="s">
        <v>11</v>
      </c>
      <c r="B561" s="60">
        <v>10010</v>
      </c>
      <c r="C561" s="60">
        <v>23</v>
      </c>
      <c r="D561" s="60">
        <v>5.0392999999999999</v>
      </c>
      <c r="E561" s="60">
        <v>398.07080000000002</v>
      </c>
      <c r="F561" s="60">
        <v>16.922999999999998</v>
      </c>
      <c r="G561" s="60">
        <v>73.576300000000003</v>
      </c>
      <c r="H561" s="60">
        <v>115.8154</v>
      </c>
    </row>
    <row r="562" spans="1:8" x14ac:dyDescent="0.15">
      <c r="A562" s="60" t="s">
        <v>11</v>
      </c>
      <c r="B562" s="60">
        <v>10010</v>
      </c>
      <c r="C562" s="60">
        <v>23</v>
      </c>
      <c r="D562" s="60">
        <v>5.0467000000000004</v>
      </c>
      <c r="E562" s="60">
        <v>397.4855</v>
      </c>
      <c r="F562" s="60">
        <v>16.898</v>
      </c>
      <c r="G562" s="60">
        <v>73.468100000000007</v>
      </c>
      <c r="H562" s="60">
        <v>115.9854</v>
      </c>
    </row>
    <row r="563" spans="1:8" x14ac:dyDescent="0.15">
      <c r="A563" s="60" t="s">
        <v>11</v>
      </c>
      <c r="B563" s="60">
        <v>10010</v>
      </c>
      <c r="C563" s="60">
        <v>23</v>
      </c>
      <c r="D563" s="60">
        <v>5.0608000000000004</v>
      </c>
      <c r="E563" s="60">
        <v>396.38119999999998</v>
      </c>
      <c r="F563" s="60">
        <v>16.850999999999999</v>
      </c>
      <c r="G563" s="60">
        <v>73.263999999999996</v>
      </c>
      <c r="H563" s="60">
        <v>116.31229999999999</v>
      </c>
    </row>
    <row r="564" spans="1:8" x14ac:dyDescent="0.15">
      <c r="A564" s="60" t="s">
        <v>11</v>
      </c>
      <c r="B564" s="60">
        <v>10010</v>
      </c>
      <c r="C564" s="60">
        <v>23</v>
      </c>
      <c r="D564" s="60">
        <v>5.0720999999999998</v>
      </c>
      <c r="E564" s="60">
        <v>395.49619999999999</v>
      </c>
      <c r="F564" s="60">
        <v>16.812999999999999</v>
      </c>
      <c r="G564" s="60">
        <v>73.100399999999993</v>
      </c>
      <c r="H564" s="60">
        <v>116.57129999999999</v>
      </c>
    </row>
    <row r="565" spans="1:8" x14ac:dyDescent="0.15">
      <c r="A565" s="60" t="s">
        <v>11</v>
      </c>
      <c r="B565" s="60">
        <v>10010</v>
      </c>
      <c r="C565" s="60">
        <v>23</v>
      </c>
      <c r="D565" s="60">
        <v>5.0795000000000003</v>
      </c>
      <c r="E565" s="60">
        <v>394.92200000000003</v>
      </c>
      <c r="F565" s="60">
        <v>16.789000000000001</v>
      </c>
      <c r="G565" s="60">
        <v>72.994299999999996</v>
      </c>
      <c r="H565" s="60">
        <v>116.7413</v>
      </c>
    </row>
    <row r="566" spans="1:8" x14ac:dyDescent="0.15">
      <c r="A566" s="60" t="s">
        <v>11</v>
      </c>
      <c r="B566" s="60">
        <v>10010</v>
      </c>
      <c r="C566" s="60">
        <v>23</v>
      </c>
      <c r="D566" s="60">
        <v>5.09</v>
      </c>
      <c r="E566" s="60">
        <v>394.10770000000002</v>
      </c>
      <c r="F566" s="60">
        <v>16.754000000000001</v>
      </c>
      <c r="G566" s="60">
        <v>72.843800000000002</v>
      </c>
      <c r="H566" s="60">
        <v>116.9812</v>
      </c>
    </row>
    <row r="567" spans="1:8" x14ac:dyDescent="0.15">
      <c r="A567" s="60" t="s">
        <v>11</v>
      </c>
      <c r="B567" s="60">
        <v>10010</v>
      </c>
      <c r="C567" s="60">
        <v>23</v>
      </c>
      <c r="D567" s="60">
        <v>5.0971000000000002</v>
      </c>
      <c r="E567" s="60">
        <v>393.55770000000001</v>
      </c>
      <c r="F567" s="60">
        <v>16.731000000000002</v>
      </c>
      <c r="G567" s="60">
        <v>72.742099999999994</v>
      </c>
      <c r="H567" s="60">
        <v>117.14109999999999</v>
      </c>
    </row>
    <row r="568" spans="1:8" x14ac:dyDescent="0.15">
      <c r="A568" s="60" t="s">
        <v>11</v>
      </c>
      <c r="B568" s="60">
        <v>10010</v>
      </c>
      <c r="C568" s="60">
        <v>23</v>
      </c>
      <c r="D568" s="60">
        <v>5.1048</v>
      </c>
      <c r="E568" s="60">
        <v>392.96409999999997</v>
      </c>
      <c r="F568" s="60">
        <v>16.704999999999998</v>
      </c>
      <c r="G568" s="60">
        <v>72.632400000000004</v>
      </c>
      <c r="H568" s="60">
        <v>117.31910000000001</v>
      </c>
    </row>
    <row r="569" spans="1:8" x14ac:dyDescent="0.15">
      <c r="A569" s="60" t="s">
        <v>11</v>
      </c>
      <c r="B569" s="60">
        <v>10010</v>
      </c>
      <c r="C569" s="60">
        <v>23</v>
      </c>
      <c r="D569" s="60">
        <v>5.1071999999999997</v>
      </c>
      <c r="E569" s="60">
        <v>392.78030000000001</v>
      </c>
      <c r="F569" s="60">
        <v>16.698</v>
      </c>
      <c r="G569" s="60">
        <v>72.598399999999998</v>
      </c>
      <c r="H569" s="60">
        <v>117.37820000000001</v>
      </c>
    </row>
    <row r="570" spans="1:8" x14ac:dyDescent="0.15">
      <c r="A570" s="60" t="s">
        <v>11</v>
      </c>
      <c r="B570" s="60">
        <v>10010</v>
      </c>
      <c r="C570" s="60">
        <v>23</v>
      </c>
      <c r="D570" s="60">
        <v>5.1098999999999997</v>
      </c>
      <c r="E570" s="60">
        <v>392.57600000000002</v>
      </c>
      <c r="F570" s="60">
        <v>16.689</v>
      </c>
      <c r="G570" s="60">
        <v>72.560699999999997</v>
      </c>
      <c r="H570" s="60">
        <v>117.43429999999999</v>
      </c>
    </row>
    <row r="571" spans="1:8" x14ac:dyDescent="0.15">
      <c r="A571" s="60" t="s">
        <v>11</v>
      </c>
      <c r="B571" s="60">
        <v>10010</v>
      </c>
      <c r="C571" s="60">
        <v>23</v>
      </c>
      <c r="D571" s="60">
        <v>5.1154000000000002</v>
      </c>
      <c r="E571" s="60">
        <v>392.14850000000001</v>
      </c>
      <c r="F571" s="60">
        <v>16.670999999999999</v>
      </c>
      <c r="G571" s="60">
        <v>72.4816</v>
      </c>
      <c r="H571" s="60">
        <v>117.56100000000001</v>
      </c>
    </row>
    <row r="572" spans="1:8" x14ac:dyDescent="0.15">
      <c r="A572" s="60" t="s">
        <v>11</v>
      </c>
      <c r="B572" s="60">
        <v>10010</v>
      </c>
      <c r="C572" s="60">
        <v>23</v>
      </c>
      <c r="D572" s="60">
        <v>5.1208999999999998</v>
      </c>
      <c r="E572" s="60">
        <v>391.72879999999998</v>
      </c>
      <c r="F572" s="60">
        <v>16.652999999999999</v>
      </c>
      <c r="G572" s="60">
        <v>72.4041</v>
      </c>
      <c r="H572" s="60">
        <v>117.6921</v>
      </c>
    </row>
    <row r="573" spans="1:8" x14ac:dyDescent="0.15">
      <c r="A573" s="60" t="s">
        <v>11</v>
      </c>
      <c r="B573" s="60">
        <v>10010</v>
      </c>
      <c r="C573" s="60">
        <v>23</v>
      </c>
      <c r="D573" s="60">
        <v>5.1246999999999998</v>
      </c>
      <c r="E573" s="60">
        <v>391.43990000000002</v>
      </c>
      <c r="F573" s="60">
        <v>16.640999999999998</v>
      </c>
      <c r="G573" s="60">
        <v>72.350700000000003</v>
      </c>
      <c r="H573" s="60">
        <v>117.77809999999999</v>
      </c>
    </row>
    <row r="574" spans="1:8" x14ac:dyDescent="0.15">
      <c r="A574" s="60" t="s">
        <v>11</v>
      </c>
      <c r="B574" s="60">
        <v>10010</v>
      </c>
      <c r="C574" s="60">
        <v>23</v>
      </c>
      <c r="D574" s="60">
        <v>5.13</v>
      </c>
      <c r="E574" s="60">
        <v>391.0333</v>
      </c>
      <c r="F574" s="60">
        <v>16.623000000000001</v>
      </c>
      <c r="G574" s="60">
        <v>72.275499999999994</v>
      </c>
      <c r="H574" s="60">
        <v>117.89919999999999</v>
      </c>
    </row>
    <row r="575" spans="1:8" x14ac:dyDescent="0.15">
      <c r="A575" s="60" t="s">
        <v>11</v>
      </c>
      <c r="B575" s="60">
        <v>10010</v>
      </c>
      <c r="C575" s="60">
        <v>23</v>
      </c>
      <c r="D575" s="60">
        <v>5.1337000000000002</v>
      </c>
      <c r="E575" s="60">
        <v>390.75099999999998</v>
      </c>
      <c r="F575" s="60">
        <v>16.611000000000001</v>
      </c>
      <c r="G575" s="60">
        <v>72.223299999999995</v>
      </c>
      <c r="H575" s="60">
        <v>117.98609999999999</v>
      </c>
    </row>
    <row r="576" spans="1:8" x14ac:dyDescent="0.15">
      <c r="A576" s="60" t="s">
        <v>11</v>
      </c>
      <c r="B576" s="60">
        <v>10010</v>
      </c>
      <c r="C576" s="60">
        <v>23</v>
      </c>
      <c r="D576" s="60">
        <v>5.1360999999999999</v>
      </c>
      <c r="E576" s="60">
        <v>390.5668</v>
      </c>
      <c r="F576" s="60">
        <v>16.603999999999999</v>
      </c>
      <c r="G576" s="60">
        <v>72.189300000000003</v>
      </c>
      <c r="H576" s="60">
        <v>118.04300000000001</v>
      </c>
    </row>
    <row r="577" spans="1:8" x14ac:dyDescent="0.15">
      <c r="A577" s="60" t="s">
        <v>11</v>
      </c>
      <c r="B577" s="60">
        <v>10010</v>
      </c>
      <c r="C577" s="60">
        <v>23</v>
      </c>
      <c r="D577" s="60">
        <v>5.1375999999999999</v>
      </c>
      <c r="E577" s="60">
        <v>390.45600000000002</v>
      </c>
      <c r="F577" s="60">
        <v>16.599</v>
      </c>
      <c r="G577" s="60">
        <v>72.168800000000005</v>
      </c>
      <c r="H577" s="60">
        <v>118.072</v>
      </c>
    </row>
    <row r="578" spans="1:8" x14ac:dyDescent="0.15">
      <c r="A578" s="60" t="s">
        <v>11</v>
      </c>
      <c r="B578" s="60">
        <v>10010</v>
      </c>
      <c r="C578" s="60">
        <v>23</v>
      </c>
      <c r="D578" s="60">
        <v>5.1405000000000003</v>
      </c>
      <c r="E578" s="60">
        <v>390.23540000000003</v>
      </c>
      <c r="F578" s="60">
        <v>16.588999999999999</v>
      </c>
      <c r="G578" s="60">
        <v>72.128</v>
      </c>
      <c r="H578" s="60">
        <v>118.1431</v>
      </c>
    </row>
    <row r="579" spans="1:8" x14ac:dyDescent="0.15">
      <c r="A579" s="60" t="s">
        <v>11</v>
      </c>
      <c r="B579" s="60">
        <v>10010</v>
      </c>
      <c r="C579" s="60">
        <v>23</v>
      </c>
      <c r="D579" s="60">
        <v>5.1407999999999996</v>
      </c>
      <c r="E579" s="60">
        <v>390.21</v>
      </c>
      <c r="F579" s="60">
        <v>16.588000000000001</v>
      </c>
      <c r="G579" s="60">
        <v>72.123400000000004</v>
      </c>
      <c r="H579" s="60">
        <v>118.14109999999999</v>
      </c>
    </row>
    <row r="580" spans="1:8" x14ac:dyDescent="0.15">
      <c r="A580" s="60" t="s">
        <v>11</v>
      </c>
      <c r="B580" s="60">
        <v>10010</v>
      </c>
      <c r="C580" s="60">
        <v>23</v>
      </c>
      <c r="D580" s="60">
        <v>5.1435000000000004</v>
      </c>
      <c r="E580" s="60">
        <v>390.00439999999998</v>
      </c>
      <c r="F580" s="60">
        <v>16.579999999999998</v>
      </c>
      <c r="G580" s="60">
        <v>72.085300000000004</v>
      </c>
      <c r="H580" s="60">
        <v>118.2129</v>
      </c>
    </row>
    <row r="581" spans="1:8" x14ac:dyDescent="0.15">
      <c r="A581" s="60" t="s">
        <v>11</v>
      </c>
      <c r="B581" s="60">
        <v>10010</v>
      </c>
      <c r="C581" s="60">
        <v>23</v>
      </c>
      <c r="D581" s="60">
        <v>5.1441999999999997</v>
      </c>
      <c r="E581" s="60">
        <v>389.95600000000002</v>
      </c>
      <c r="F581" s="60">
        <v>16.577999999999999</v>
      </c>
      <c r="G581" s="60">
        <v>72.076400000000007</v>
      </c>
      <c r="H581" s="60">
        <v>118.2261</v>
      </c>
    </row>
    <row r="582" spans="1:8" x14ac:dyDescent="0.15">
      <c r="A582" s="60" t="s">
        <v>11</v>
      </c>
      <c r="B582" s="60">
        <v>10010</v>
      </c>
      <c r="C582" s="60">
        <v>23</v>
      </c>
      <c r="D582" s="60">
        <v>5.1466000000000003</v>
      </c>
      <c r="E582" s="60">
        <v>389.774</v>
      </c>
      <c r="F582" s="60">
        <v>16.57</v>
      </c>
      <c r="G582" s="60">
        <v>72.0428</v>
      </c>
      <c r="H582" s="60">
        <v>118.283</v>
      </c>
    </row>
    <row r="583" spans="1:8" x14ac:dyDescent="0.15">
      <c r="A583" s="60" t="s">
        <v>11</v>
      </c>
      <c r="B583" s="60">
        <v>10010</v>
      </c>
      <c r="C583" s="60">
        <v>23</v>
      </c>
      <c r="D583" s="60">
        <v>5.1493000000000002</v>
      </c>
      <c r="E583" s="60">
        <v>389.56560000000002</v>
      </c>
      <c r="F583" s="60">
        <v>16.561</v>
      </c>
      <c r="G583" s="60">
        <v>72.004199999999997</v>
      </c>
      <c r="H583" s="60">
        <v>118.3323</v>
      </c>
    </row>
    <row r="584" spans="1:8" x14ac:dyDescent="0.15">
      <c r="A584" s="60" t="s">
        <v>11</v>
      </c>
      <c r="B584" s="60">
        <v>10010</v>
      </c>
      <c r="C584" s="60">
        <v>23</v>
      </c>
      <c r="D584" s="60">
        <v>5.1494999999999997</v>
      </c>
      <c r="E584" s="60">
        <v>389.553</v>
      </c>
      <c r="F584" s="60">
        <v>16.559999999999999</v>
      </c>
      <c r="G584" s="60">
        <v>72.001900000000006</v>
      </c>
      <c r="H584" s="60">
        <v>118.3486</v>
      </c>
    </row>
    <row r="585" spans="1:8" x14ac:dyDescent="0.15">
      <c r="A585" s="60" t="s">
        <v>11</v>
      </c>
      <c r="B585" s="60">
        <v>10010</v>
      </c>
      <c r="C585" s="60">
        <v>23</v>
      </c>
      <c r="D585" s="60">
        <v>5.1493000000000002</v>
      </c>
      <c r="E585" s="60">
        <v>389.56939999999997</v>
      </c>
      <c r="F585" s="60">
        <v>16.561</v>
      </c>
      <c r="G585" s="60">
        <v>72.004900000000006</v>
      </c>
      <c r="H585" s="60">
        <v>118.34520000000001</v>
      </c>
    </row>
    <row r="586" spans="1:8" x14ac:dyDescent="0.15">
      <c r="A586" s="60" t="s">
        <v>11</v>
      </c>
      <c r="B586" s="60">
        <v>10010</v>
      </c>
      <c r="C586" s="60">
        <v>23</v>
      </c>
      <c r="D586" s="60">
        <v>5.1489000000000003</v>
      </c>
      <c r="E586" s="60">
        <v>389.59780000000001</v>
      </c>
      <c r="F586" s="60">
        <v>16.562000000000001</v>
      </c>
      <c r="G586" s="60">
        <v>72.010199999999998</v>
      </c>
      <c r="H586" s="60">
        <v>118.3369</v>
      </c>
    </row>
    <row r="587" spans="1:8" x14ac:dyDescent="0.15">
      <c r="A587" s="60" t="s">
        <v>11</v>
      </c>
      <c r="B587" s="60">
        <v>10010</v>
      </c>
      <c r="C587" s="60">
        <v>23</v>
      </c>
      <c r="D587" s="60">
        <v>5.1506999999999996</v>
      </c>
      <c r="E587" s="60">
        <v>389.46010000000001</v>
      </c>
      <c r="F587" s="60">
        <v>16.556000000000001</v>
      </c>
      <c r="G587" s="60">
        <v>71.984700000000004</v>
      </c>
      <c r="H587" s="60">
        <v>118.377</v>
      </c>
    </row>
    <row r="588" spans="1:8" x14ac:dyDescent="0.15">
      <c r="A588" s="60" t="s">
        <v>11</v>
      </c>
      <c r="B588" s="60">
        <v>10010</v>
      </c>
      <c r="C588" s="60">
        <v>23</v>
      </c>
      <c r="D588" s="60">
        <v>5.1516999999999999</v>
      </c>
      <c r="E588" s="60">
        <v>389.38499999999999</v>
      </c>
      <c r="F588" s="60">
        <v>16.553000000000001</v>
      </c>
      <c r="G588" s="60">
        <v>71.9709</v>
      </c>
      <c r="H588" s="60">
        <v>118.3989</v>
      </c>
    </row>
    <row r="589" spans="1:8" x14ac:dyDescent="0.15">
      <c r="A589" s="60" t="s">
        <v>11</v>
      </c>
      <c r="B589" s="60">
        <v>10010</v>
      </c>
      <c r="C589" s="60">
        <v>23</v>
      </c>
      <c r="D589" s="60">
        <v>5.1531000000000002</v>
      </c>
      <c r="E589" s="60">
        <v>389.28160000000003</v>
      </c>
      <c r="F589" s="60">
        <v>16.548999999999999</v>
      </c>
      <c r="G589" s="60">
        <v>71.951800000000006</v>
      </c>
      <c r="H589" s="60">
        <v>118.4312</v>
      </c>
    </row>
    <row r="590" spans="1:8" x14ac:dyDescent="0.15">
      <c r="A590" s="60" t="s">
        <v>11</v>
      </c>
      <c r="B590" s="60">
        <v>10010</v>
      </c>
      <c r="C590" s="60">
        <v>23</v>
      </c>
      <c r="D590" s="60">
        <v>5.1546000000000003</v>
      </c>
      <c r="E590" s="60">
        <v>389.17070000000001</v>
      </c>
      <c r="F590" s="60">
        <v>16.544</v>
      </c>
      <c r="G590" s="60">
        <v>71.931299999999993</v>
      </c>
      <c r="H590" s="60">
        <v>118.46729999999999</v>
      </c>
    </row>
    <row r="591" spans="1:8" x14ac:dyDescent="0.15">
      <c r="A591" s="60" t="s">
        <v>11</v>
      </c>
      <c r="B591" s="60">
        <v>10010</v>
      </c>
      <c r="C591" s="60">
        <v>23</v>
      </c>
      <c r="D591" s="60">
        <v>5.1570999999999998</v>
      </c>
      <c r="E591" s="60">
        <v>388.97719999999998</v>
      </c>
      <c r="F591" s="60">
        <v>16.536000000000001</v>
      </c>
      <c r="G591" s="60">
        <v>71.895499999999998</v>
      </c>
      <c r="H591" s="60">
        <v>118.50879999999999</v>
      </c>
    </row>
    <row r="592" spans="1:8" x14ac:dyDescent="0.15">
      <c r="A592" s="60" t="s">
        <v>11</v>
      </c>
      <c r="B592" s="60">
        <v>10010</v>
      </c>
      <c r="C592" s="60">
        <v>23</v>
      </c>
      <c r="D592" s="60">
        <v>5.1566999999999998</v>
      </c>
      <c r="E592" s="60">
        <v>389.01190000000003</v>
      </c>
      <c r="F592" s="60">
        <v>16.536999999999999</v>
      </c>
      <c r="G592" s="60">
        <v>71.901899999999998</v>
      </c>
      <c r="H592" s="60">
        <v>118.5142</v>
      </c>
    </row>
    <row r="593" spans="1:8" x14ac:dyDescent="0.15">
      <c r="A593" s="60" t="s">
        <v>11</v>
      </c>
      <c r="B593" s="60">
        <v>10010</v>
      </c>
      <c r="C593" s="60">
        <v>23</v>
      </c>
      <c r="D593" s="60">
        <v>5.1562999999999999</v>
      </c>
      <c r="E593" s="60">
        <v>389.0419</v>
      </c>
      <c r="F593" s="60">
        <v>16.539000000000001</v>
      </c>
      <c r="G593" s="60">
        <v>71.907499999999999</v>
      </c>
      <c r="H593" s="60">
        <v>118.48</v>
      </c>
    </row>
    <row r="594" spans="1:8" x14ac:dyDescent="0.15">
      <c r="A594" s="60" t="s">
        <v>11</v>
      </c>
      <c r="B594" s="60">
        <v>10010</v>
      </c>
      <c r="C594" s="60">
        <v>23</v>
      </c>
      <c r="D594" s="60">
        <v>5.1559999999999997</v>
      </c>
      <c r="E594" s="60">
        <v>389.06290000000001</v>
      </c>
      <c r="F594" s="60">
        <v>16.54</v>
      </c>
      <c r="G594" s="60">
        <v>71.911299999999997</v>
      </c>
      <c r="H594" s="60">
        <v>118.4907</v>
      </c>
    </row>
    <row r="595" spans="1:8" x14ac:dyDescent="0.15">
      <c r="A595" s="60" t="s">
        <v>11</v>
      </c>
      <c r="B595" s="60">
        <v>10010</v>
      </c>
      <c r="C595" s="60">
        <v>23</v>
      </c>
      <c r="D595" s="60">
        <v>5.1546000000000003</v>
      </c>
      <c r="E595" s="60">
        <v>389.1662</v>
      </c>
      <c r="F595" s="60">
        <v>16.544</v>
      </c>
      <c r="G595" s="60">
        <v>71.930400000000006</v>
      </c>
      <c r="H595" s="60">
        <v>118.4639</v>
      </c>
    </row>
    <row r="596" spans="1:8" x14ac:dyDescent="0.15">
      <c r="A596" s="60" t="s">
        <v>11</v>
      </c>
      <c r="B596" s="60">
        <v>10010</v>
      </c>
      <c r="C596" s="60">
        <v>23</v>
      </c>
      <c r="D596" s="60">
        <v>5.1551</v>
      </c>
      <c r="E596" s="60">
        <v>389.12799999999999</v>
      </c>
      <c r="F596" s="60">
        <v>16.542000000000002</v>
      </c>
      <c r="G596" s="60">
        <v>71.923400000000001</v>
      </c>
      <c r="H596" s="60">
        <v>118.4761</v>
      </c>
    </row>
    <row r="597" spans="1:8" x14ac:dyDescent="0.15">
      <c r="A597" s="60" t="s">
        <v>11</v>
      </c>
      <c r="B597" s="60">
        <v>10010</v>
      </c>
      <c r="C597" s="60">
        <v>23</v>
      </c>
      <c r="D597" s="60">
        <v>5.1554000000000002</v>
      </c>
      <c r="E597" s="60">
        <v>389.10739999999998</v>
      </c>
      <c r="F597" s="60">
        <v>16.542000000000002</v>
      </c>
      <c r="G597" s="60">
        <v>71.919600000000003</v>
      </c>
      <c r="H597" s="60">
        <v>118.48390000000001</v>
      </c>
    </row>
    <row r="598" spans="1:8" x14ac:dyDescent="0.15">
      <c r="A598" s="60" t="s">
        <v>11</v>
      </c>
      <c r="B598" s="60">
        <v>10010</v>
      </c>
      <c r="C598" s="60">
        <v>23</v>
      </c>
      <c r="D598" s="60">
        <v>5.1539000000000001</v>
      </c>
      <c r="E598" s="60">
        <v>389.21910000000003</v>
      </c>
      <c r="F598" s="60">
        <v>16.545999999999999</v>
      </c>
      <c r="G598" s="60">
        <v>71.940200000000004</v>
      </c>
      <c r="H598" s="60">
        <v>118.4512</v>
      </c>
    </row>
    <row r="599" spans="1:8" x14ac:dyDescent="0.15">
      <c r="A599" s="60" t="s">
        <v>11</v>
      </c>
      <c r="B599" s="60">
        <v>10010</v>
      </c>
      <c r="C599" s="60">
        <v>23</v>
      </c>
      <c r="D599" s="60">
        <v>5.1543999999999999</v>
      </c>
      <c r="E599" s="60">
        <v>389.18209999999999</v>
      </c>
      <c r="F599" s="60">
        <v>16.545000000000002</v>
      </c>
      <c r="G599" s="60">
        <v>71.933400000000006</v>
      </c>
      <c r="H599" s="60">
        <v>118.4609</v>
      </c>
    </row>
    <row r="600" spans="1:8" x14ac:dyDescent="0.15">
      <c r="A600" s="60" t="s">
        <v>11</v>
      </c>
      <c r="B600" s="60">
        <v>10010</v>
      </c>
      <c r="C600" s="60">
        <v>23</v>
      </c>
      <c r="D600" s="60">
        <v>5.1555999999999997</v>
      </c>
      <c r="E600" s="60">
        <v>389.0949</v>
      </c>
      <c r="F600" s="60">
        <v>16.541</v>
      </c>
      <c r="G600" s="60">
        <v>71.917199999999994</v>
      </c>
      <c r="H600" s="60">
        <v>118.4893</v>
      </c>
    </row>
    <row r="601" spans="1:8" x14ac:dyDescent="0.15">
      <c r="A601" s="60" t="s">
        <v>11</v>
      </c>
      <c r="B601" s="60">
        <v>10010</v>
      </c>
      <c r="C601" s="60">
        <v>23</v>
      </c>
      <c r="D601" s="60">
        <v>5.1553000000000004</v>
      </c>
      <c r="E601" s="60">
        <v>389.11610000000002</v>
      </c>
      <c r="F601" s="60">
        <v>16.542000000000002</v>
      </c>
      <c r="G601" s="60">
        <v>71.921199999999999</v>
      </c>
      <c r="H601" s="60">
        <v>118.4819</v>
      </c>
    </row>
    <row r="602" spans="1:8" x14ac:dyDescent="0.15">
      <c r="A602" s="60" t="s">
        <v>11</v>
      </c>
      <c r="B602" s="60">
        <v>10010</v>
      </c>
      <c r="C602" s="60">
        <v>23</v>
      </c>
      <c r="D602" s="60">
        <v>5.1551</v>
      </c>
      <c r="E602" s="60">
        <v>389.1318</v>
      </c>
      <c r="F602" s="60">
        <v>16.542999999999999</v>
      </c>
      <c r="G602" s="60">
        <v>71.924099999999996</v>
      </c>
      <c r="H602" s="60">
        <v>118.47799999999999</v>
      </c>
    </row>
    <row r="603" spans="1:8" x14ac:dyDescent="0.15">
      <c r="A603" s="60" t="s">
        <v>11</v>
      </c>
      <c r="B603" s="60">
        <v>10010</v>
      </c>
      <c r="C603" s="60">
        <v>23</v>
      </c>
      <c r="D603" s="60">
        <v>5.1547000000000001</v>
      </c>
      <c r="E603" s="60">
        <v>389.15769999999998</v>
      </c>
      <c r="F603" s="60">
        <v>16.544</v>
      </c>
      <c r="G603" s="60">
        <v>71.928899999999999</v>
      </c>
      <c r="H603" s="60">
        <v>118.4688</v>
      </c>
    </row>
    <row r="604" spans="1:8" x14ac:dyDescent="0.15">
      <c r="A604" s="60" t="s">
        <v>11</v>
      </c>
      <c r="B604" s="60">
        <v>10010</v>
      </c>
      <c r="C604" s="60">
        <v>24</v>
      </c>
      <c r="D604" s="60">
        <v>6.7488999999999999</v>
      </c>
      <c r="E604" s="60">
        <v>297.23270000000002</v>
      </c>
      <c r="F604" s="60">
        <v>12.635999999999999</v>
      </c>
      <c r="G604" s="60">
        <v>52.649099999999997</v>
      </c>
      <c r="H604" s="60">
        <v>155.1157</v>
      </c>
    </row>
    <row r="605" spans="1:8" x14ac:dyDescent="0.15">
      <c r="A605" s="60" t="s">
        <v>11</v>
      </c>
      <c r="B605" s="60">
        <v>10010</v>
      </c>
      <c r="C605" s="60">
        <v>24</v>
      </c>
      <c r="D605" s="60">
        <v>5.1542000000000003</v>
      </c>
      <c r="E605" s="60">
        <v>389.19850000000002</v>
      </c>
      <c r="F605" s="60">
        <v>16.545000000000002</v>
      </c>
      <c r="G605" s="60">
        <v>68.939099999999996</v>
      </c>
      <c r="H605" s="60">
        <v>122.7012</v>
      </c>
    </row>
    <row r="606" spans="1:8" x14ac:dyDescent="0.15">
      <c r="A606" s="60" t="s">
        <v>11</v>
      </c>
      <c r="B606" s="60">
        <v>10010</v>
      </c>
      <c r="C606" s="60">
        <v>24</v>
      </c>
      <c r="D606" s="60">
        <v>4.9046000000000003</v>
      </c>
      <c r="E606" s="60">
        <v>409.00869999999998</v>
      </c>
      <c r="F606" s="60">
        <v>17.388000000000002</v>
      </c>
      <c r="G606" s="60">
        <v>72.448099999999997</v>
      </c>
      <c r="H606" s="60">
        <v>117.5703</v>
      </c>
    </row>
    <row r="607" spans="1:8" x14ac:dyDescent="0.15">
      <c r="A607" s="60" t="s">
        <v>11</v>
      </c>
      <c r="B607" s="60">
        <v>10010</v>
      </c>
      <c r="C607" s="60">
        <v>24</v>
      </c>
      <c r="D607" s="60">
        <v>4.9059999999999997</v>
      </c>
      <c r="E607" s="60">
        <v>408.88889999999998</v>
      </c>
      <c r="F607" s="60">
        <v>17.382000000000001</v>
      </c>
      <c r="G607" s="60">
        <v>72.4268</v>
      </c>
      <c r="H607" s="60">
        <v>117.6118</v>
      </c>
    </row>
    <row r="608" spans="1:8" x14ac:dyDescent="0.15">
      <c r="A608" s="60" t="s">
        <v>11</v>
      </c>
      <c r="B608" s="60">
        <v>10010</v>
      </c>
      <c r="C608" s="60">
        <v>24</v>
      </c>
      <c r="D608" s="60">
        <v>4.9054000000000002</v>
      </c>
      <c r="E608" s="60">
        <v>408.93759999999997</v>
      </c>
      <c r="F608" s="60">
        <v>17.385000000000002</v>
      </c>
      <c r="G608" s="60">
        <v>72.435400000000001</v>
      </c>
      <c r="H608" s="60">
        <v>117.5981</v>
      </c>
    </row>
    <row r="609" spans="1:8" x14ac:dyDescent="0.15">
      <c r="A609" s="60" t="s">
        <v>11</v>
      </c>
      <c r="B609" s="60">
        <v>10010</v>
      </c>
      <c r="C609" s="60">
        <v>24</v>
      </c>
      <c r="D609" s="60">
        <v>4.9082999999999997</v>
      </c>
      <c r="E609" s="60">
        <v>408.69529999999997</v>
      </c>
      <c r="F609" s="60">
        <v>17.373999999999999</v>
      </c>
      <c r="G609" s="60">
        <v>72.392499999999998</v>
      </c>
      <c r="H609" s="60">
        <v>117.6504</v>
      </c>
    </row>
    <row r="610" spans="1:8" x14ac:dyDescent="0.15">
      <c r="A610" s="60" t="s">
        <v>11</v>
      </c>
      <c r="B610" s="60">
        <v>10010</v>
      </c>
      <c r="C610" s="60">
        <v>24</v>
      </c>
      <c r="D610" s="60">
        <v>4.9080000000000004</v>
      </c>
      <c r="E610" s="60">
        <v>408.7183</v>
      </c>
      <c r="F610" s="60">
        <v>17.375</v>
      </c>
      <c r="G610" s="60">
        <v>72.396600000000007</v>
      </c>
      <c r="H610" s="60">
        <v>117.6621</v>
      </c>
    </row>
    <row r="611" spans="1:8" x14ac:dyDescent="0.15">
      <c r="A611" s="60" t="s">
        <v>11</v>
      </c>
      <c r="B611" s="60">
        <v>10010</v>
      </c>
      <c r="C611" s="60">
        <v>24</v>
      </c>
      <c r="D611" s="60">
        <v>4.9081999999999999</v>
      </c>
      <c r="E611" s="60">
        <v>408.70339999999999</v>
      </c>
      <c r="F611" s="60">
        <v>17.375</v>
      </c>
      <c r="G611" s="60">
        <v>72.394000000000005</v>
      </c>
      <c r="H611" s="60">
        <v>117.666</v>
      </c>
    </row>
    <row r="612" spans="1:8" x14ac:dyDescent="0.15">
      <c r="A612" s="60" t="s">
        <v>11</v>
      </c>
      <c r="B612" s="60">
        <v>10010</v>
      </c>
      <c r="C612" s="60">
        <v>24</v>
      </c>
      <c r="D612" s="60">
        <v>4.9058000000000002</v>
      </c>
      <c r="E612" s="60">
        <v>408.90859999999998</v>
      </c>
      <c r="F612" s="60">
        <v>17.382999999999999</v>
      </c>
      <c r="G612" s="60">
        <v>72.430300000000003</v>
      </c>
      <c r="H612" s="60">
        <v>117.6069</v>
      </c>
    </row>
    <row r="613" spans="1:8" x14ac:dyDescent="0.15">
      <c r="A613" s="60" t="s">
        <v>11</v>
      </c>
      <c r="B613" s="60">
        <v>10010</v>
      </c>
      <c r="C613" s="60">
        <v>24</v>
      </c>
      <c r="D613" s="60">
        <v>4.9074</v>
      </c>
      <c r="E613" s="60">
        <v>408.77289999999999</v>
      </c>
      <c r="F613" s="60">
        <v>17.378</v>
      </c>
      <c r="G613" s="60">
        <v>72.406300000000002</v>
      </c>
      <c r="H613" s="60">
        <v>117.64400000000001</v>
      </c>
    </row>
    <row r="614" spans="1:8" x14ac:dyDescent="0.15">
      <c r="A614" s="60" t="s">
        <v>11</v>
      </c>
      <c r="B614" s="60">
        <v>10010</v>
      </c>
      <c r="C614" s="60">
        <v>24</v>
      </c>
      <c r="D614" s="60">
        <v>4.9100999999999999</v>
      </c>
      <c r="E614" s="60">
        <v>408.54520000000002</v>
      </c>
      <c r="F614" s="60">
        <v>17.367999999999999</v>
      </c>
      <c r="G614" s="60">
        <v>72.366</v>
      </c>
      <c r="H614" s="60">
        <v>117.6885</v>
      </c>
    </row>
    <row r="615" spans="1:8" x14ac:dyDescent="0.15">
      <c r="A615" s="60" t="s">
        <v>11</v>
      </c>
      <c r="B615" s="60">
        <v>10010</v>
      </c>
      <c r="C615" s="60">
        <v>24</v>
      </c>
      <c r="D615" s="60">
        <v>4.9084000000000003</v>
      </c>
      <c r="E615" s="60">
        <v>408.6918</v>
      </c>
      <c r="F615" s="60">
        <v>17.373999999999999</v>
      </c>
      <c r="G615" s="60">
        <v>72.391900000000007</v>
      </c>
      <c r="H615" s="60">
        <v>117.6528</v>
      </c>
    </row>
    <row r="616" spans="1:8" x14ac:dyDescent="0.15">
      <c r="A616" s="60" t="s">
        <v>11</v>
      </c>
      <c r="B616" s="60">
        <v>10010</v>
      </c>
      <c r="C616" s="60">
        <v>24</v>
      </c>
      <c r="D616" s="60">
        <v>4.9058999999999999</v>
      </c>
      <c r="E616" s="60">
        <v>408.89580000000001</v>
      </c>
      <c r="F616" s="60">
        <v>17.382999999999999</v>
      </c>
      <c r="G616" s="60">
        <v>72.428100000000001</v>
      </c>
      <c r="H616" s="60">
        <v>117.6084</v>
      </c>
    </row>
    <row r="617" spans="1:8" x14ac:dyDescent="0.15">
      <c r="A617" s="60" t="s">
        <v>11</v>
      </c>
      <c r="B617" s="60">
        <v>10010</v>
      </c>
      <c r="C617" s="60">
        <v>24</v>
      </c>
      <c r="D617" s="60">
        <v>4.9059999999999997</v>
      </c>
      <c r="E617" s="60">
        <v>408.8922</v>
      </c>
      <c r="F617" s="60">
        <v>17.382999999999999</v>
      </c>
      <c r="G617" s="60">
        <v>72.427400000000006</v>
      </c>
      <c r="H617" s="60">
        <v>117.6123</v>
      </c>
    </row>
    <row r="618" spans="1:8" x14ac:dyDescent="0.15">
      <c r="A618" s="60" t="s">
        <v>11</v>
      </c>
      <c r="B618" s="60">
        <v>10010</v>
      </c>
      <c r="C618" s="60">
        <v>24</v>
      </c>
      <c r="D618" s="60">
        <v>4.9058000000000002</v>
      </c>
      <c r="E618" s="60">
        <v>408.90410000000003</v>
      </c>
      <c r="F618" s="60">
        <v>17.382999999999999</v>
      </c>
      <c r="G618" s="60">
        <v>72.429500000000004</v>
      </c>
      <c r="H618" s="60">
        <v>117.5986</v>
      </c>
    </row>
    <row r="619" spans="1:8" x14ac:dyDescent="0.15">
      <c r="A619" s="60" t="s">
        <v>11</v>
      </c>
      <c r="B619" s="60">
        <v>10010</v>
      </c>
      <c r="C619" s="60">
        <v>24</v>
      </c>
      <c r="D619" s="60">
        <v>4.9065000000000003</v>
      </c>
      <c r="E619" s="60">
        <v>408.84559999999999</v>
      </c>
      <c r="F619" s="60">
        <v>17.381</v>
      </c>
      <c r="G619" s="60">
        <v>72.419200000000004</v>
      </c>
      <c r="H619" s="60">
        <v>117.626</v>
      </c>
    </row>
    <row r="620" spans="1:8" x14ac:dyDescent="0.15">
      <c r="A620" s="60" t="s">
        <v>11</v>
      </c>
      <c r="B620" s="60">
        <v>10010</v>
      </c>
      <c r="C620" s="60">
        <v>24</v>
      </c>
      <c r="D620" s="60">
        <v>4.9043000000000001</v>
      </c>
      <c r="E620" s="60">
        <v>409.03179999999998</v>
      </c>
      <c r="F620" s="60">
        <v>17.388999999999999</v>
      </c>
      <c r="G620" s="60">
        <v>72.452100000000002</v>
      </c>
      <c r="H620" s="60">
        <v>117.5732</v>
      </c>
    </row>
    <row r="621" spans="1:8" x14ac:dyDescent="0.15">
      <c r="A621" s="60" t="s">
        <v>11</v>
      </c>
      <c r="B621" s="60">
        <v>10010</v>
      </c>
      <c r="C621" s="60">
        <v>24</v>
      </c>
      <c r="D621" s="60">
        <v>4.9053000000000004</v>
      </c>
      <c r="E621" s="60">
        <v>408.94540000000001</v>
      </c>
      <c r="F621" s="60">
        <v>17.385000000000002</v>
      </c>
      <c r="G621" s="60">
        <v>72.436800000000005</v>
      </c>
      <c r="H621" s="60">
        <v>117.5586</v>
      </c>
    </row>
    <row r="622" spans="1:8" x14ac:dyDescent="0.15">
      <c r="A622" s="60" t="s">
        <v>11</v>
      </c>
      <c r="B622" s="60">
        <v>10010</v>
      </c>
      <c r="C622" s="60">
        <v>24</v>
      </c>
      <c r="D622" s="60">
        <v>4.9063999999999997</v>
      </c>
      <c r="E622" s="60">
        <v>408.85239999999999</v>
      </c>
      <c r="F622" s="60">
        <v>17.381</v>
      </c>
      <c r="G622" s="60">
        <v>72.420400000000001</v>
      </c>
      <c r="H622" s="60">
        <v>117.623</v>
      </c>
    </row>
    <row r="623" spans="1:8" x14ac:dyDescent="0.15">
      <c r="A623" s="60" t="s">
        <v>11</v>
      </c>
      <c r="B623" s="60">
        <v>10010</v>
      </c>
      <c r="C623" s="60">
        <v>24</v>
      </c>
      <c r="D623" s="60">
        <v>4.9043999999999999</v>
      </c>
      <c r="E623" s="60">
        <v>409.02159999999998</v>
      </c>
      <c r="F623" s="60">
        <v>17.388000000000002</v>
      </c>
      <c r="G623" s="60">
        <v>72.450299999999999</v>
      </c>
      <c r="H623" s="60">
        <v>117.5684</v>
      </c>
    </row>
    <row r="624" spans="1:8" x14ac:dyDescent="0.15">
      <c r="A624" s="60" t="s">
        <v>11</v>
      </c>
      <c r="B624" s="60">
        <v>10010</v>
      </c>
      <c r="C624" s="60">
        <v>24</v>
      </c>
      <c r="D624" s="60">
        <v>4.9040999999999997</v>
      </c>
      <c r="E624" s="60">
        <v>409.0478</v>
      </c>
      <c r="F624" s="60">
        <v>17.388999999999999</v>
      </c>
      <c r="G624" s="60">
        <v>72.454999999999998</v>
      </c>
      <c r="H624" s="60">
        <v>117.5684</v>
      </c>
    </row>
    <row r="625" spans="1:8" x14ac:dyDescent="0.15">
      <c r="A625" s="60" t="s">
        <v>11</v>
      </c>
      <c r="B625" s="60">
        <v>10010</v>
      </c>
      <c r="C625" s="60">
        <v>24</v>
      </c>
      <c r="D625" s="60">
        <v>4.9088000000000003</v>
      </c>
      <c r="E625" s="60">
        <v>408.65910000000002</v>
      </c>
      <c r="F625" s="60">
        <v>17.373000000000001</v>
      </c>
      <c r="G625" s="60">
        <v>72.386099999999999</v>
      </c>
      <c r="H625" s="60">
        <v>117.6748</v>
      </c>
    </row>
    <row r="626" spans="1:8" x14ac:dyDescent="0.15">
      <c r="A626" s="60" t="s">
        <v>11</v>
      </c>
      <c r="B626" s="60">
        <v>10010</v>
      </c>
      <c r="C626" s="60">
        <v>24</v>
      </c>
      <c r="D626" s="60">
        <v>4.9286000000000003</v>
      </c>
      <c r="E626" s="60">
        <v>407.01600000000002</v>
      </c>
      <c r="F626" s="60">
        <v>17.303000000000001</v>
      </c>
      <c r="G626" s="60">
        <v>72.095100000000002</v>
      </c>
      <c r="H626" s="60">
        <v>118.0234</v>
      </c>
    </row>
    <row r="627" spans="1:8" x14ac:dyDescent="0.15">
      <c r="A627" s="60" t="s">
        <v>11</v>
      </c>
      <c r="B627" s="60">
        <v>10010</v>
      </c>
      <c r="C627" s="60">
        <v>24</v>
      </c>
      <c r="D627" s="60">
        <v>4.9046000000000003</v>
      </c>
      <c r="E627" s="60">
        <v>409.00490000000002</v>
      </c>
      <c r="F627" s="60">
        <v>17.387</v>
      </c>
      <c r="G627" s="60">
        <v>72.447400000000002</v>
      </c>
      <c r="H627" s="60">
        <v>117.5752</v>
      </c>
    </row>
    <row r="628" spans="1:8" x14ac:dyDescent="0.15">
      <c r="A628" s="60" t="s">
        <v>11</v>
      </c>
      <c r="B628" s="60">
        <v>10010</v>
      </c>
      <c r="C628" s="60">
        <v>24</v>
      </c>
      <c r="D628" s="60">
        <v>4.9050000000000002</v>
      </c>
      <c r="E628" s="60">
        <v>408.96910000000003</v>
      </c>
      <c r="F628" s="60">
        <v>17.385999999999999</v>
      </c>
      <c r="G628" s="60">
        <v>72.441000000000003</v>
      </c>
      <c r="H628" s="60">
        <v>117.5908</v>
      </c>
    </row>
    <row r="629" spans="1:8" x14ac:dyDescent="0.15">
      <c r="A629" s="60" t="s">
        <v>11</v>
      </c>
      <c r="B629" s="60">
        <v>10010</v>
      </c>
      <c r="C629" s="60">
        <v>24</v>
      </c>
      <c r="D629" s="60">
        <v>4.9058000000000002</v>
      </c>
      <c r="E629" s="60">
        <v>408.90179999999998</v>
      </c>
      <c r="F629" s="60">
        <v>17.382999999999999</v>
      </c>
      <c r="G629" s="60">
        <v>72.429100000000005</v>
      </c>
      <c r="H629" s="60">
        <v>117.6084</v>
      </c>
    </row>
    <row r="630" spans="1:8" x14ac:dyDescent="0.15">
      <c r="A630" s="60" t="s">
        <v>11</v>
      </c>
      <c r="B630" s="60">
        <v>10010</v>
      </c>
      <c r="C630" s="60">
        <v>24</v>
      </c>
      <c r="D630" s="60">
        <v>4.9061000000000003</v>
      </c>
      <c r="E630" s="60">
        <v>408.87580000000003</v>
      </c>
      <c r="F630" s="60">
        <v>17.382000000000001</v>
      </c>
      <c r="G630" s="60">
        <v>72.424499999999995</v>
      </c>
      <c r="H630" s="60">
        <v>117.6113</v>
      </c>
    </row>
    <row r="631" spans="1:8" x14ac:dyDescent="0.15">
      <c r="A631" s="60" t="s">
        <v>11</v>
      </c>
      <c r="B631" s="60">
        <v>10010</v>
      </c>
      <c r="C631" s="60">
        <v>24</v>
      </c>
      <c r="D631" s="60">
        <v>4.9063999999999997</v>
      </c>
      <c r="E631" s="60">
        <v>408.85230000000001</v>
      </c>
      <c r="F631" s="60">
        <v>17.381</v>
      </c>
      <c r="G631" s="60">
        <v>72.420299999999997</v>
      </c>
      <c r="H631" s="60">
        <v>117.6221</v>
      </c>
    </row>
    <row r="632" spans="1:8" x14ac:dyDescent="0.15">
      <c r="A632" s="60" t="s">
        <v>11</v>
      </c>
      <c r="B632" s="60">
        <v>10010</v>
      </c>
      <c r="C632" s="60">
        <v>24</v>
      </c>
      <c r="D632" s="60">
        <v>4.9086999999999996</v>
      </c>
      <c r="E632" s="60">
        <v>408.66410000000002</v>
      </c>
      <c r="F632" s="60">
        <v>17.373000000000001</v>
      </c>
      <c r="G632" s="60">
        <v>72.387</v>
      </c>
      <c r="H632" s="60">
        <v>117.6738</v>
      </c>
    </row>
    <row r="633" spans="1:8" x14ac:dyDescent="0.15">
      <c r="A633" s="60" t="s">
        <v>11</v>
      </c>
      <c r="B633" s="60">
        <v>10010</v>
      </c>
      <c r="C633" s="60">
        <v>24</v>
      </c>
      <c r="D633" s="60">
        <v>4.9100999999999999</v>
      </c>
      <c r="E633" s="60">
        <v>408.54329999999999</v>
      </c>
      <c r="F633" s="60">
        <v>17.367999999999999</v>
      </c>
      <c r="G633" s="60">
        <v>72.365600000000001</v>
      </c>
      <c r="H633" s="60">
        <v>117.6914</v>
      </c>
    </row>
    <row r="634" spans="1:8" x14ac:dyDescent="0.15">
      <c r="A634" s="60" t="s">
        <v>11</v>
      </c>
      <c r="B634" s="60">
        <v>10010</v>
      </c>
      <c r="C634" s="60">
        <v>24</v>
      </c>
      <c r="D634" s="60">
        <v>4.9084000000000003</v>
      </c>
      <c r="E634" s="60">
        <v>408.68759999999997</v>
      </c>
      <c r="F634" s="60">
        <v>17.373999999999999</v>
      </c>
      <c r="G634" s="60">
        <v>72.391199999999998</v>
      </c>
      <c r="H634" s="60">
        <v>117.66889999999999</v>
      </c>
    </row>
    <row r="635" spans="1:8" x14ac:dyDescent="0.15">
      <c r="A635" s="60" t="s">
        <v>11</v>
      </c>
      <c r="B635" s="60">
        <v>10010</v>
      </c>
      <c r="C635" s="60">
        <v>24</v>
      </c>
      <c r="D635" s="60">
        <v>4.9086999999999996</v>
      </c>
      <c r="E635" s="60">
        <v>408.6644</v>
      </c>
      <c r="F635" s="60">
        <v>17.373000000000001</v>
      </c>
      <c r="G635" s="60">
        <v>72.387100000000004</v>
      </c>
      <c r="H635" s="60">
        <v>117.6768</v>
      </c>
    </row>
    <row r="636" spans="1:8" x14ac:dyDescent="0.15">
      <c r="A636" s="60" t="s">
        <v>11</v>
      </c>
      <c r="B636" s="60">
        <v>10010</v>
      </c>
      <c r="C636" s="60">
        <v>24</v>
      </c>
      <c r="D636" s="60">
        <v>4.9139999999999997</v>
      </c>
      <c r="E636" s="60">
        <v>408.221</v>
      </c>
      <c r="F636" s="60">
        <v>17.353999999999999</v>
      </c>
      <c r="G636" s="60">
        <v>72.308499999999995</v>
      </c>
      <c r="H636" s="60">
        <v>117.71680000000001</v>
      </c>
    </row>
    <row r="637" spans="1:8" x14ac:dyDescent="0.15">
      <c r="A637" s="60" t="s">
        <v>11</v>
      </c>
      <c r="B637" s="60">
        <v>10010</v>
      </c>
      <c r="C637" s="60">
        <v>24</v>
      </c>
      <c r="D637" s="60">
        <v>4.9097</v>
      </c>
      <c r="E637" s="60">
        <v>408.58359999999999</v>
      </c>
      <c r="F637" s="60">
        <v>17.369</v>
      </c>
      <c r="G637" s="60">
        <v>72.372699999999995</v>
      </c>
      <c r="H637" s="60">
        <v>117.6982</v>
      </c>
    </row>
    <row r="638" spans="1:8" x14ac:dyDescent="0.15">
      <c r="A638" s="60" t="s">
        <v>11</v>
      </c>
      <c r="B638" s="60">
        <v>10010</v>
      </c>
      <c r="C638" s="60">
        <v>24</v>
      </c>
      <c r="D638" s="60">
        <v>4.9439000000000002</v>
      </c>
      <c r="E638" s="60">
        <v>405.7518</v>
      </c>
      <c r="F638" s="60">
        <v>17.248999999999999</v>
      </c>
      <c r="G638" s="60">
        <v>71.871099999999998</v>
      </c>
      <c r="H638" s="60">
        <v>118.39060000000001</v>
      </c>
    </row>
    <row r="639" spans="1:8" x14ac:dyDescent="0.15">
      <c r="A639" s="60" t="s">
        <v>11</v>
      </c>
      <c r="B639" s="60">
        <v>10010</v>
      </c>
      <c r="C639" s="60">
        <v>24</v>
      </c>
      <c r="D639" s="60">
        <v>4.9116</v>
      </c>
      <c r="E639" s="60">
        <v>408.4203</v>
      </c>
      <c r="F639" s="60">
        <v>17.363</v>
      </c>
      <c r="G639" s="60">
        <v>72.343800000000002</v>
      </c>
      <c r="H639" s="60">
        <v>117.73139999999999</v>
      </c>
    </row>
    <row r="640" spans="1:8" x14ac:dyDescent="0.15">
      <c r="A640" s="60" t="s">
        <v>11</v>
      </c>
      <c r="B640" s="60">
        <v>10010</v>
      </c>
      <c r="C640" s="60">
        <v>24</v>
      </c>
      <c r="D640" s="60">
        <v>4.9040999999999997</v>
      </c>
      <c r="E640" s="60">
        <v>409.05040000000002</v>
      </c>
      <c r="F640" s="60">
        <v>17.388999999999999</v>
      </c>
      <c r="G640" s="60">
        <v>72.455399999999997</v>
      </c>
      <c r="H640" s="60">
        <v>117.5654</v>
      </c>
    </row>
    <row r="641" spans="1:8" x14ac:dyDescent="0.15">
      <c r="A641" s="60" t="s">
        <v>11</v>
      </c>
      <c r="B641" s="60">
        <v>10010</v>
      </c>
      <c r="C641" s="60">
        <v>24</v>
      </c>
      <c r="D641" s="60">
        <v>4.9058999999999999</v>
      </c>
      <c r="E641" s="60">
        <v>408.89339999999999</v>
      </c>
      <c r="F641" s="60">
        <v>17.382999999999999</v>
      </c>
      <c r="G641" s="60">
        <v>72.427599999999998</v>
      </c>
      <c r="H641" s="60">
        <v>117.60939999999999</v>
      </c>
    </row>
    <row r="642" spans="1:8" x14ac:dyDescent="0.15">
      <c r="A642" s="60" t="s">
        <v>11</v>
      </c>
      <c r="B642" s="60">
        <v>10010</v>
      </c>
      <c r="C642" s="60">
        <v>24</v>
      </c>
      <c r="D642" s="60">
        <v>4.9000000000000004</v>
      </c>
      <c r="E642" s="60">
        <v>409.39269999999999</v>
      </c>
      <c r="F642" s="60">
        <v>17.404</v>
      </c>
      <c r="G642" s="60">
        <v>72.516099999999994</v>
      </c>
      <c r="H642" s="60">
        <v>117.45610000000001</v>
      </c>
    </row>
    <row r="643" spans="1:8" x14ac:dyDescent="0.15">
      <c r="A643" s="60" t="s">
        <v>11</v>
      </c>
      <c r="B643" s="60">
        <v>10010</v>
      </c>
      <c r="C643" s="60">
        <v>24</v>
      </c>
      <c r="D643" s="60">
        <v>4.9031000000000002</v>
      </c>
      <c r="E643" s="60">
        <v>409.12920000000003</v>
      </c>
      <c r="F643" s="60">
        <v>17.393000000000001</v>
      </c>
      <c r="G643" s="60">
        <v>72.469399999999993</v>
      </c>
      <c r="H643" s="60">
        <v>117.54389999999999</v>
      </c>
    </row>
    <row r="644" spans="1:8" x14ac:dyDescent="0.15">
      <c r="A644" s="60" t="s">
        <v>11</v>
      </c>
      <c r="B644" s="60">
        <v>10010</v>
      </c>
      <c r="C644" s="60">
        <v>24</v>
      </c>
      <c r="D644" s="60">
        <v>4.9032999999999998</v>
      </c>
      <c r="E644" s="60">
        <v>409.11329999999998</v>
      </c>
      <c r="F644" s="60">
        <v>17.391999999999999</v>
      </c>
      <c r="G644" s="60">
        <v>72.4666</v>
      </c>
      <c r="H644" s="60">
        <v>117.5479</v>
      </c>
    </row>
    <row r="645" spans="1:8" x14ac:dyDescent="0.15">
      <c r="A645" s="60" t="s">
        <v>11</v>
      </c>
      <c r="B645" s="60">
        <v>10010</v>
      </c>
      <c r="C645" s="60">
        <v>24</v>
      </c>
      <c r="D645" s="60">
        <v>4.9074</v>
      </c>
      <c r="E645" s="60">
        <v>408.76859999999999</v>
      </c>
      <c r="F645" s="60">
        <v>17.376999999999999</v>
      </c>
      <c r="G645" s="60">
        <v>72.405500000000004</v>
      </c>
      <c r="H645" s="60">
        <v>117.6084</v>
      </c>
    </row>
    <row r="646" spans="1:8" x14ac:dyDescent="0.15">
      <c r="A646" s="60" t="s">
        <v>11</v>
      </c>
      <c r="B646" s="60">
        <v>10010</v>
      </c>
      <c r="C646" s="60">
        <v>24</v>
      </c>
      <c r="D646" s="60">
        <v>4.9020999999999999</v>
      </c>
      <c r="E646" s="60">
        <v>409.21210000000002</v>
      </c>
      <c r="F646" s="60">
        <v>17.396000000000001</v>
      </c>
      <c r="G646" s="60">
        <v>72.484099999999998</v>
      </c>
      <c r="H646" s="60">
        <v>117.5176</v>
      </c>
    </row>
    <row r="647" spans="1:8" x14ac:dyDescent="0.15">
      <c r="A647" s="60" t="s">
        <v>11</v>
      </c>
      <c r="B647" s="60">
        <v>10010</v>
      </c>
      <c r="C647" s="60">
        <v>24</v>
      </c>
      <c r="D647" s="60">
        <v>4.8962000000000003</v>
      </c>
      <c r="E647" s="60">
        <v>409.70280000000002</v>
      </c>
      <c r="F647" s="60">
        <v>17.417000000000002</v>
      </c>
      <c r="G647" s="60">
        <v>72.570999999999998</v>
      </c>
      <c r="H647" s="60">
        <v>117.3779</v>
      </c>
    </row>
    <row r="648" spans="1:8" x14ac:dyDescent="0.15">
      <c r="A648" s="60" t="s">
        <v>11</v>
      </c>
      <c r="B648" s="60">
        <v>10010</v>
      </c>
      <c r="C648" s="60">
        <v>24</v>
      </c>
      <c r="D648" s="60">
        <v>4.9017999999999997</v>
      </c>
      <c r="E648" s="60">
        <v>409.24200000000002</v>
      </c>
      <c r="F648" s="60">
        <v>17.396999999999998</v>
      </c>
      <c r="G648" s="60">
        <v>72.489400000000003</v>
      </c>
      <c r="H648" s="60">
        <v>117.5107</v>
      </c>
    </row>
    <row r="649" spans="1:8" x14ac:dyDescent="0.15">
      <c r="A649" s="60" t="s">
        <v>11</v>
      </c>
      <c r="B649" s="60">
        <v>10010</v>
      </c>
      <c r="C649" s="60">
        <v>24</v>
      </c>
      <c r="D649" s="60">
        <v>4.9017999999999997</v>
      </c>
      <c r="E649" s="60">
        <v>409.24</v>
      </c>
      <c r="F649" s="60">
        <v>17.396999999999998</v>
      </c>
      <c r="G649" s="60">
        <v>72.489000000000004</v>
      </c>
      <c r="H649" s="60">
        <v>117.5127</v>
      </c>
    </row>
    <row r="650" spans="1:8" x14ac:dyDescent="0.15">
      <c r="A650" s="60" t="s">
        <v>11</v>
      </c>
      <c r="B650" s="60">
        <v>10010</v>
      </c>
      <c r="C650" s="60">
        <v>24</v>
      </c>
      <c r="D650" s="60">
        <v>4.8936000000000002</v>
      </c>
      <c r="E650" s="60">
        <v>409.92239999999998</v>
      </c>
      <c r="F650" s="60">
        <v>17.425999999999998</v>
      </c>
      <c r="G650" s="60">
        <v>72.609899999999996</v>
      </c>
      <c r="H650" s="60">
        <v>117.32810000000001</v>
      </c>
    </row>
    <row r="651" spans="1:8" x14ac:dyDescent="0.15">
      <c r="A651" s="60" t="s">
        <v>11</v>
      </c>
      <c r="B651" s="60">
        <v>10010</v>
      </c>
      <c r="C651" s="60">
        <v>24</v>
      </c>
      <c r="D651" s="60">
        <v>4.8960999999999997</v>
      </c>
      <c r="E651" s="60">
        <v>409.71789999999999</v>
      </c>
      <c r="F651" s="60">
        <v>17.417999999999999</v>
      </c>
      <c r="G651" s="60">
        <v>72.573700000000002</v>
      </c>
      <c r="H651" s="60">
        <v>117.377</v>
      </c>
    </row>
    <row r="652" spans="1:8" x14ac:dyDescent="0.15">
      <c r="A652" s="60" t="s">
        <v>11</v>
      </c>
      <c r="B652" s="60">
        <v>10010</v>
      </c>
      <c r="C652" s="60">
        <v>24</v>
      </c>
      <c r="D652" s="60">
        <v>4.8994</v>
      </c>
      <c r="E652" s="60">
        <v>409.43970000000002</v>
      </c>
      <c r="F652" s="60">
        <v>17.405999999999999</v>
      </c>
      <c r="G652" s="60">
        <v>72.5244</v>
      </c>
      <c r="H652" s="60">
        <v>117.46680000000001</v>
      </c>
    </row>
    <row r="653" spans="1:8" x14ac:dyDescent="0.15">
      <c r="A653" s="60" t="s">
        <v>11</v>
      </c>
      <c r="B653" s="60">
        <v>10010</v>
      </c>
      <c r="C653" s="60">
        <v>24</v>
      </c>
      <c r="D653" s="60">
        <v>4.9001999999999999</v>
      </c>
      <c r="E653" s="60">
        <v>409.3689</v>
      </c>
      <c r="F653" s="60">
        <v>17.402999999999999</v>
      </c>
      <c r="G653" s="60">
        <v>72.511899999999997</v>
      </c>
      <c r="H653" s="60">
        <v>117.4727</v>
      </c>
    </row>
    <row r="654" spans="1:8" x14ac:dyDescent="0.15">
      <c r="A654" s="60" t="s">
        <v>11</v>
      </c>
      <c r="B654" s="60">
        <v>10010</v>
      </c>
      <c r="C654" s="60">
        <v>24</v>
      </c>
      <c r="D654" s="60">
        <v>4.9058000000000002</v>
      </c>
      <c r="E654" s="60">
        <v>408.90350000000001</v>
      </c>
      <c r="F654" s="60">
        <v>17.382999999999999</v>
      </c>
      <c r="G654" s="60">
        <v>72.429400000000001</v>
      </c>
      <c r="H654" s="60">
        <v>117.6104</v>
      </c>
    </row>
    <row r="655" spans="1:8" x14ac:dyDescent="0.15">
      <c r="A655" s="60"/>
      <c r="B655" s="60"/>
      <c r="C655" s="60"/>
      <c r="D655" s="60"/>
      <c r="E655" s="60"/>
      <c r="F655" s="60"/>
      <c r="G655" s="60"/>
      <c r="H655" s="60"/>
    </row>
    <row r="656" spans="1:8" x14ac:dyDescent="0.15">
      <c r="A656" s="60" t="s">
        <v>12</v>
      </c>
      <c r="B656" s="60"/>
      <c r="C656" s="60"/>
      <c r="D656" s="60"/>
      <c r="E656" s="60"/>
      <c r="F656" s="60"/>
      <c r="G656" s="60"/>
      <c r="H656" s="60"/>
    </row>
    <row r="657" spans="1:8" x14ac:dyDescent="0.15">
      <c r="A657" s="60"/>
      <c r="B657" s="60"/>
      <c r="C657" s="60"/>
      <c r="D657" s="60"/>
      <c r="E657" s="60"/>
      <c r="F657" s="60"/>
      <c r="G657" s="60"/>
      <c r="H657" s="60"/>
    </row>
    <row r="658" spans="1:8" x14ac:dyDescent="0.15">
      <c r="A658" s="60" t="s">
        <v>3</v>
      </c>
      <c r="B658" s="60" t="s">
        <v>4</v>
      </c>
      <c r="C658" s="60" t="s">
        <v>5</v>
      </c>
      <c r="D658" s="60" t="s">
        <v>6</v>
      </c>
      <c r="E658" s="60" t="s">
        <v>7</v>
      </c>
      <c r="F658" s="60" t="s">
        <v>8</v>
      </c>
      <c r="G658" s="60" t="s">
        <v>9</v>
      </c>
      <c r="H658" s="60" t="s">
        <v>10</v>
      </c>
    </row>
    <row r="659" spans="1:8" x14ac:dyDescent="0.15">
      <c r="A659" s="60" t="s">
        <v>13</v>
      </c>
      <c r="B659" s="60">
        <v>2500</v>
      </c>
      <c r="C659" s="60">
        <v>1</v>
      </c>
      <c r="D659" s="60">
        <v>0.82679999999999998</v>
      </c>
      <c r="E659" s="60">
        <v>37.798000000000002</v>
      </c>
      <c r="F659" s="60">
        <v>1</v>
      </c>
      <c r="G659" s="60">
        <v>100</v>
      </c>
      <c r="H659" s="60">
        <v>8.0787999999999993</v>
      </c>
    </row>
    <row r="660" spans="1:8" x14ac:dyDescent="0.15">
      <c r="A660" s="60" t="s">
        <v>13</v>
      </c>
      <c r="B660" s="60">
        <v>2500</v>
      </c>
      <c r="C660" s="60">
        <v>1</v>
      </c>
      <c r="D660" s="60">
        <v>0.71609999999999996</v>
      </c>
      <c r="E660" s="60">
        <v>43.638599999999997</v>
      </c>
      <c r="F660" s="60">
        <v>1.155</v>
      </c>
      <c r="G660" s="60">
        <v>115.4521</v>
      </c>
      <c r="H660" s="60">
        <v>0.71489999999999998</v>
      </c>
    </row>
    <row r="661" spans="1:8" x14ac:dyDescent="0.15">
      <c r="A661" s="60" t="s">
        <v>13</v>
      </c>
      <c r="B661" s="60">
        <v>2500</v>
      </c>
      <c r="C661" s="60">
        <v>1</v>
      </c>
      <c r="D661" s="60">
        <v>0.7177</v>
      </c>
      <c r="E661" s="60">
        <v>43.5411</v>
      </c>
      <c r="F661" s="60">
        <v>1.1519999999999999</v>
      </c>
      <c r="G661" s="60">
        <v>115.19410000000001</v>
      </c>
      <c r="H661" s="60">
        <v>0.71789999999999998</v>
      </c>
    </row>
    <row r="662" spans="1:8" x14ac:dyDescent="0.15">
      <c r="A662" s="60" t="s">
        <v>13</v>
      </c>
      <c r="B662" s="60">
        <v>2500</v>
      </c>
      <c r="C662" s="60">
        <v>1</v>
      </c>
      <c r="D662" s="60">
        <v>0.71519999999999995</v>
      </c>
      <c r="E662" s="60">
        <v>43.691600000000001</v>
      </c>
      <c r="F662" s="60">
        <v>1.1559999999999999</v>
      </c>
      <c r="G662" s="60">
        <v>115.59220000000001</v>
      </c>
      <c r="H662" s="60">
        <v>0.71489999999999998</v>
      </c>
    </row>
    <row r="663" spans="1:8" x14ac:dyDescent="0.15">
      <c r="A663" s="60" t="s">
        <v>13</v>
      </c>
      <c r="B663" s="60">
        <v>2500</v>
      </c>
      <c r="C663" s="60">
        <v>1</v>
      </c>
      <c r="D663" s="60">
        <v>0.71540000000000004</v>
      </c>
      <c r="E663" s="60">
        <v>43.683599999999998</v>
      </c>
      <c r="F663" s="60">
        <v>1.1559999999999999</v>
      </c>
      <c r="G663" s="60">
        <v>115.5712</v>
      </c>
      <c r="H663" s="60">
        <v>0.71489999999999998</v>
      </c>
    </row>
    <row r="664" spans="1:8" x14ac:dyDescent="0.15">
      <c r="A664" s="60" t="s">
        <v>13</v>
      </c>
      <c r="B664" s="60">
        <v>2500</v>
      </c>
      <c r="C664" s="60">
        <v>1</v>
      </c>
      <c r="D664" s="60">
        <v>0.71509999999999996</v>
      </c>
      <c r="E664" s="60">
        <v>43.697899999999997</v>
      </c>
      <c r="F664" s="60">
        <v>1.1559999999999999</v>
      </c>
      <c r="G664" s="60">
        <v>115.60890000000001</v>
      </c>
      <c r="H664" s="60">
        <v>0.71489999999999998</v>
      </c>
    </row>
    <row r="665" spans="1:8" x14ac:dyDescent="0.15">
      <c r="A665" s="60" t="s">
        <v>13</v>
      </c>
      <c r="B665" s="60">
        <v>2500</v>
      </c>
      <c r="C665" s="60">
        <v>23</v>
      </c>
      <c r="D665" s="60">
        <v>5.8599999999999999E-2</v>
      </c>
      <c r="E665" s="60">
        <v>533.34019999999998</v>
      </c>
      <c r="F665" s="60">
        <v>14.11</v>
      </c>
      <c r="G665" s="60">
        <v>61.348999999999997</v>
      </c>
      <c r="H665" s="60">
        <v>1.2518</v>
      </c>
    </row>
    <row r="666" spans="1:8" x14ac:dyDescent="0.15">
      <c r="A666" s="60" t="s">
        <v>13</v>
      </c>
      <c r="B666" s="60">
        <v>2500</v>
      </c>
      <c r="C666" s="60">
        <v>23</v>
      </c>
      <c r="D666" s="60">
        <v>4.7199999999999999E-2</v>
      </c>
      <c r="E666" s="60">
        <v>661.89400000000001</v>
      </c>
      <c r="F666" s="60">
        <v>17.510999999999999</v>
      </c>
      <c r="G666" s="60">
        <v>76.136300000000006</v>
      </c>
      <c r="H666" s="60">
        <v>1.0838000000000001</v>
      </c>
    </row>
    <row r="667" spans="1:8" x14ac:dyDescent="0.15">
      <c r="A667" s="60" t="s">
        <v>13</v>
      </c>
      <c r="B667" s="60">
        <v>2500</v>
      </c>
      <c r="C667" s="60">
        <v>23</v>
      </c>
      <c r="D667" s="60">
        <v>4.5999999999999999E-2</v>
      </c>
      <c r="E667" s="60">
        <v>678.66909999999996</v>
      </c>
      <c r="F667" s="60">
        <v>17.954999999999998</v>
      </c>
      <c r="G667" s="60">
        <v>78.065899999999999</v>
      </c>
      <c r="H667" s="60">
        <v>1.0568</v>
      </c>
    </row>
    <row r="668" spans="1:8" x14ac:dyDescent="0.15">
      <c r="A668" s="60" t="s">
        <v>13</v>
      </c>
      <c r="B668" s="60">
        <v>2500</v>
      </c>
      <c r="C668" s="60">
        <v>23</v>
      </c>
      <c r="D668" s="60">
        <v>4.6600000000000003E-2</v>
      </c>
      <c r="E668" s="60">
        <v>670.42819999999995</v>
      </c>
      <c r="F668" s="60">
        <v>17.736999999999998</v>
      </c>
      <c r="G668" s="60">
        <v>77.117900000000006</v>
      </c>
      <c r="H668" s="60">
        <v>1.0798000000000001</v>
      </c>
    </row>
    <row r="669" spans="1:8" x14ac:dyDescent="0.15">
      <c r="A669" s="60" t="s">
        <v>13</v>
      </c>
      <c r="B669" s="60">
        <v>2500</v>
      </c>
      <c r="C669" s="60">
        <v>23</v>
      </c>
      <c r="D669" s="60">
        <v>4.7600000000000003E-2</v>
      </c>
      <c r="E669" s="60">
        <v>656.07150000000001</v>
      </c>
      <c r="F669" s="60">
        <v>17.356999999999999</v>
      </c>
      <c r="G669" s="60">
        <v>75.466499999999996</v>
      </c>
      <c r="H669" s="60">
        <v>1.0938000000000001</v>
      </c>
    </row>
    <row r="670" spans="1:8" x14ac:dyDescent="0.15">
      <c r="A670" s="60" t="s">
        <v>13</v>
      </c>
      <c r="B670" s="60">
        <v>2500</v>
      </c>
      <c r="C670" s="60">
        <v>23</v>
      </c>
      <c r="D670" s="60">
        <v>4.7600000000000003E-2</v>
      </c>
      <c r="E670" s="60">
        <v>656.11289999999997</v>
      </c>
      <c r="F670" s="60">
        <v>17.358000000000001</v>
      </c>
      <c r="G670" s="60">
        <v>75.471299999999999</v>
      </c>
      <c r="H670" s="60">
        <v>1.0958000000000001</v>
      </c>
    </row>
    <row r="671" spans="1:8" x14ac:dyDescent="0.15">
      <c r="A671" s="60" t="s">
        <v>13</v>
      </c>
      <c r="B671" s="60">
        <v>2500</v>
      </c>
      <c r="C671" s="60">
        <v>23</v>
      </c>
      <c r="D671" s="60">
        <v>4.7500000000000001E-2</v>
      </c>
      <c r="E671" s="60">
        <v>657.78390000000002</v>
      </c>
      <c r="F671" s="60">
        <v>17.402999999999999</v>
      </c>
      <c r="G671" s="60">
        <v>75.663499999999999</v>
      </c>
      <c r="H671" s="60">
        <v>1.0918000000000001</v>
      </c>
    </row>
    <row r="672" spans="1:8" x14ac:dyDescent="0.15">
      <c r="A672" s="60" t="s">
        <v>13</v>
      </c>
      <c r="B672" s="60">
        <v>2500</v>
      </c>
      <c r="C672" s="60">
        <v>23</v>
      </c>
      <c r="D672" s="60">
        <v>4.7399999999999998E-2</v>
      </c>
      <c r="E672" s="60">
        <v>659.83950000000004</v>
      </c>
      <c r="F672" s="60">
        <v>17.457000000000001</v>
      </c>
      <c r="G672" s="60">
        <v>75.899900000000002</v>
      </c>
      <c r="H672" s="60">
        <v>1.0878000000000001</v>
      </c>
    </row>
    <row r="673" spans="1:8" x14ac:dyDescent="0.15">
      <c r="A673" s="60" t="s">
        <v>13</v>
      </c>
      <c r="B673" s="60">
        <v>2500</v>
      </c>
      <c r="C673" s="60">
        <v>23</v>
      </c>
      <c r="D673" s="60">
        <v>4.7699999999999999E-2</v>
      </c>
      <c r="E673" s="60">
        <v>655.36980000000005</v>
      </c>
      <c r="F673" s="60">
        <v>17.338999999999999</v>
      </c>
      <c r="G673" s="60">
        <v>75.385800000000003</v>
      </c>
      <c r="H673" s="60">
        <v>1.0938000000000001</v>
      </c>
    </row>
    <row r="674" spans="1:8" x14ac:dyDescent="0.15">
      <c r="A674" s="60" t="s">
        <v>13</v>
      </c>
      <c r="B674" s="60">
        <v>2500</v>
      </c>
      <c r="C674" s="60">
        <v>23</v>
      </c>
      <c r="D674" s="60">
        <v>4.7399999999999998E-2</v>
      </c>
      <c r="E674" s="60">
        <v>658.85180000000003</v>
      </c>
      <c r="F674" s="60">
        <v>17.431000000000001</v>
      </c>
      <c r="G674" s="60">
        <v>75.786299999999997</v>
      </c>
      <c r="H674" s="60">
        <v>1.0908</v>
      </c>
    </row>
    <row r="675" spans="1:8" x14ac:dyDescent="0.15">
      <c r="A675" s="60" t="s">
        <v>13</v>
      </c>
      <c r="B675" s="60">
        <v>2500</v>
      </c>
      <c r="C675" s="60">
        <v>23</v>
      </c>
      <c r="D675" s="60">
        <v>4.7699999999999999E-2</v>
      </c>
      <c r="E675" s="60">
        <v>655.78240000000005</v>
      </c>
      <c r="F675" s="60">
        <v>17.350000000000001</v>
      </c>
      <c r="G675" s="60">
        <v>75.433300000000003</v>
      </c>
      <c r="H675" s="60">
        <v>1.0938000000000001</v>
      </c>
    </row>
    <row r="676" spans="1:8" x14ac:dyDescent="0.15">
      <c r="A676" s="60" t="s">
        <v>13</v>
      </c>
      <c r="B676" s="60">
        <v>2500</v>
      </c>
      <c r="C676" s="60">
        <v>23</v>
      </c>
      <c r="D676" s="60">
        <v>4.7300000000000002E-2</v>
      </c>
      <c r="E676" s="60">
        <v>660.48099999999999</v>
      </c>
      <c r="F676" s="60">
        <v>17.474</v>
      </c>
      <c r="G676" s="60">
        <v>75.973699999999994</v>
      </c>
      <c r="H676" s="60">
        <v>1.0878000000000001</v>
      </c>
    </row>
    <row r="677" spans="1:8" x14ac:dyDescent="0.15">
      <c r="A677" s="60" t="s">
        <v>13</v>
      </c>
      <c r="B677" s="60">
        <v>2500</v>
      </c>
      <c r="C677" s="60">
        <v>23</v>
      </c>
      <c r="D677" s="60">
        <v>4.7600000000000003E-2</v>
      </c>
      <c r="E677" s="60">
        <v>656.92660000000001</v>
      </c>
      <c r="F677" s="60">
        <v>17.38</v>
      </c>
      <c r="G677" s="60">
        <v>75.564899999999994</v>
      </c>
      <c r="H677" s="60">
        <v>1.0908</v>
      </c>
    </row>
    <row r="678" spans="1:8" x14ac:dyDescent="0.15">
      <c r="A678" s="60" t="s">
        <v>13</v>
      </c>
      <c r="B678" s="60">
        <v>2500</v>
      </c>
      <c r="C678" s="60">
        <v>23</v>
      </c>
      <c r="D678" s="60">
        <v>4.7699999999999999E-2</v>
      </c>
      <c r="E678" s="60">
        <v>655.08130000000006</v>
      </c>
      <c r="F678" s="60">
        <v>17.331</v>
      </c>
      <c r="G678" s="60">
        <v>75.352599999999995</v>
      </c>
      <c r="H678" s="60">
        <v>1.0968</v>
      </c>
    </row>
    <row r="679" spans="1:8" x14ac:dyDescent="0.15">
      <c r="A679" s="60" t="s">
        <v>13</v>
      </c>
      <c r="B679" s="60">
        <v>2500</v>
      </c>
      <c r="C679" s="60">
        <v>23</v>
      </c>
      <c r="D679" s="60">
        <v>4.7600000000000003E-2</v>
      </c>
      <c r="E679" s="60">
        <v>656.26440000000002</v>
      </c>
      <c r="F679" s="60">
        <v>17.361999999999998</v>
      </c>
      <c r="G679" s="60">
        <v>75.488699999999994</v>
      </c>
      <c r="H679" s="60">
        <v>1.0948</v>
      </c>
    </row>
    <row r="680" spans="1:8" x14ac:dyDescent="0.15">
      <c r="A680" s="60" t="s">
        <v>13</v>
      </c>
      <c r="B680" s="60">
        <v>2500</v>
      </c>
      <c r="C680" s="60">
        <v>23</v>
      </c>
      <c r="D680" s="60">
        <v>4.7699999999999999E-2</v>
      </c>
      <c r="E680" s="60">
        <v>655.30110000000002</v>
      </c>
      <c r="F680" s="60">
        <v>17.337</v>
      </c>
      <c r="G680" s="60">
        <v>75.377899999999997</v>
      </c>
      <c r="H680" s="60">
        <v>1.0958000000000001</v>
      </c>
    </row>
    <row r="681" spans="1:8" x14ac:dyDescent="0.15">
      <c r="A681" s="60" t="s">
        <v>13</v>
      </c>
      <c r="B681" s="60">
        <v>2500</v>
      </c>
      <c r="C681" s="60">
        <v>23</v>
      </c>
      <c r="D681" s="60">
        <v>4.7500000000000001E-2</v>
      </c>
      <c r="E681" s="60">
        <v>657.79780000000005</v>
      </c>
      <c r="F681" s="60">
        <v>17.402999999999999</v>
      </c>
      <c r="G681" s="60">
        <v>75.665099999999995</v>
      </c>
      <c r="H681" s="60">
        <v>1.0908</v>
      </c>
    </row>
    <row r="682" spans="1:8" x14ac:dyDescent="0.15">
      <c r="A682" s="60" t="s">
        <v>13</v>
      </c>
      <c r="B682" s="60">
        <v>2500</v>
      </c>
      <c r="C682" s="60">
        <v>23</v>
      </c>
      <c r="D682" s="60">
        <v>4.7500000000000001E-2</v>
      </c>
      <c r="E682" s="60">
        <v>657.43790000000001</v>
      </c>
      <c r="F682" s="60">
        <v>17.393000000000001</v>
      </c>
      <c r="G682" s="60">
        <v>75.623699999999999</v>
      </c>
      <c r="H682" s="60">
        <v>1.0918000000000001</v>
      </c>
    </row>
    <row r="683" spans="1:8" x14ac:dyDescent="0.15">
      <c r="A683" s="60" t="s">
        <v>13</v>
      </c>
      <c r="B683" s="60">
        <v>2500</v>
      </c>
      <c r="C683" s="60">
        <v>23</v>
      </c>
      <c r="D683" s="60">
        <v>4.7699999999999999E-2</v>
      </c>
      <c r="E683" s="60">
        <v>654.91660000000002</v>
      </c>
      <c r="F683" s="60">
        <v>17.327000000000002</v>
      </c>
      <c r="G683" s="60">
        <v>75.333699999999993</v>
      </c>
      <c r="H683" s="60">
        <v>1.0958000000000001</v>
      </c>
    </row>
    <row r="684" spans="1:8" x14ac:dyDescent="0.15">
      <c r="A684" s="60" t="s">
        <v>13</v>
      </c>
      <c r="B684" s="60">
        <v>2500</v>
      </c>
      <c r="C684" s="60">
        <v>23</v>
      </c>
      <c r="D684" s="60">
        <v>4.7600000000000003E-2</v>
      </c>
      <c r="E684" s="60">
        <v>656.26440000000002</v>
      </c>
      <c r="F684" s="60">
        <v>17.361999999999998</v>
      </c>
      <c r="G684" s="60">
        <v>75.488699999999994</v>
      </c>
      <c r="H684" s="60">
        <v>1.0928</v>
      </c>
    </row>
    <row r="685" spans="1:8" x14ac:dyDescent="0.15">
      <c r="A685" s="60" t="s">
        <v>13</v>
      </c>
      <c r="B685" s="60">
        <v>2500</v>
      </c>
      <c r="C685" s="60">
        <v>23</v>
      </c>
      <c r="D685" s="60">
        <v>4.7500000000000001E-2</v>
      </c>
      <c r="E685" s="60">
        <v>657.72860000000003</v>
      </c>
      <c r="F685" s="60">
        <v>17.401</v>
      </c>
      <c r="G685" s="60">
        <v>75.6571</v>
      </c>
      <c r="H685" s="60">
        <v>1.0898000000000001</v>
      </c>
    </row>
    <row r="686" spans="1:8" x14ac:dyDescent="0.15">
      <c r="A686" s="60" t="s">
        <v>13</v>
      </c>
      <c r="B686" s="60">
        <v>2500</v>
      </c>
      <c r="C686" s="60">
        <v>23</v>
      </c>
      <c r="D686" s="60">
        <v>4.7699999999999999E-2</v>
      </c>
      <c r="E686" s="60">
        <v>655.23239999999998</v>
      </c>
      <c r="F686" s="60">
        <v>17.335000000000001</v>
      </c>
      <c r="G686" s="60">
        <v>75.37</v>
      </c>
      <c r="H686" s="60">
        <v>1.0968</v>
      </c>
    </row>
    <row r="687" spans="1:8" x14ac:dyDescent="0.15">
      <c r="A687" s="60" t="s">
        <v>13</v>
      </c>
      <c r="B687" s="60">
        <v>2500</v>
      </c>
      <c r="C687" s="60">
        <v>23</v>
      </c>
      <c r="D687" s="60">
        <v>4.7699999999999999E-2</v>
      </c>
      <c r="E687" s="60">
        <v>654.4502</v>
      </c>
      <c r="F687" s="60">
        <v>17.314</v>
      </c>
      <c r="G687" s="60">
        <v>75.28</v>
      </c>
      <c r="H687" s="60">
        <v>1.0968</v>
      </c>
    </row>
    <row r="688" spans="1:8" x14ac:dyDescent="0.15">
      <c r="A688" s="60" t="s">
        <v>13</v>
      </c>
      <c r="B688" s="60">
        <v>2500</v>
      </c>
      <c r="C688" s="60">
        <v>23</v>
      </c>
      <c r="D688" s="60">
        <v>4.7699999999999999E-2</v>
      </c>
      <c r="E688" s="60">
        <v>654.60109999999997</v>
      </c>
      <c r="F688" s="60">
        <v>17.318000000000001</v>
      </c>
      <c r="G688" s="60">
        <v>75.297399999999996</v>
      </c>
      <c r="H688" s="60">
        <v>1.0968</v>
      </c>
    </row>
    <row r="689" spans="1:8" x14ac:dyDescent="0.15">
      <c r="A689" s="60" t="s">
        <v>13</v>
      </c>
      <c r="B689" s="60">
        <v>2500</v>
      </c>
      <c r="C689" s="60">
        <v>23</v>
      </c>
      <c r="D689" s="60">
        <v>4.7699999999999999E-2</v>
      </c>
      <c r="E689" s="60">
        <v>655.02639999999997</v>
      </c>
      <c r="F689" s="60">
        <v>17.329999999999998</v>
      </c>
      <c r="G689" s="60">
        <v>75.346299999999999</v>
      </c>
      <c r="H689" s="60">
        <v>1.0968</v>
      </c>
    </row>
    <row r="690" spans="1:8" x14ac:dyDescent="0.15">
      <c r="A690" s="60" t="s">
        <v>13</v>
      </c>
      <c r="B690" s="60">
        <v>2500</v>
      </c>
      <c r="C690" s="60">
        <v>23</v>
      </c>
      <c r="D690" s="60">
        <v>4.7399999999999998E-2</v>
      </c>
      <c r="E690" s="60">
        <v>658.94910000000004</v>
      </c>
      <c r="F690" s="60">
        <v>17.433</v>
      </c>
      <c r="G690" s="60">
        <v>75.797499999999999</v>
      </c>
      <c r="H690" s="60">
        <v>1.0908</v>
      </c>
    </row>
    <row r="691" spans="1:8" x14ac:dyDescent="0.15">
      <c r="A691" s="60" t="s">
        <v>13</v>
      </c>
      <c r="B691" s="60">
        <v>2500</v>
      </c>
      <c r="C691" s="60">
        <v>23</v>
      </c>
      <c r="D691" s="60">
        <v>4.7899999999999998E-2</v>
      </c>
      <c r="E691" s="60">
        <v>653.01430000000005</v>
      </c>
      <c r="F691" s="60">
        <v>17.276</v>
      </c>
      <c r="G691" s="60">
        <v>75.114900000000006</v>
      </c>
      <c r="H691" s="60">
        <v>1.0998000000000001</v>
      </c>
    </row>
    <row r="692" spans="1:8" x14ac:dyDescent="0.15">
      <c r="A692" s="60" t="s">
        <v>13</v>
      </c>
      <c r="B692" s="60">
        <v>2500</v>
      </c>
      <c r="C692" s="60">
        <v>23</v>
      </c>
      <c r="D692" s="60">
        <v>4.7600000000000003E-2</v>
      </c>
      <c r="E692" s="60">
        <v>655.9751</v>
      </c>
      <c r="F692" s="60">
        <v>17.355</v>
      </c>
      <c r="G692" s="60">
        <v>75.455399999999997</v>
      </c>
      <c r="H692" s="60">
        <v>1.0938000000000001</v>
      </c>
    </row>
    <row r="693" spans="1:8" x14ac:dyDescent="0.15">
      <c r="A693" s="60" t="s">
        <v>13</v>
      </c>
      <c r="B693" s="60">
        <v>2500</v>
      </c>
      <c r="C693" s="60">
        <v>23</v>
      </c>
      <c r="D693" s="60">
        <v>4.7600000000000003E-2</v>
      </c>
      <c r="E693" s="60">
        <v>655.98889999999994</v>
      </c>
      <c r="F693" s="60">
        <v>17.355</v>
      </c>
      <c r="G693" s="60">
        <v>75.456999999999994</v>
      </c>
      <c r="H693" s="60">
        <v>1.0958000000000001</v>
      </c>
    </row>
    <row r="694" spans="1:8" x14ac:dyDescent="0.15">
      <c r="A694" s="60" t="s">
        <v>13</v>
      </c>
      <c r="B694" s="60">
        <v>2500</v>
      </c>
      <c r="C694" s="60">
        <v>23</v>
      </c>
      <c r="D694" s="60">
        <v>4.7899999999999998E-2</v>
      </c>
      <c r="E694" s="60">
        <v>652.49620000000004</v>
      </c>
      <c r="F694" s="60">
        <v>17.263000000000002</v>
      </c>
      <c r="G694" s="60">
        <v>75.055300000000003</v>
      </c>
      <c r="H694" s="60">
        <v>1.1008</v>
      </c>
    </row>
    <row r="695" spans="1:8" x14ac:dyDescent="0.15">
      <c r="A695" s="60" t="s">
        <v>13</v>
      </c>
      <c r="B695" s="60">
        <v>2500</v>
      </c>
      <c r="C695" s="60">
        <v>23</v>
      </c>
      <c r="D695" s="60">
        <v>4.7600000000000003E-2</v>
      </c>
      <c r="E695" s="60">
        <v>656.91279999999995</v>
      </c>
      <c r="F695" s="60">
        <v>17.38</v>
      </c>
      <c r="G695" s="60">
        <v>75.563299999999998</v>
      </c>
      <c r="H695" s="60">
        <v>1.0928</v>
      </c>
    </row>
    <row r="696" spans="1:8" x14ac:dyDescent="0.15">
      <c r="A696" s="60" t="s">
        <v>13</v>
      </c>
      <c r="B696" s="60">
        <v>2500</v>
      </c>
      <c r="C696" s="60">
        <v>23</v>
      </c>
      <c r="D696" s="60">
        <v>4.7600000000000003E-2</v>
      </c>
      <c r="E696" s="60">
        <v>656.41600000000005</v>
      </c>
      <c r="F696" s="60">
        <v>17.366</v>
      </c>
      <c r="G696" s="60">
        <v>75.506200000000007</v>
      </c>
      <c r="H696" s="60">
        <v>1.0928</v>
      </c>
    </row>
    <row r="697" spans="1:8" x14ac:dyDescent="0.15">
      <c r="A697" s="60" t="s">
        <v>13</v>
      </c>
      <c r="B697" s="60">
        <v>2500</v>
      </c>
      <c r="C697" s="60">
        <v>23</v>
      </c>
      <c r="D697" s="60">
        <v>4.7699999999999999E-2</v>
      </c>
      <c r="E697" s="60">
        <v>654.51880000000006</v>
      </c>
      <c r="F697" s="60">
        <v>17.315999999999999</v>
      </c>
      <c r="G697" s="60">
        <v>75.287899999999993</v>
      </c>
      <c r="H697" s="60">
        <v>1.0968</v>
      </c>
    </row>
    <row r="698" spans="1:8" x14ac:dyDescent="0.15">
      <c r="A698" s="60" t="s">
        <v>13</v>
      </c>
      <c r="B698" s="60">
        <v>2500</v>
      </c>
      <c r="C698" s="60">
        <v>23</v>
      </c>
      <c r="D698" s="60">
        <v>4.7699999999999999E-2</v>
      </c>
      <c r="E698" s="60">
        <v>654.98519999999996</v>
      </c>
      <c r="F698" s="60">
        <v>17.329000000000001</v>
      </c>
      <c r="G698" s="60">
        <v>75.3416</v>
      </c>
      <c r="H698" s="60">
        <v>1.0938000000000001</v>
      </c>
    </row>
    <row r="699" spans="1:8" x14ac:dyDescent="0.15">
      <c r="A699" s="60" t="s">
        <v>13</v>
      </c>
      <c r="B699" s="60">
        <v>2500</v>
      </c>
      <c r="C699" s="60">
        <v>23</v>
      </c>
      <c r="D699" s="60">
        <v>4.8500000000000001E-2</v>
      </c>
      <c r="E699" s="60">
        <v>643.66629999999998</v>
      </c>
      <c r="F699" s="60">
        <v>17.029</v>
      </c>
      <c r="G699" s="60">
        <v>74.039599999999993</v>
      </c>
      <c r="H699" s="60">
        <v>1.1177999999999999</v>
      </c>
    </row>
    <row r="700" spans="1:8" x14ac:dyDescent="0.15">
      <c r="A700" s="60" t="s">
        <v>13</v>
      </c>
      <c r="B700" s="60">
        <v>2500</v>
      </c>
      <c r="C700" s="60">
        <v>23</v>
      </c>
      <c r="D700" s="60">
        <v>4.8800000000000003E-2</v>
      </c>
      <c r="E700" s="60">
        <v>640.80219999999997</v>
      </c>
      <c r="F700" s="60">
        <v>16.952999999999999</v>
      </c>
      <c r="G700" s="60">
        <v>73.710099999999997</v>
      </c>
      <c r="H700" s="60">
        <v>1.1208</v>
      </c>
    </row>
    <row r="701" spans="1:8" x14ac:dyDescent="0.15">
      <c r="A701" s="60" t="s">
        <v>13</v>
      </c>
      <c r="B701" s="60">
        <v>2500</v>
      </c>
      <c r="C701" s="60">
        <v>23</v>
      </c>
      <c r="D701" s="60">
        <v>4.9200000000000001E-2</v>
      </c>
      <c r="E701" s="60">
        <v>635.78279999999995</v>
      </c>
      <c r="F701" s="60">
        <v>16.821000000000002</v>
      </c>
      <c r="G701" s="60">
        <v>73.132800000000003</v>
      </c>
      <c r="H701" s="60">
        <v>1.1288</v>
      </c>
    </row>
    <row r="702" spans="1:8" x14ac:dyDescent="0.15">
      <c r="A702" s="60" t="s">
        <v>13</v>
      </c>
      <c r="B702" s="60">
        <v>2500</v>
      </c>
      <c r="C702" s="60">
        <v>23</v>
      </c>
      <c r="D702" s="60">
        <v>4.8800000000000003E-2</v>
      </c>
      <c r="E702" s="60">
        <v>640.00160000000005</v>
      </c>
      <c r="F702" s="60">
        <v>16.931999999999999</v>
      </c>
      <c r="G702" s="60">
        <v>73.617999999999995</v>
      </c>
      <c r="H702" s="60">
        <v>1.1217999999999999</v>
      </c>
    </row>
    <row r="703" spans="1:8" x14ac:dyDescent="0.15">
      <c r="A703" s="60" t="s">
        <v>13</v>
      </c>
      <c r="B703" s="60">
        <v>2500</v>
      </c>
      <c r="C703" s="60">
        <v>23</v>
      </c>
      <c r="D703" s="60">
        <v>4.8599999999999997E-2</v>
      </c>
      <c r="E703" s="60">
        <v>642.63390000000004</v>
      </c>
      <c r="F703" s="60">
        <v>17.001999999999999</v>
      </c>
      <c r="G703" s="60">
        <v>73.9208</v>
      </c>
      <c r="H703" s="60">
        <v>1.1168</v>
      </c>
    </row>
    <row r="704" spans="1:8" x14ac:dyDescent="0.15">
      <c r="A704" s="60" t="s">
        <v>13</v>
      </c>
      <c r="B704" s="60">
        <v>2500</v>
      </c>
      <c r="C704" s="60">
        <v>23</v>
      </c>
      <c r="D704" s="60">
        <v>4.8800000000000003E-2</v>
      </c>
      <c r="E704" s="60">
        <v>640.88109999999995</v>
      </c>
      <c r="F704" s="60">
        <v>16.954999999999998</v>
      </c>
      <c r="G704" s="60">
        <v>73.719200000000001</v>
      </c>
      <c r="H704" s="60">
        <v>1.1208</v>
      </c>
    </row>
    <row r="705" spans="1:8" x14ac:dyDescent="0.15">
      <c r="A705" s="60" t="s">
        <v>13</v>
      </c>
      <c r="B705" s="60">
        <v>2500</v>
      </c>
      <c r="C705" s="60">
        <v>23</v>
      </c>
      <c r="D705" s="60">
        <v>4.8899999999999999E-2</v>
      </c>
      <c r="E705" s="60">
        <v>638.70659999999998</v>
      </c>
      <c r="F705" s="60">
        <v>16.898</v>
      </c>
      <c r="G705" s="60">
        <v>73.469099999999997</v>
      </c>
      <c r="H705" s="60">
        <v>1.1248</v>
      </c>
    </row>
    <row r="706" spans="1:8" x14ac:dyDescent="0.15">
      <c r="A706" s="60" t="s">
        <v>13</v>
      </c>
      <c r="B706" s="60">
        <v>2500</v>
      </c>
      <c r="C706" s="60">
        <v>23</v>
      </c>
      <c r="D706" s="60">
        <v>5.0799999999999998E-2</v>
      </c>
      <c r="E706" s="60">
        <v>615.42399999999998</v>
      </c>
      <c r="F706" s="60">
        <v>16.282</v>
      </c>
      <c r="G706" s="60">
        <v>70.790899999999993</v>
      </c>
      <c r="H706" s="60">
        <v>1.1668000000000001</v>
      </c>
    </row>
    <row r="707" spans="1:8" x14ac:dyDescent="0.15">
      <c r="A707" s="60" t="s">
        <v>13</v>
      </c>
      <c r="B707" s="60">
        <v>2500</v>
      </c>
      <c r="C707" s="60">
        <v>23</v>
      </c>
      <c r="D707" s="60">
        <v>5.0700000000000002E-2</v>
      </c>
      <c r="E707" s="60">
        <v>616.33439999999996</v>
      </c>
      <c r="F707" s="60">
        <v>16.306000000000001</v>
      </c>
      <c r="G707" s="60">
        <v>70.895600000000002</v>
      </c>
      <c r="H707" s="60">
        <v>1.1648000000000001</v>
      </c>
    </row>
    <row r="708" spans="1:8" x14ac:dyDescent="0.15">
      <c r="A708" s="60" t="s">
        <v>13</v>
      </c>
      <c r="B708" s="60">
        <v>2500</v>
      </c>
      <c r="C708" s="60">
        <v>23</v>
      </c>
      <c r="D708" s="60">
        <v>5.0700000000000002E-2</v>
      </c>
      <c r="E708" s="60">
        <v>616.40729999999996</v>
      </c>
      <c r="F708" s="60">
        <v>16.308</v>
      </c>
      <c r="G708" s="60">
        <v>70.903999999999996</v>
      </c>
      <c r="H708" s="60">
        <v>1.1637999999999999</v>
      </c>
    </row>
    <row r="709" spans="1:8" x14ac:dyDescent="0.15">
      <c r="A709" s="60" t="s">
        <v>13</v>
      </c>
      <c r="B709" s="60">
        <v>2500</v>
      </c>
      <c r="C709" s="60">
        <v>23</v>
      </c>
      <c r="D709" s="60">
        <v>5.0900000000000001E-2</v>
      </c>
      <c r="E709" s="60">
        <v>614.54049999999995</v>
      </c>
      <c r="F709" s="60">
        <v>16.259</v>
      </c>
      <c r="G709" s="60">
        <v>70.689300000000003</v>
      </c>
      <c r="H709" s="60">
        <v>1.1528</v>
      </c>
    </row>
    <row r="710" spans="1:8" x14ac:dyDescent="0.15">
      <c r="A710" s="60" t="s">
        <v>13</v>
      </c>
      <c r="B710" s="60">
        <v>2500</v>
      </c>
      <c r="C710" s="60">
        <v>23</v>
      </c>
      <c r="D710" s="60">
        <v>5.0900000000000001E-2</v>
      </c>
      <c r="E710" s="60">
        <v>614.38350000000003</v>
      </c>
      <c r="F710" s="60">
        <v>16.254000000000001</v>
      </c>
      <c r="G710" s="60">
        <v>70.671199999999999</v>
      </c>
      <c r="H710" s="60">
        <v>1.1708000000000001</v>
      </c>
    </row>
    <row r="711" spans="1:8" x14ac:dyDescent="0.15">
      <c r="A711" s="60" t="s">
        <v>13</v>
      </c>
      <c r="B711" s="60">
        <v>2500</v>
      </c>
      <c r="C711" s="60">
        <v>23</v>
      </c>
      <c r="D711" s="60">
        <v>5.0799999999999998E-2</v>
      </c>
      <c r="E711" s="60">
        <v>615.66650000000004</v>
      </c>
      <c r="F711" s="60">
        <v>16.288</v>
      </c>
      <c r="G711" s="60">
        <v>70.818799999999996</v>
      </c>
      <c r="H711" s="60">
        <v>1.1718</v>
      </c>
    </row>
    <row r="712" spans="1:8" x14ac:dyDescent="0.15">
      <c r="A712" s="60" t="s">
        <v>13</v>
      </c>
      <c r="B712" s="60">
        <v>2500</v>
      </c>
      <c r="C712" s="60">
        <v>23</v>
      </c>
      <c r="D712" s="60">
        <v>5.0700000000000002E-2</v>
      </c>
      <c r="E712" s="60">
        <v>616.69920000000002</v>
      </c>
      <c r="F712" s="60">
        <v>16.315999999999999</v>
      </c>
      <c r="G712" s="60">
        <v>70.937600000000003</v>
      </c>
      <c r="H712" s="60">
        <v>1.1657999999999999</v>
      </c>
    </row>
    <row r="713" spans="1:8" x14ac:dyDescent="0.15">
      <c r="A713" s="60" t="s">
        <v>13</v>
      </c>
      <c r="B713" s="60">
        <v>2500</v>
      </c>
      <c r="C713" s="60">
        <v>23</v>
      </c>
      <c r="D713" s="60">
        <v>5.0700000000000002E-2</v>
      </c>
      <c r="E713" s="60">
        <v>616.28570000000002</v>
      </c>
      <c r="F713" s="60">
        <v>16.305</v>
      </c>
      <c r="G713" s="60">
        <v>70.89</v>
      </c>
      <c r="H713" s="60">
        <v>1.1728000000000001</v>
      </c>
    </row>
    <row r="714" spans="1:8" x14ac:dyDescent="0.15">
      <c r="A714" s="60" t="s">
        <v>13</v>
      </c>
      <c r="B714" s="60">
        <v>2500</v>
      </c>
      <c r="C714" s="60">
        <v>23</v>
      </c>
      <c r="D714" s="60">
        <v>5.0900000000000001E-2</v>
      </c>
      <c r="E714" s="60">
        <v>613.53909999999996</v>
      </c>
      <c r="F714" s="60">
        <v>16.231999999999999</v>
      </c>
      <c r="G714" s="60">
        <v>70.574100000000001</v>
      </c>
      <c r="H714" s="60">
        <v>1.1708000000000001</v>
      </c>
    </row>
    <row r="715" spans="1:8" x14ac:dyDescent="0.15">
      <c r="A715" s="60" t="s">
        <v>13</v>
      </c>
      <c r="B715" s="60">
        <v>2500</v>
      </c>
      <c r="C715" s="60">
        <v>23</v>
      </c>
      <c r="D715" s="60">
        <v>5.0799999999999998E-2</v>
      </c>
      <c r="E715" s="60">
        <v>615.75139999999999</v>
      </c>
      <c r="F715" s="60">
        <v>16.291</v>
      </c>
      <c r="G715" s="60">
        <v>70.828599999999994</v>
      </c>
      <c r="H715" s="60">
        <v>1.1657999999999999</v>
      </c>
    </row>
    <row r="716" spans="1:8" x14ac:dyDescent="0.15">
      <c r="A716" s="60" t="s">
        <v>13</v>
      </c>
      <c r="B716" s="60">
        <v>2500</v>
      </c>
      <c r="C716" s="60">
        <v>24</v>
      </c>
      <c r="D716" s="60">
        <v>4.99E-2</v>
      </c>
      <c r="E716" s="60">
        <v>626.21479999999997</v>
      </c>
      <c r="F716" s="60">
        <v>16.567</v>
      </c>
      <c r="G716" s="60">
        <v>69.030799999999999</v>
      </c>
      <c r="H716" s="60">
        <v>1.1958</v>
      </c>
    </row>
    <row r="717" spans="1:8" x14ac:dyDescent="0.15">
      <c r="A717" s="60" t="s">
        <v>13</v>
      </c>
      <c r="B717" s="60">
        <v>2500</v>
      </c>
      <c r="C717" s="60">
        <v>24</v>
      </c>
      <c r="D717" s="60">
        <v>4.9799999999999997E-2</v>
      </c>
      <c r="E717" s="60">
        <v>628.06489999999997</v>
      </c>
      <c r="F717" s="60">
        <v>16.616</v>
      </c>
      <c r="G717" s="60">
        <v>69.234800000000007</v>
      </c>
      <c r="H717" s="60">
        <v>1.1928000000000001</v>
      </c>
    </row>
    <row r="718" spans="1:8" x14ac:dyDescent="0.15">
      <c r="A718" s="60" t="s">
        <v>13</v>
      </c>
      <c r="B718" s="60">
        <v>2500</v>
      </c>
      <c r="C718" s="60">
        <v>24</v>
      </c>
      <c r="D718" s="60">
        <v>4.9799999999999997E-2</v>
      </c>
      <c r="E718" s="60">
        <v>627.57299999999998</v>
      </c>
      <c r="F718" s="60">
        <v>16.603000000000002</v>
      </c>
      <c r="G718" s="60">
        <v>69.180599999999998</v>
      </c>
      <c r="H718" s="60">
        <v>1.1938</v>
      </c>
    </row>
    <row r="719" spans="1:8" x14ac:dyDescent="0.15">
      <c r="A719" s="60" t="s">
        <v>13</v>
      </c>
      <c r="B719" s="60">
        <v>2500</v>
      </c>
      <c r="C719" s="60">
        <v>24</v>
      </c>
      <c r="D719" s="60">
        <v>5.04E-2</v>
      </c>
      <c r="E719" s="60">
        <v>620.03970000000004</v>
      </c>
      <c r="F719" s="60">
        <v>16.404</v>
      </c>
      <c r="G719" s="60">
        <v>68.350099999999998</v>
      </c>
      <c r="H719" s="60">
        <v>1.2068000000000001</v>
      </c>
    </row>
    <row r="720" spans="1:8" x14ac:dyDescent="0.15">
      <c r="A720" s="60" t="s">
        <v>13</v>
      </c>
      <c r="B720" s="60">
        <v>2500</v>
      </c>
      <c r="C720" s="60">
        <v>24</v>
      </c>
      <c r="D720" s="60">
        <v>4.9700000000000001E-2</v>
      </c>
      <c r="E720" s="60">
        <v>628.86120000000005</v>
      </c>
      <c r="F720" s="60">
        <v>16.637</v>
      </c>
      <c r="G720" s="60">
        <v>69.322599999999994</v>
      </c>
      <c r="H720" s="60">
        <v>1.1908000000000001</v>
      </c>
    </row>
    <row r="721" spans="1:8" x14ac:dyDescent="0.15">
      <c r="A721" s="60" t="s">
        <v>13</v>
      </c>
      <c r="B721" s="60">
        <v>2500</v>
      </c>
      <c r="C721" s="60">
        <v>24</v>
      </c>
      <c r="D721" s="60">
        <v>0.05</v>
      </c>
      <c r="E721" s="60">
        <v>624.86249999999995</v>
      </c>
      <c r="F721" s="60">
        <v>16.532</v>
      </c>
      <c r="G721" s="60">
        <v>68.881799999999998</v>
      </c>
      <c r="H721" s="60">
        <v>1.1988000000000001</v>
      </c>
    </row>
    <row r="722" spans="1:8" x14ac:dyDescent="0.15">
      <c r="A722" s="60" t="s">
        <v>13</v>
      </c>
      <c r="B722" s="60">
        <v>2500</v>
      </c>
      <c r="C722" s="60">
        <v>24</v>
      </c>
      <c r="D722" s="60">
        <v>4.9799999999999997E-2</v>
      </c>
      <c r="E722" s="60">
        <v>627.13229999999999</v>
      </c>
      <c r="F722" s="60">
        <v>16.591999999999999</v>
      </c>
      <c r="G722" s="60">
        <v>69.132000000000005</v>
      </c>
      <c r="H722" s="60">
        <v>1.1948000000000001</v>
      </c>
    </row>
    <row r="723" spans="1:8" x14ac:dyDescent="0.15">
      <c r="A723" s="60" t="s">
        <v>13</v>
      </c>
      <c r="B723" s="60">
        <v>2500</v>
      </c>
      <c r="C723" s="60">
        <v>24</v>
      </c>
      <c r="D723" s="60">
        <v>4.99E-2</v>
      </c>
      <c r="E723" s="60">
        <v>626.72969999999998</v>
      </c>
      <c r="F723" s="60">
        <v>16.581</v>
      </c>
      <c r="G723" s="60">
        <v>69.087599999999995</v>
      </c>
      <c r="H723" s="60">
        <v>1.1948000000000001</v>
      </c>
    </row>
    <row r="724" spans="1:8" x14ac:dyDescent="0.15">
      <c r="A724" s="60" t="s">
        <v>13</v>
      </c>
      <c r="B724" s="60">
        <v>2500</v>
      </c>
      <c r="C724" s="60">
        <v>24</v>
      </c>
      <c r="D724" s="60">
        <v>0.05</v>
      </c>
      <c r="E724" s="60">
        <v>625.13750000000005</v>
      </c>
      <c r="F724" s="60">
        <v>16.539000000000001</v>
      </c>
      <c r="G724" s="60">
        <v>68.912099999999995</v>
      </c>
      <c r="H724" s="60">
        <v>1.1988000000000001</v>
      </c>
    </row>
    <row r="725" spans="1:8" x14ac:dyDescent="0.15">
      <c r="A725" s="60" t="s">
        <v>13</v>
      </c>
      <c r="B725" s="60">
        <v>2500</v>
      </c>
      <c r="C725" s="60">
        <v>24</v>
      </c>
      <c r="D725" s="60">
        <v>4.99E-2</v>
      </c>
      <c r="E725" s="60">
        <v>626.76750000000004</v>
      </c>
      <c r="F725" s="60">
        <v>16.582000000000001</v>
      </c>
      <c r="G725" s="60">
        <v>69.091800000000006</v>
      </c>
      <c r="H725" s="60">
        <v>1.1958</v>
      </c>
    </row>
    <row r="726" spans="1:8" x14ac:dyDescent="0.15">
      <c r="A726" s="60" t="s">
        <v>13</v>
      </c>
      <c r="B726" s="60">
        <v>2500</v>
      </c>
      <c r="C726" s="60">
        <v>24</v>
      </c>
      <c r="D726" s="60">
        <v>0.05</v>
      </c>
      <c r="E726" s="60">
        <v>625.07500000000005</v>
      </c>
      <c r="F726" s="60">
        <v>16.536999999999999</v>
      </c>
      <c r="G726" s="60">
        <v>68.905199999999994</v>
      </c>
      <c r="H726" s="60">
        <v>1.1988000000000001</v>
      </c>
    </row>
    <row r="727" spans="1:8" x14ac:dyDescent="0.15">
      <c r="A727" s="60" t="s">
        <v>13</v>
      </c>
      <c r="B727" s="60">
        <v>2500</v>
      </c>
      <c r="C727" s="60">
        <v>24</v>
      </c>
      <c r="D727" s="60">
        <v>4.99E-2</v>
      </c>
      <c r="E727" s="60">
        <v>626.40309999999999</v>
      </c>
      <c r="F727" s="60">
        <v>16.571999999999999</v>
      </c>
      <c r="G727" s="60">
        <v>69.051599999999993</v>
      </c>
      <c r="H727" s="60">
        <v>1.1958</v>
      </c>
    </row>
    <row r="728" spans="1:8" x14ac:dyDescent="0.15">
      <c r="A728" s="60" t="s">
        <v>13</v>
      </c>
      <c r="B728" s="60">
        <v>2500</v>
      </c>
      <c r="C728" s="60">
        <v>24</v>
      </c>
      <c r="D728" s="60">
        <v>4.9799999999999997E-2</v>
      </c>
      <c r="E728" s="60">
        <v>627.48479999999995</v>
      </c>
      <c r="F728" s="60">
        <v>16.600999999999999</v>
      </c>
      <c r="G728" s="60">
        <v>69.1708</v>
      </c>
      <c r="H728" s="60">
        <v>1.1938</v>
      </c>
    </row>
    <row r="729" spans="1:8" x14ac:dyDescent="0.15">
      <c r="A729" s="60" t="s">
        <v>13</v>
      </c>
      <c r="B729" s="60">
        <v>2500</v>
      </c>
      <c r="C729" s="60">
        <v>24</v>
      </c>
      <c r="D729" s="60">
        <v>4.99E-2</v>
      </c>
      <c r="E729" s="60">
        <v>626.20230000000004</v>
      </c>
      <c r="F729" s="60">
        <v>16.567</v>
      </c>
      <c r="G729" s="60">
        <v>69.029499999999999</v>
      </c>
      <c r="H729" s="60">
        <v>1.1978</v>
      </c>
    </row>
    <row r="730" spans="1:8" x14ac:dyDescent="0.15">
      <c r="A730" s="60" t="s">
        <v>13</v>
      </c>
      <c r="B730" s="60">
        <v>2500</v>
      </c>
      <c r="C730" s="60">
        <v>24</v>
      </c>
      <c r="D730" s="60">
        <v>4.9799999999999997E-2</v>
      </c>
      <c r="E730" s="60">
        <v>626.9058</v>
      </c>
      <c r="F730" s="60">
        <v>16.585999999999999</v>
      </c>
      <c r="G730" s="60">
        <v>69.106999999999999</v>
      </c>
      <c r="H730" s="60">
        <v>1.1948000000000001</v>
      </c>
    </row>
    <row r="731" spans="1:8" x14ac:dyDescent="0.15">
      <c r="A731" s="60" t="s">
        <v>13</v>
      </c>
      <c r="B731" s="60">
        <v>2500</v>
      </c>
      <c r="C731" s="60">
        <v>24</v>
      </c>
      <c r="D731" s="60">
        <v>0.05</v>
      </c>
      <c r="E731" s="60">
        <v>625.23760000000004</v>
      </c>
      <c r="F731" s="60">
        <v>16.542000000000002</v>
      </c>
      <c r="G731" s="60">
        <v>68.923100000000005</v>
      </c>
      <c r="H731" s="60">
        <v>1.1988000000000001</v>
      </c>
    </row>
    <row r="732" spans="1:8" x14ac:dyDescent="0.15">
      <c r="A732" s="60" t="s">
        <v>13</v>
      </c>
      <c r="B732" s="60">
        <v>2500</v>
      </c>
      <c r="C732" s="60">
        <v>24</v>
      </c>
      <c r="D732" s="60">
        <v>4.99E-2</v>
      </c>
      <c r="E732" s="60">
        <v>625.83860000000004</v>
      </c>
      <c r="F732" s="60">
        <v>16.556999999999999</v>
      </c>
      <c r="G732" s="60">
        <v>68.989400000000003</v>
      </c>
      <c r="H732" s="60">
        <v>1.1978</v>
      </c>
    </row>
    <row r="733" spans="1:8" x14ac:dyDescent="0.15">
      <c r="A733" s="60" t="s">
        <v>13</v>
      </c>
      <c r="B733" s="60">
        <v>2500</v>
      </c>
      <c r="C733" s="60">
        <v>24</v>
      </c>
      <c r="D733" s="60">
        <v>4.9799999999999997E-2</v>
      </c>
      <c r="E733" s="60">
        <v>627.05679999999995</v>
      </c>
      <c r="F733" s="60">
        <v>16.59</v>
      </c>
      <c r="G733" s="60">
        <v>69.123599999999996</v>
      </c>
      <c r="H733" s="60">
        <v>1.1958</v>
      </c>
    </row>
    <row r="734" spans="1:8" x14ac:dyDescent="0.15">
      <c r="A734" s="60" t="s">
        <v>13</v>
      </c>
      <c r="B734" s="60">
        <v>2500</v>
      </c>
      <c r="C734" s="60">
        <v>24</v>
      </c>
      <c r="D734" s="60">
        <v>4.99E-2</v>
      </c>
      <c r="E734" s="60">
        <v>625.65070000000003</v>
      </c>
      <c r="F734" s="60">
        <v>16.552</v>
      </c>
      <c r="G734" s="60">
        <v>68.968599999999995</v>
      </c>
      <c r="H734" s="60">
        <v>1.1968000000000001</v>
      </c>
    </row>
    <row r="735" spans="1:8" x14ac:dyDescent="0.15">
      <c r="A735" s="60" t="s">
        <v>13</v>
      </c>
      <c r="B735" s="60">
        <v>2500</v>
      </c>
      <c r="C735" s="60">
        <v>24</v>
      </c>
      <c r="D735" s="60">
        <v>4.99E-2</v>
      </c>
      <c r="E735" s="60">
        <v>626.85550000000001</v>
      </c>
      <c r="F735" s="60">
        <v>16.584</v>
      </c>
      <c r="G735" s="60">
        <v>69.101500000000001</v>
      </c>
      <c r="H735" s="60">
        <v>1.1948000000000001</v>
      </c>
    </row>
    <row r="736" spans="1:8" x14ac:dyDescent="0.15">
      <c r="A736" s="60" t="s">
        <v>13</v>
      </c>
      <c r="B736" s="60">
        <v>2500</v>
      </c>
      <c r="C736" s="60">
        <v>24</v>
      </c>
      <c r="D736" s="60">
        <v>4.99E-2</v>
      </c>
      <c r="E736" s="60">
        <v>625.85119999999995</v>
      </c>
      <c r="F736" s="60">
        <v>16.558</v>
      </c>
      <c r="G736" s="60">
        <v>68.990700000000004</v>
      </c>
      <c r="H736" s="60">
        <v>1.1968000000000001</v>
      </c>
    </row>
    <row r="737" spans="1:8" x14ac:dyDescent="0.15">
      <c r="A737" s="60" t="s">
        <v>13</v>
      </c>
      <c r="B737" s="60">
        <v>2500</v>
      </c>
      <c r="C737" s="60">
        <v>24</v>
      </c>
      <c r="D737" s="60">
        <v>4.99E-2</v>
      </c>
      <c r="E737" s="60">
        <v>626.65440000000001</v>
      </c>
      <c r="F737" s="60">
        <v>16.579000000000001</v>
      </c>
      <c r="G737" s="60">
        <v>69.079300000000003</v>
      </c>
      <c r="H737" s="60">
        <v>1.1958</v>
      </c>
    </row>
    <row r="738" spans="1:8" x14ac:dyDescent="0.15">
      <c r="A738" s="60" t="s">
        <v>13</v>
      </c>
      <c r="B738" s="60">
        <v>2500</v>
      </c>
      <c r="C738" s="60">
        <v>24</v>
      </c>
      <c r="D738" s="60">
        <v>4.9799999999999997E-2</v>
      </c>
      <c r="E738" s="60">
        <v>626.99379999999996</v>
      </c>
      <c r="F738" s="60">
        <v>16.588000000000001</v>
      </c>
      <c r="G738" s="60">
        <v>69.116699999999994</v>
      </c>
      <c r="H738" s="60">
        <v>1.1958</v>
      </c>
    </row>
    <row r="739" spans="1:8" x14ac:dyDescent="0.15">
      <c r="A739" s="60" t="s">
        <v>13</v>
      </c>
      <c r="B739" s="60">
        <v>2500</v>
      </c>
      <c r="C739" s="60">
        <v>24</v>
      </c>
      <c r="D739" s="60">
        <v>0.05</v>
      </c>
      <c r="E739" s="60">
        <v>624.96249999999998</v>
      </c>
      <c r="F739" s="60">
        <v>16.533999999999999</v>
      </c>
      <c r="G739" s="60">
        <v>68.892799999999994</v>
      </c>
      <c r="H739" s="60">
        <v>1.1998</v>
      </c>
    </row>
    <row r="740" spans="1:8" x14ac:dyDescent="0.15">
      <c r="A740" s="60" t="s">
        <v>13</v>
      </c>
      <c r="B740" s="60">
        <v>2500</v>
      </c>
      <c r="C740" s="60">
        <v>24</v>
      </c>
      <c r="D740" s="60">
        <v>4.9799999999999997E-2</v>
      </c>
      <c r="E740" s="60">
        <v>627.06939999999997</v>
      </c>
      <c r="F740" s="60">
        <v>16.59</v>
      </c>
      <c r="G740" s="60">
        <v>69.125</v>
      </c>
      <c r="H740" s="60">
        <v>1.1948000000000001</v>
      </c>
    </row>
    <row r="741" spans="1:8" x14ac:dyDescent="0.15">
      <c r="A741" s="60" t="s">
        <v>13</v>
      </c>
      <c r="B741" s="60">
        <v>2500</v>
      </c>
      <c r="C741" s="60">
        <v>24</v>
      </c>
      <c r="D741" s="60">
        <v>4.99E-2</v>
      </c>
      <c r="E741" s="60">
        <v>625.66319999999996</v>
      </c>
      <c r="F741" s="60">
        <v>16.553000000000001</v>
      </c>
      <c r="G741" s="60">
        <v>68.97</v>
      </c>
      <c r="H741" s="60">
        <v>1.1978</v>
      </c>
    </row>
    <row r="742" spans="1:8" x14ac:dyDescent="0.15">
      <c r="A742" s="60" t="s">
        <v>13</v>
      </c>
      <c r="B742" s="60">
        <v>2500</v>
      </c>
      <c r="C742" s="60">
        <v>24</v>
      </c>
      <c r="D742" s="60">
        <v>4.99E-2</v>
      </c>
      <c r="E742" s="60">
        <v>626.7423</v>
      </c>
      <c r="F742" s="60">
        <v>16.581</v>
      </c>
      <c r="G742" s="60">
        <v>69.088999999999999</v>
      </c>
      <c r="H742" s="60">
        <v>1.1948000000000001</v>
      </c>
    </row>
    <row r="743" spans="1:8" x14ac:dyDescent="0.15">
      <c r="A743" s="60" t="s">
        <v>13</v>
      </c>
      <c r="B743" s="60">
        <v>2500</v>
      </c>
      <c r="C743" s="60">
        <v>24</v>
      </c>
      <c r="D743" s="60">
        <v>4.9799999999999997E-2</v>
      </c>
      <c r="E743" s="60">
        <v>627.03160000000003</v>
      </c>
      <c r="F743" s="60">
        <v>16.588999999999999</v>
      </c>
      <c r="G743" s="60">
        <v>69.120900000000006</v>
      </c>
      <c r="H743" s="60">
        <v>1.1948000000000001</v>
      </c>
    </row>
    <row r="744" spans="1:8" x14ac:dyDescent="0.15">
      <c r="A744" s="60" t="s">
        <v>13</v>
      </c>
      <c r="B744" s="60">
        <v>2500</v>
      </c>
      <c r="C744" s="60">
        <v>24</v>
      </c>
      <c r="D744" s="60">
        <v>0.05</v>
      </c>
      <c r="E744" s="60">
        <v>625.58799999999997</v>
      </c>
      <c r="F744" s="60">
        <v>16.550999999999998</v>
      </c>
      <c r="G744" s="60">
        <v>68.961699999999993</v>
      </c>
      <c r="H744" s="60">
        <v>1.1988000000000001</v>
      </c>
    </row>
    <row r="745" spans="1:8" x14ac:dyDescent="0.15">
      <c r="A745" s="60" t="s">
        <v>13</v>
      </c>
      <c r="B745" s="60">
        <v>2500</v>
      </c>
      <c r="C745" s="60">
        <v>24</v>
      </c>
      <c r="D745" s="60">
        <v>4.99E-2</v>
      </c>
      <c r="E745" s="60">
        <v>626.44079999999997</v>
      </c>
      <c r="F745" s="60">
        <v>16.573</v>
      </c>
      <c r="G745" s="60">
        <v>69.055700000000002</v>
      </c>
      <c r="H745" s="60">
        <v>1.1958</v>
      </c>
    </row>
    <row r="746" spans="1:8" x14ac:dyDescent="0.15">
      <c r="A746" s="60" t="s">
        <v>13</v>
      </c>
      <c r="B746" s="60">
        <v>2500</v>
      </c>
      <c r="C746" s="60">
        <v>24</v>
      </c>
      <c r="D746" s="60">
        <v>0.05</v>
      </c>
      <c r="E746" s="60">
        <v>625.60059999999999</v>
      </c>
      <c r="F746" s="60">
        <v>16.550999999999998</v>
      </c>
      <c r="G746" s="60">
        <v>68.963099999999997</v>
      </c>
      <c r="H746" s="60">
        <v>1.1978</v>
      </c>
    </row>
    <row r="747" spans="1:8" x14ac:dyDescent="0.15">
      <c r="A747" s="60" t="s">
        <v>13</v>
      </c>
      <c r="B747" s="60">
        <v>2500</v>
      </c>
      <c r="C747" s="60">
        <v>24</v>
      </c>
      <c r="D747" s="60">
        <v>4.99E-2</v>
      </c>
      <c r="E747" s="60">
        <v>626.50360000000001</v>
      </c>
      <c r="F747" s="60">
        <v>16.574999999999999</v>
      </c>
      <c r="G747" s="60">
        <v>69.062700000000007</v>
      </c>
      <c r="H747" s="60">
        <v>1.1948000000000001</v>
      </c>
    </row>
    <row r="748" spans="1:8" x14ac:dyDescent="0.15">
      <c r="A748" s="60" t="s">
        <v>13</v>
      </c>
      <c r="B748" s="60">
        <v>2500</v>
      </c>
      <c r="C748" s="60">
        <v>24</v>
      </c>
      <c r="D748" s="60">
        <v>4.9799999999999997E-2</v>
      </c>
      <c r="E748" s="60">
        <v>627.69910000000004</v>
      </c>
      <c r="F748" s="60">
        <v>16.606999999999999</v>
      </c>
      <c r="G748" s="60">
        <v>69.194500000000005</v>
      </c>
      <c r="H748" s="60">
        <v>1.1938</v>
      </c>
    </row>
    <row r="749" spans="1:8" x14ac:dyDescent="0.15">
      <c r="A749" s="60" t="s">
        <v>13</v>
      </c>
      <c r="B749" s="60">
        <v>2500</v>
      </c>
      <c r="C749" s="60">
        <v>24</v>
      </c>
      <c r="D749" s="60">
        <v>0.05</v>
      </c>
      <c r="E749" s="60">
        <v>625.02499999999998</v>
      </c>
      <c r="F749" s="60">
        <v>16.536000000000001</v>
      </c>
      <c r="G749" s="60">
        <v>68.899699999999996</v>
      </c>
      <c r="H749" s="60">
        <v>1.1988000000000001</v>
      </c>
    </row>
    <row r="750" spans="1:8" x14ac:dyDescent="0.15">
      <c r="A750" s="60" t="s">
        <v>13</v>
      </c>
      <c r="B750" s="60">
        <v>2500</v>
      </c>
      <c r="C750" s="60">
        <v>24</v>
      </c>
      <c r="D750" s="60">
        <v>4.99E-2</v>
      </c>
      <c r="E750" s="60">
        <v>626.46590000000003</v>
      </c>
      <c r="F750" s="60">
        <v>16.574000000000002</v>
      </c>
      <c r="G750" s="60">
        <v>69.058499999999995</v>
      </c>
      <c r="H750" s="60">
        <v>1.1958</v>
      </c>
    </row>
    <row r="751" spans="1:8" x14ac:dyDescent="0.15">
      <c r="A751" s="60" t="s">
        <v>13</v>
      </c>
      <c r="B751" s="60">
        <v>2500</v>
      </c>
      <c r="C751" s="60">
        <v>24</v>
      </c>
      <c r="D751" s="60">
        <v>4.99E-2</v>
      </c>
      <c r="E751" s="60">
        <v>625.95140000000004</v>
      </c>
      <c r="F751" s="60">
        <v>16.559999999999999</v>
      </c>
      <c r="G751" s="60">
        <v>69.001800000000003</v>
      </c>
      <c r="H751" s="60">
        <v>1.1978</v>
      </c>
    </row>
    <row r="752" spans="1:8" x14ac:dyDescent="0.15">
      <c r="A752" s="60" t="s">
        <v>13</v>
      </c>
      <c r="B752" s="60">
        <v>2500</v>
      </c>
      <c r="C752" s="60">
        <v>24</v>
      </c>
      <c r="D752" s="60">
        <v>4.99E-2</v>
      </c>
      <c r="E752" s="60">
        <v>625.90129999999999</v>
      </c>
      <c r="F752" s="60">
        <v>16.559000000000001</v>
      </c>
      <c r="G752" s="60">
        <v>68.996300000000005</v>
      </c>
      <c r="H752" s="60">
        <v>1.1968000000000001</v>
      </c>
    </row>
    <row r="753" spans="1:8" x14ac:dyDescent="0.15">
      <c r="A753" s="60" t="s">
        <v>13</v>
      </c>
      <c r="B753" s="60">
        <v>2500</v>
      </c>
      <c r="C753" s="60">
        <v>24</v>
      </c>
      <c r="D753" s="60">
        <v>4.9799999999999997E-2</v>
      </c>
      <c r="E753" s="60">
        <v>627.1952</v>
      </c>
      <c r="F753" s="60">
        <v>16.593</v>
      </c>
      <c r="G753" s="60">
        <v>69.138900000000007</v>
      </c>
      <c r="H753" s="60">
        <v>1.1868000000000001</v>
      </c>
    </row>
    <row r="754" spans="1:8" x14ac:dyDescent="0.15">
      <c r="A754" s="60" t="s">
        <v>13</v>
      </c>
      <c r="B754" s="60">
        <v>2500</v>
      </c>
      <c r="C754" s="60">
        <v>24</v>
      </c>
      <c r="D754" s="60">
        <v>0.05</v>
      </c>
      <c r="E754" s="60">
        <v>625.26260000000002</v>
      </c>
      <c r="F754" s="60">
        <v>16.542000000000002</v>
      </c>
      <c r="G754" s="60">
        <v>68.925899999999999</v>
      </c>
      <c r="H754" s="60">
        <v>1.1998</v>
      </c>
    </row>
    <row r="755" spans="1:8" x14ac:dyDescent="0.15">
      <c r="A755" s="60" t="s">
        <v>13</v>
      </c>
      <c r="B755" s="60">
        <v>2500</v>
      </c>
      <c r="C755" s="60">
        <v>24</v>
      </c>
      <c r="D755" s="60">
        <v>4.99E-2</v>
      </c>
      <c r="E755" s="60">
        <v>626.81780000000003</v>
      </c>
      <c r="F755" s="60">
        <v>16.582999999999998</v>
      </c>
      <c r="G755" s="60">
        <v>69.097300000000004</v>
      </c>
      <c r="H755" s="60">
        <v>1.1918</v>
      </c>
    </row>
    <row r="756" spans="1:8" x14ac:dyDescent="0.15">
      <c r="A756" s="60" t="s">
        <v>13</v>
      </c>
      <c r="B756" s="60">
        <v>2500</v>
      </c>
      <c r="C756" s="60">
        <v>24</v>
      </c>
      <c r="D756" s="60">
        <v>0.05</v>
      </c>
      <c r="E756" s="60">
        <v>625.1</v>
      </c>
      <c r="F756" s="60">
        <v>16.538</v>
      </c>
      <c r="G756" s="60">
        <v>68.907899999999998</v>
      </c>
      <c r="H756" s="60">
        <v>1.1988000000000001</v>
      </c>
    </row>
    <row r="757" spans="1:8" x14ac:dyDescent="0.15">
      <c r="A757" s="60" t="s">
        <v>13</v>
      </c>
      <c r="B757" s="60">
        <v>2500</v>
      </c>
      <c r="C757" s="60">
        <v>24</v>
      </c>
      <c r="D757" s="60">
        <v>4.99E-2</v>
      </c>
      <c r="E757" s="60">
        <v>626.17719999999997</v>
      </c>
      <c r="F757" s="60">
        <v>16.565999999999999</v>
      </c>
      <c r="G757" s="60">
        <v>69.026700000000005</v>
      </c>
      <c r="H757" s="60">
        <v>1.2078</v>
      </c>
    </row>
    <row r="758" spans="1:8" x14ac:dyDescent="0.15">
      <c r="A758" s="60" t="s">
        <v>13</v>
      </c>
      <c r="B758" s="60">
        <v>2500</v>
      </c>
      <c r="C758" s="60">
        <v>24</v>
      </c>
      <c r="D758" s="60">
        <v>4.9799999999999997E-2</v>
      </c>
      <c r="E758" s="60">
        <v>626.94349999999997</v>
      </c>
      <c r="F758" s="60">
        <v>16.587</v>
      </c>
      <c r="G758" s="60">
        <v>69.111199999999997</v>
      </c>
      <c r="H758" s="60">
        <v>1.1948000000000001</v>
      </c>
    </row>
    <row r="759" spans="1:8" x14ac:dyDescent="0.15">
      <c r="A759" s="60" t="s">
        <v>13</v>
      </c>
      <c r="B759" s="60">
        <v>2500</v>
      </c>
      <c r="C759" s="60">
        <v>24</v>
      </c>
      <c r="D759" s="60">
        <v>0.05</v>
      </c>
      <c r="E759" s="60">
        <v>624.88750000000005</v>
      </c>
      <c r="F759" s="60">
        <v>16.532</v>
      </c>
      <c r="G759" s="60">
        <v>68.884500000000003</v>
      </c>
      <c r="H759" s="60">
        <v>1.1948000000000001</v>
      </c>
    </row>
    <row r="760" spans="1:8" x14ac:dyDescent="0.15">
      <c r="A760" s="60" t="s">
        <v>13</v>
      </c>
      <c r="B760" s="60">
        <v>2500</v>
      </c>
      <c r="C760" s="60">
        <v>24</v>
      </c>
      <c r="D760" s="60">
        <v>4.9799999999999997E-2</v>
      </c>
      <c r="E760" s="60">
        <v>627.40930000000003</v>
      </c>
      <c r="F760" s="60">
        <v>16.599</v>
      </c>
      <c r="G760" s="60">
        <v>69.162499999999994</v>
      </c>
      <c r="H760" s="60">
        <v>1.1878</v>
      </c>
    </row>
    <row r="761" spans="1:8" x14ac:dyDescent="0.15">
      <c r="A761" s="60" t="s">
        <v>13</v>
      </c>
      <c r="B761" s="60">
        <v>2500</v>
      </c>
      <c r="C761" s="60">
        <v>24</v>
      </c>
      <c r="D761" s="60">
        <v>4.99E-2</v>
      </c>
      <c r="E761" s="60">
        <v>625.96400000000006</v>
      </c>
      <c r="F761" s="60">
        <v>16.561</v>
      </c>
      <c r="G761" s="60">
        <v>69.003200000000007</v>
      </c>
      <c r="H761" s="60">
        <v>1.1898</v>
      </c>
    </row>
    <row r="762" spans="1:8" x14ac:dyDescent="0.15">
      <c r="A762" s="60" t="s">
        <v>13</v>
      </c>
      <c r="B762" s="60">
        <v>2500</v>
      </c>
      <c r="C762" s="60">
        <v>24</v>
      </c>
      <c r="D762" s="60">
        <v>4.9799999999999997E-2</v>
      </c>
      <c r="E762" s="60">
        <v>627.35889999999995</v>
      </c>
      <c r="F762" s="60">
        <v>16.597999999999999</v>
      </c>
      <c r="G762" s="60">
        <v>69.156899999999993</v>
      </c>
      <c r="H762" s="60">
        <v>1.1878</v>
      </c>
    </row>
    <row r="763" spans="1:8" x14ac:dyDescent="0.15">
      <c r="A763" s="60" t="s">
        <v>13</v>
      </c>
      <c r="B763" s="60">
        <v>2500</v>
      </c>
      <c r="C763" s="60">
        <v>24</v>
      </c>
      <c r="D763" s="60">
        <v>4.9700000000000001E-2</v>
      </c>
      <c r="E763" s="60">
        <v>628.5829</v>
      </c>
      <c r="F763" s="60">
        <v>16.63</v>
      </c>
      <c r="G763" s="60">
        <v>69.291899999999998</v>
      </c>
      <c r="H763" s="60">
        <v>1.1858</v>
      </c>
    </row>
    <row r="764" spans="1:8" x14ac:dyDescent="0.15">
      <c r="A764" s="60" t="s">
        <v>13</v>
      </c>
      <c r="B764" s="60">
        <v>2500</v>
      </c>
      <c r="C764" s="60">
        <v>24</v>
      </c>
      <c r="D764" s="60">
        <v>0.05</v>
      </c>
      <c r="E764" s="60">
        <v>625.3501</v>
      </c>
      <c r="F764" s="60">
        <v>16.545000000000002</v>
      </c>
      <c r="G764" s="60">
        <v>68.935500000000005</v>
      </c>
      <c r="H764" s="60">
        <v>1.1948000000000001</v>
      </c>
    </row>
    <row r="765" spans="1:8" x14ac:dyDescent="0.15">
      <c r="A765" s="60" t="s">
        <v>13</v>
      </c>
      <c r="B765" s="60">
        <v>2500</v>
      </c>
      <c r="C765" s="60">
        <v>24</v>
      </c>
      <c r="D765" s="60">
        <v>4.99E-2</v>
      </c>
      <c r="E765" s="60">
        <v>626.78009999999995</v>
      </c>
      <c r="F765" s="60">
        <v>16.582000000000001</v>
      </c>
      <c r="G765" s="60">
        <v>69.093100000000007</v>
      </c>
      <c r="H765" s="60">
        <v>1.1948000000000001</v>
      </c>
    </row>
    <row r="766" spans="1:8" x14ac:dyDescent="0.15">
      <c r="A766" s="60" t="s">
        <v>13</v>
      </c>
      <c r="B766" s="60">
        <v>2500</v>
      </c>
      <c r="C766" s="60">
        <v>24</v>
      </c>
      <c r="D766" s="60">
        <v>4.99E-2</v>
      </c>
      <c r="E766" s="60">
        <v>625.81359999999995</v>
      </c>
      <c r="F766" s="60">
        <v>16.556999999999999</v>
      </c>
      <c r="G766" s="60">
        <v>68.986599999999996</v>
      </c>
      <c r="H766" s="60">
        <v>1.1958</v>
      </c>
    </row>
    <row r="767" spans="1:8" x14ac:dyDescent="0.15">
      <c r="A767" s="60" t="s">
        <v>13</v>
      </c>
      <c r="B767" s="60">
        <v>2505</v>
      </c>
      <c r="C767" s="60">
        <v>1</v>
      </c>
      <c r="D767" s="60">
        <v>1.3030999999999999</v>
      </c>
      <c r="E767" s="60">
        <v>24.125</v>
      </c>
      <c r="F767" s="60">
        <v>1</v>
      </c>
      <c r="G767" s="60">
        <v>100</v>
      </c>
      <c r="H767" s="60">
        <v>9.5175999999999998</v>
      </c>
    </row>
    <row r="768" spans="1:8" x14ac:dyDescent="0.15">
      <c r="A768" s="60" t="s">
        <v>13</v>
      </c>
      <c r="B768" s="60">
        <v>2505</v>
      </c>
      <c r="C768" s="60">
        <v>1</v>
      </c>
      <c r="D768" s="60">
        <v>0.71699999999999997</v>
      </c>
      <c r="E768" s="60">
        <v>43.848300000000002</v>
      </c>
      <c r="F768" s="60">
        <v>1.8180000000000001</v>
      </c>
      <c r="G768" s="60">
        <v>181.755</v>
      </c>
      <c r="H768" s="60">
        <v>0.71689999999999998</v>
      </c>
    </row>
    <row r="769" spans="1:8" x14ac:dyDescent="0.15">
      <c r="A769" s="60" t="s">
        <v>13</v>
      </c>
      <c r="B769" s="60">
        <v>2505</v>
      </c>
      <c r="C769" s="60">
        <v>1</v>
      </c>
      <c r="D769" s="60">
        <v>0.71709999999999996</v>
      </c>
      <c r="E769" s="60">
        <v>43.837299999999999</v>
      </c>
      <c r="F769" s="60">
        <v>1.8169999999999999</v>
      </c>
      <c r="G769" s="60">
        <v>181.70939999999999</v>
      </c>
      <c r="H769" s="60">
        <v>0.71589999999999998</v>
      </c>
    </row>
    <row r="770" spans="1:8" x14ac:dyDescent="0.15">
      <c r="A770" s="60" t="s">
        <v>13</v>
      </c>
      <c r="B770" s="60">
        <v>2505</v>
      </c>
      <c r="C770" s="60">
        <v>1</v>
      </c>
      <c r="D770" s="60">
        <v>0.71730000000000005</v>
      </c>
      <c r="E770" s="60">
        <v>43.8309</v>
      </c>
      <c r="F770" s="60">
        <v>1.8169999999999999</v>
      </c>
      <c r="G770" s="60">
        <v>181.68279999999999</v>
      </c>
      <c r="H770" s="60">
        <v>0.71789999999999998</v>
      </c>
    </row>
    <row r="771" spans="1:8" x14ac:dyDescent="0.15">
      <c r="A771" s="60" t="s">
        <v>13</v>
      </c>
      <c r="B771" s="60">
        <v>2505</v>
      </c>
      <c r="C771" s="60">
        <v>1</v>
      </c>
      <c r="D771" s="60">
        <v>0.71650000000000003</v>
      </c>
      <c r="E771" s="60">
        <v>43.874400000000001</v>
      </c>
      <c r="F771" s="60">
        <v>1.819</v>
      </c>
      <c r="G771" s="60">
        <v>181.8631</v>
      </c>
      <c r="H771" s="60">
        <v>0.71589999999999998</v>
      </c>
    </row>
    <row r="772" spans="1:8" x14ac:dyDescent="0.15">
      <c r="A772" s="60" t="s">
        <v>13</v>
      </c>
      <c r="B772" s="60">
        <v>2505</v>
      </c>
      <c r="C772" s="60">
        <v>1</v>
      </c>
      <c r="D772" s="60">
        <v>0.71679999999999999</v>
      </c>
      <c r="E772" s="60">
        <v>43.856099999999998</v>
      </c>
      <c r="F772" s="60">
        <v>1.8180000000000001</v>
      </c>
      <c r="G772" s="60">
        <v>181.78720000000001</v>
      </c>
      <c r="H772" s="60">
        <v>0.71589999999999998</v>
      </c>
    </row>
    <row r="773" spans="1:8" x14ac:dyDescent="0.15">
      <c r="A773" s="60" t="s">
        <v>13</v>
      </c>
      <c r="B773" s="60">
        <v>2505</v>
      </c>
      <c r="C773" s="60">
        <v>23</v>
      </c>
      <c r="D773" s="60">
        <v>5.9200000000000003E-2</v>
      </c>
      <c r="E773" s="60">
        <v>530.62390000000005</v>
      </c>
      <c r="F773" s="60">
        <v>21.995000000000001</v>
      </c>
      <c r="G773" s="60">
        <v>95.6297</v>
      </c>
      <c r="H773" s="60">
        <v>1.2678</v>
      </c>
    </row>
    <row r="774" spans="1:8" x14ac:dyDescent="0.15">
      <c r="A774" s="60" t="s">
        <v>13</v>
      </c>
      <c r="B774" s="60">
        <v>2505</v>
      </c>
      <c r="C774" s="60">
        <v>23</v>
      </c>
      <c r="D774" s="60">
        <v>4.7399999999999998E-2</v>
      </c>
      <c r="E774" s="60">
        <v>663.00850000000003</v>
      </c>
      <c r="F774" s="60">
        <v>27.481999999999999</v>
      </c>
      <c r="G774" s="60">
        <v>119.48820000000001</v>
      </c>
      <c r="H774" s="60">
        <v>1.0898000000000001</v>
      </c>
    </row>
    <row r="775" spans="1:8" x14ac:dyDescent="0.15">
      <c r="A775" s="60" t="s">
        <v>13</v>
      </c>
      <c r="B775" s="60">
        <v>2505</v>
      </c>
      <c r="C775" s="60">
        <v>23</v>
      </c>
      <c r="D775" s="60">
        <v>4.7E-2</v>
      </c>
      <c r="E775" s="60">
        <v>668.84820000000002</v>
      </c>
      <c r="F775" s="60">
        <v>27.724</v>
      </c>
      <c r="G775" s="60">
        <v>120.5406</v>
      </c>
      <c r="H775" s="60">
        <v>1.0798000000000001</v>
      </c>
    </row>
    <row r="776" spans="1:8" x14ac:dyDescent="0.15">
      <c r="A776" s="60" t="s">
        <v>13</v>
      </c>
      <c r="B776" s="60">
        <v>2505</v>
      </c>
      <c r="C776" s="60">
        <v>23</v>
      </c>
      <c r="D776" s="60">
        <v>4.8000000000000001E-2</v>
      </c>
      <c r="E776" s="60">
        <v>654.72379999999998</v>
      </c>
      <c r="F776" s="60">
        <v>27.138999999999999</v>
      </c>
      <c r="G776" s="60">
        <v>117.99509999999999</v>
      </c>
      <c r="H776" s="60">
        <v>1.1037999999999999</v>
      </c>
    </row>
    <row r="777" spans="1:8" x14ac:dyDescent="0.15">
      <c r="A777" s="60" t="s">
        <v>13</v>
      </c>
      <c r="B777" s="60">
        <v>2505</v>
      </c>
      <c r="C777" s="60">
        <v>23</v>
      </c>
      <c r="D777" s="60">
        <v>4.8599999999999997E-2</v>
      </c>
      <c r="E777" s="60">
        <v>646.298</v>
      </c>
      <c r="F777" s="60">
        <v>26.79</v>
      </c>
      <c r="G777" s="60">
        <v>116.4766</v>
      </c>
      <c r="H777" s="60">
        <v>1.1177999999999999</v>
      </c>
    </row>
    <row r="778" spans="1:8" x14ac:dyDescent="0.15">
      <c r="A778" s="60" t="s">
        <v>13</v>
      </c>
      <c r="B778" s="60">
        <v>2505</v>
      </c>
      <c r="C778" s="60">
        <v>23</v>
      </c>
      <c r="D778" s="60">
        <v>4.87E-2</v>
      </c>
      <c r="E778" s="60">
        <v>645.70069999999998</v>
      </c>
      <c r="F778" s="60">
        <v>26.765000000000001</v>
      </c>
      <c r="G778" s="60">
        <v>116.3689</v>
      </c>
      <c r="H778" s="60">
        <v>1.1188</v>
      </c>
    </row>
    <row r="779" spans="1:8" x14ac:dyDescent="0.15">
      <c r="A779" s="60" t="s">
        <v>13</v>
      </c>
      <c r="B779" s="60">
        <v>2505</v>
      </c>
      <c r="C779" s="60">
        <v>23</v>
      </c>
      <c r="D779" s="60">
        <v>4.8800000000000003E-2</v>
      </c>
      <c r="E779" s="60">
        <v>644.35080000000005</v>
      </c>
      <c r="F779" s="60">
        <v>26.709</v>
      </c>
      <c r="G779" s="60">
        <v>116.12560000000001</v>
      </c>
      <c r="H779" s="60">
        <v>1.1197999999999999</v>
      </c>
    </row>
    <row r="780" spans="1:8" x14ac:dyDescent="0.15">
      <c r="A780" s="60" t="s">
        <v>13</v>
      </c>
      <c r="B780" s="60">
        <v>2505</v>
      </c>
      <c r="C780" s="60">
        <v>23</v>
      </c>
      <c r="D780" s="60">
        <v>4.87E-2</v>
      </c>
      <c r="E780" s="60">
        <v>645.70069999999998</v>
      </c>
      <c r="F780" s="60">
        <v>26.765000000000001</v>
      </c>
      <c r="G780" s="60">
        <v>116.3689</v>
      </c>
      <c r="H780" s="60">
        <v>1.1197999999999999</v>
      </c>
    </row>
    <row r="781" spans="1:8" x14ac:dyDescent="0.15">
      <c r="A781" s="60" t="s">
        <v>13</v>
      </c>
      <c r="B781" s="60">
        <v>2505</v>
      </c>
      <c r="C781" s="60">
        <v>23</v>
      </c>
      <c r="D781" s="60">
        <v>4.87E-2</v>
      </c>
      <c r="E781" s="60">
        <v>645.32950000000005</v>
      </c>
      <c r="F781" s="60">
        <v>26.748999999999999</v>
      </c>
      <c r="G781" s="60">
        <v>116.30200000000001</v>
      </c>
      <c r="H781" s="60">
        <v>1.1208</v>
      </c>
    </row>
    <row r="782" spans="1:8" x14ac:dyDescent="0.15">
      <c r="A782" s="60" t="s">
        <v>13</v>
      </c>
      <c r="B782" s="60">
        <v>2505</v>
      </c>
      <c r="C782" s="60">
        <v>23</v>
      </c>
      <c r="D782" s="60">
        <v>4.8800000000000003E-2</v>
      </c>
      <c r="E782" s="60">
        <v>643.61210000000005</v>
      </c>
      <c r="F782" s="60">
        <v>26.678000000000001</v>
      </c>
      <c r="G782" s="60">
        <v>115.99250000000001</v>
      </c>
      <c r="H782" s="60">
        <v>1.1217999999999999</v>
      </c>
    </row>
    <row r="783" spans="1:8" x14ac:dyDescent="0.15">
      <c r="A783" s="60" t="s">
        <v>13</v>
      </c>
      <c r="B783" s="60">
        <v>2505</v>
      </c>
      <c r="C783" s="60">
        <v>23</v>
      </c>
      <c r="D783" s="60">
        <v>4.8899999999999999E-2</v>
      </c>
      <c r="E783" s="60">
        <v>643.38810000000001</v>
      </c>
      <c r="F783" s="60">
        <v>26.669</v>
      </c>
      <c r="G783" s="60">
        <v>115.9521</v>
      </c>
      <c r="H783" s="60">
        <v>1.1228</v>
      </c>
    </row>
    <row r="784" spans="1:8" x14ac:dyDescent="0.15">
      <c r="A784" s="60" t="s">
        <v>13</v>
      </c>
      <c r="B784" s="60">
        <v>2505</v>
      </c>
      <c r="C784" s="60">
        <v>23</v>
      </c>
      <c r="D784" s="60">
        <v>4.8800000000000003E-2</v>
      </c>
      <c r="E784" s="60">
        <v>644.80010000000004</v>
      </c>
      <c r="F784" s="60">
        <v>26.728000000000002</v>
      </c>
      <c r="G784" s="60">
        <v>116.20659999999999</v>
      </c>
      <c r="H784" s="60">
        <v>1.1197999999999999</v>
      </c>
    </row>
    <row r="785" spans="1:8" x14ac:dyDescent="0.15">
      <c r="A785" s="60" t="s">
        <v>13</v>
      </c>
      <c r="B785" s="60">
        <v>2505</v>
      </c>
      <c r="C785" s="60">
        <v>23</v>
      </c>
      <c r="D785" s="60">
        <v>4.8800000000000003E-2</v>
      </c>
      <c r="E785" s="60">
        <v>643.77020000000005</v>
      </c>
      <c r="F785" s="60">
        <v>26.684999999999999</v>
      </c>
      <c r="G785" s="60">
        <v>116.021</v>
      </c>
      <c r="H785" s="60">
        <v>1.1217999999999999</v>
      </c>
    </row>
    <row r="786" spans="1:8" x14ac:dyDescent="0.15">
      <c r="A786" s="60" t="s">
        <v>13</v>
      </c>
      <c r="B786" s="60">
        <v>2505</v>
      </c>
      <c r="C786" s="60">
        <v>23</v>
      </c>
      <c r="D786" s="60">
        <v>4.8899999999999999E-2</v>
      </c>
      <c r="E786" s="60">
        <v>643.21699999999998</v>
      </c>
      <c r="F786" s="60">
        <v>26.661999999999999</v>
      </c>
      <c r="G786" s="60">
        <v>115.9213</v>
      </c>
      <c r="H786" s="60">
        <v>1.1237999999999999</v>
      </c>
    </row>
    <row r="787" spans="1:8" x14ac:dyDescent="0.15">
      <c r="A787" s="60" t="s">
        <v>13</v>
      </c>
      <c r="B787" s="60">
        <v>2505</v>
      </c>
      <c r="C787" s="60">
        <v>23</v>
      </c>
      <c r="D787" s="60">
        <v>4.8800000000000003E-2</v>
      </c>
      <c r="E787" s="60">
        <v>643.83609999999999</v>
      </c>
      <c r="F787" s="60">
        <v>26.687999999999999</v>
      </c>
      <c r="G787" s="60">
        <v>116.0329</v>
      </c>
      <c r="H787" s="60">
        <v>1.1217999999999999</v>
      </c>
    </row>
    <row r="788" spans="1:8" x14ac:dyDescent="0.15">
      <c r="A788" s="60" t="s">
        <v>13</v>
      </c>
      <c r="B788" s="60">
        <v>2505</v>
      </c>
      <c r="C788" s="60">
        <v>23</v>
      </c>
      <c r="D788" s="60">
        <v>4.8899999999999999E-2</v>
      </c>
      <c r="E788" s="60">
        <v>642.31029999999998</v>
      </c>
      <c r="F788" s="60">
        <v>26.623999999999999</v>
      </c>
      <c r="G788" s="60">
        <v>115.75790000000001</v>
      </c>
      <c r="H788" s="60">
        <v>1.1248</v>
      </c>
    </row>
    <row r="789" spans="1:8" x14ac:dyDescent="0.15">
      <c r="A789" s="60" t="s">
        <v>13</v>
      </c>
      <c r="B789" s="60">
        <v>2505</v>
      </c>
      <c r="C789" s="60">
        <v>23</v>
      </c>
      <c r="D789" s="60">
        <v>4.9099999999999998E-2</v>
      </c>
      <c r="E789" s="60">
        <v>639.94370000000004</v>
      </c>
      <c r="F789" s="60">
        <v>26.526</v>
      </c>
      <c r="G789" s="60">
        <v>115.3314</v>
      </c>
      <c r="H789" s="60">
        <v>1.1288</v>
      </c>
    </row>
    <row r="790" spans="1:8" x14ac:dyDescent="0.15">
      <c r="A790" s="60" t="s">
        <v>13</v>
      </c>
      <c r="B790" s="60">
        <v>2505</v>
      </c>
      <c r="C790" s="60">
        <v>23</v>
      </c>
      <c r="D790" s="60">
        <v>4.8800000000000003E-2</v>
      </c>
      <c r="E790" s="60">
        <v>644.21870000000001</v>
      </c>
      <c r="F790" s="60">
        <v>26.702999999999999</v>
      </c>
      <c r="G790" s="60">
        <v>116.1018</v>
      </c>
      <c r="H790" s="60">
        <v>1.1208</v>
      </c>
    </row>
    <row r="791" spans="1:8" x14ac:dyDescent="0.15">
      <c r="A791" s="60" t="s">
        <v>13</v>
      </c>
      <c r="B791" s="60">
        <v>2505</v>
      </c>
      <c r="C791" s="60">
        <v>23</v>
      </c>
      <c r="D791" s="60">
        <v>4.8899999999999999E-2</v>
      </c>
      <c r="E791" s="60">
        <v>643.00649999999996</v>
      </c>
      <c r="F791" s="60">
        <v>26.652999999999999</v>
      </c>
      <c r="G791" s="60">
        <v>115.88339999999999</v>
      </c>
      <c r="H791" s="60">
        <v>1.1208</v>
      </c>
    </row>
    <row r="792" spans="1:8" x14ac:dyDescent="0.15">
      <c r="A792" s="60" t="s">
        <v>13</v>
      </c>
      <c r="B792" s="60">
        <v>2505</v>
      </c>
      <c r="C792" s="60">
        <v>23</v>
      </c>
      <c r="D792" s="60">
        <v>4.8899999999999999E-2</v>
      </c>
      <c r="E792" s="60">
        <v>642.4153</v>
      </c>
      <c r="F792" s="60">
        <v>26.629000000000001</v>
      </c>
      <c r="G792" s="60">
        <v>115.77679999999999</v>
      </c>
      <c r="H792" s="60">
        <v>1.1228</v>
      </c>
    </row>
    <row r="793" spans="1:8" x14ac:dyDescent="0.15">
      <c r="A793" s="60" t="s">
        <v>13</v>
      </c>
      <c r="B793" s="60">
        <v>2505</v>
      </c>
      <c r="C793" s="60">
        <v>23</v>
      </c>
      <c r="D793" s="60">
        <v>4.87E-2</v>
      </c>
      <c r="E793" s="60">
        <v>645.11760000000004</v>
      </c>
      <c r="F793" s="60">
        <v>26.741</v>
      </c>
      <c r="G793" s="60">
        <v>116.2638</v>
      </c>
      <c r="H793" s="60">
        <v>1.1208</v>
      </c>
    </row>
    <row r="794" spans="1:8" x14ac:dyDescent="0.15">
      <c r="A794" s="60" t="s">
        <v>13</v>
      </c>
      <c r="B794" s="60">
        <v>2505</v>
      </c>
      <c r="C794" s="60">
        <v>23</v>
      </c>
      <c r="D794" s="60">
        <v>4.9299999999999997E-2</v>
      </c>
      <c r="E794" s="60">
        <v>637.5299</v>
      </c>
      <c r="F794" s="60">
        <v>26.425999999999998</v>
      </c>
      <c r="G794" s="60">
        <v>114.8964</v>
      </c>
      <c r="H794" s="60">
        <v>1.1337999999999999</v>
      </c>
    </row>
    <row r="795" spans="1:8" x14ac:dyDescent="0.15">
      <c r="A795" s="60" t="s">
        <v>13</v>
      </c>
      <c r="B795" s="60">
        <v>2505</v>
      </c>
      <c r="C795" s="60">
        <v>23</v>
      </c>
      <c r="D795" s="60">
        <v>4.8899999999999999E-2</v>
      </c>
      <c r="E795" s="60">
        <v>642.8356</v>
      </c>
      <c r="F795" s="60">
        <v>26.646000000000001</v>
      </c>
      <c r="G795" s="60">
        <v>115.8526</v>
      </c>
      <c r="H795" s="60">
        <v>1.1237999999999999</v>
      </c>
    </row>
    <row r="796" spans="1:8" x14ac:dyDescent="0.15">
      <c r="A796" s="60" t="s">
        <v>13</v>
      </c>
      <c r="B796" s="60">
        <v>2505</v>
      </c>
      <c r="C796" s="60">
        <v>23</v>
      </c>
      <c r="D796" s="60">
        <v>4.9599999999999998E-2</v>
      </c>
      <c r="E796" s="60">
        <v>634.32690000000002</v>
      </c>
      <c r="F796" s="60">
        <v>26.292999999999999</v>
      </c>
      <c r="G796" s="60">
        <v>114.31910000000001</v>
      </c>
      <c r="H796" s="60">
        <v>1.1388</v>
      </c>
    </row>
    <row r="797" spans="1:8" x14ac:dyDescent="0.15">
      <c r="A797" s="60" t="s">
        <v>13</v>
      </c>
      <c r="B797" s="60">
        <v>2505</v>
      </c>
      <c r="C797" s="60">
        <v>23</v>
      </c>
      <c r="D797" s="60">
        <v>4.8899999999999999E-2</v>
      </c>
      <c r="E797" s="60">
        <v>642.36270000000002</v>
      </c>
      <c r="F797" s="60">
        <v>26.626000000000001</v>
      </c>
      <c r="G797" s="60">
        <v>115.76730000000001</v>
      </c>
      <c r="H797" s="60">
        <v>1.1248</v>
      </c>
    </row>
    <row r="798" spans="1:8" x14ac:dyDescent="0.15">
      <c r="A798" s="60" t="s">
        <v>13</v>
      </c>
      <c r="B798" s="60">
        <v>2505</v>
      </c>
      <c r="C798" s="60">
        <v>23</v>
      </c>
      <c r="D798" s="60">
        <v>4.8800000000000003E-2</v>
      </c>
      <c r="E798" s="60">
        <v>643.98119999999994</v>
      </c>
      <c r="F798" s="60">
        <v>26.693999999999999</v>
      </c>
      <c r="G798" s="60">
        <v>116.059</v>
      </c>
      <c r="H798" s="60">
        <v>1.1217999999999999</v>
      </c>
    </row>
    <row r="799" spans="1:8" x14ac:dyDescent="0.15">
      <c r="A799" s="60" t="s">
        <v>13</v>
      </c>
      <c r="B799" s="60">
        <v>2505</v>
      </c>
      <c r="C799" s="60">
        <v>23</v>
      </c>
      <c r="D799" s="60">
        <v>4.9700000000000001E-2</v>
      </c>
      <c r="E799" s="60">
        <v>633.01139999999998</v>
      </c>
      <c r="F799" s="60">
        <v>26.239000000000001</v>
      </c>
      <c r="G799" s="60">
        <v>114.08199999999999</v>
      </c>
      <c r="H799" s="60">
        <v>1.1408</v>
      </c>
    </row>
    <row r="800" spans="1:8" x14ac:dyDescent="0.15">
      <c r="A800" s="60" t="s">
        <v>13</v>
      </c>
      <c r="B800" s="60">
        <v>2505</v>
      </c>
      <c r="C800" s="60">
        <v>23</v>
      </c>
      <c r="D800" s="60">
        <v>4.9200000000000001E-2</v>
      </c>
      <c r="E800" s="60">
        <v>639.38409999999999</v>
      </c>
      <c r="F800" s="60">
        <v>26.503</v>
      </c>
      <c r="G800" s="60">
        <v>115.23050000000001</v>
      </c>
      <c r="H800" s="60">
        <v>1.1297999999999999</v>
      </c>
    </row>
    <row r="801" spans="1:8" x14ac:dyDescent="0.15">
      <c r="A801" s="60" t="s">
        <v>13</v>
      </c>
      <c r="B801" s="60">
        <v>2505</v>
      </c>
      <c r="C801" s="60">
        <v>23</v>
      </c>
      <c r="D801" s="60">
        <v>4.9000000000000002E-2</v>
      </c>
      <c r="E801" s="60">
        <v>642.19219999999996</v>
      </c>
      <c r="F801" s="60">
        <v>26.619</v>
      </c>
      <c r="G801" s="60">
        <v>115.7366</v>
      </c>
      <c r="H801" s="60">
        <v>1.1248</v>
      </c>
    </row>
    <row r="802" spans="1:8" x14ac:dyDescent="0.15">
      <c r="A802" s="60" t="s">
        <v>13</v>
      </c>
      <c r="B802" s="60">
        <v>2505</v>
      </c>
      <c r="C802" s="60">
        <v>23</v>
      </c>
      <c r="D802" s="60">
        <v>4.8800000000000003E-2</v>
      </c>
      <c r="E802" s="60">
        <v>644.17909999999995</v>
      </c>
      <c r="F802" s="60">
        <v>26.702000000000002</v>
      </c>
      <c r="G802" s="60">
        <v>116.0947</v>
      </c>
      <c r="H802" s="60">
        <v>1.1208</v>
      </c>
    </row>
    <row r="803" spans="1:8" x14ac:dyDescent="0.15">
      <c r="A803" s="60" t="s">
        <v>13</v>
      </c>
      <c r="B803" s="60">
        <v>2505</v>
      </c>
      <c r="C803" s="60">
        <v>23</v>
      </c>
      <c r="D803" s="60">
        <v>4.8800000000000003E-2</v>
      </c>
      <c r="E803" s="60">
        <v>644.52250000000004</v>
      </c>
      <c r="F803" s="60">
        <v>26.716000000000001</v>
      </c>
      <c r="G803" s="60">
        <v>116.1566</v>
      </c>
      <c r="H803" s="60">
        <v>1.1208</v>
      </c>
    </row>
    <row r="804" spans="1:8" x14ac:dyDescent="0.15">
      <c r="A804" s="60" t="s">
        <v>13</v>
      </c>
      <c r="B804" s="60">
        <v>2505</v>
      </c>
      <c r="C804" s="60">
        <v>23</v>
      </c>
      <c r="D804" s="60">
        <v>4.9000000000000002E-2</v>
      </c>
      <c r="E804" s="60">
        <v>641.77269999999999</v>
      </c>
      <c r="F804" s="60">
        <v>26.602</v>
      </c>
      <c r="G804" s="60">
        <v>115.661</v>
      </c>
      <c r="H804" s="60">
        <v>1.1257999999999999</v>
      </c>
    </row>
    <row r="805" spans="1:8" x14ac:dyDescent="0.15">
      <c r="A805" s="60" t="s">
        <v>13</v>
      </c>
      <c r="B805" s="60">
        <v>2505</v>
      </c>
      <c r="C805" s="60">
        <v>23</v>
      </c>
      <c r="D805" s="60">
        <v>4.8800000000000003E-2</v>
      </c>
      <c r="E805" s="60">
        <v>644.31119999999999</v>
      </c>
      <c r="F805" s="60">
        <v>26.707000000000001</v>
      </c>
      <c r="G805" s="60">
        <v>116.1185</v>
      </c>
      <c r="H805" s="60">
        <v>1.1208</v>
      </c>
    </row>
    <row r="806" spans="1:8" x14ac:dyDescent="0.15">
      <c r="A806" s="60" t="s">
        <v>13</v>
      </c>
      <c r="B806" s="60">
        <v>2505</v>
      </c>
      <c r="C806" s="60">
        <v>23</v>
      </c>
      <c r="D806" s="60">
        <v>5.0599999999999999E-2</v>
      </c>
      <c r="E806" s="60">
        <v>621.76880000000006</v>
      </c>
      <c r="F806" s="60">
        <v>25.773</v>
      </c>
      <c r="G806" s="60">
        <v>112.05589999999999</v>
      </c>
      <c r="H806" s="60">
        <v>1.1628000000000001</v>
      </c>
    </row>
    <row r="807" spans="1:8" x14ac:dyDescent="0.15">
      <c r="A807" s="60" t="s">
        <v>13</v>
      </c>
      <c r="B807" s="60">
        <v>2505</v>
      </c>
      <c r="C807" s="60">
        <v>23</v>
      </c>
      <c r="D807" s="60">
        <v>5.16E-2</v>
      </c>
      <c r="E807" s="60">
        <v>609.39099999999996</v>
      </c>
      <c r="F807" s="60">
        <v>25.26</v>
      </c>
      <c r="G807" s="60">
        <v>109.82510000000001</v>
      </c>
      <c r="H807" s="60">
        <v>1.1718</v>
      </c>
    </row>
    <row r="808" spans="1:8" x14ac:dyDescent="0.15">
      <c r="A808" s="60" t="s">
        <v>13</v>
      </c>
      <c r="B808" s="60">
        <v>2505</v>
      </c>
      <c r="C808" s="60">
        <v>23</v>
      </c>
      <c r="D808" s="60">
        <v>5.1299999999999998E-2</v>
      </c>
      <c r="E808" s="60">
        <v>612.9316</v>
      </c>
      <c r="F808" s="60">
        <v>25.407</v>
      </c>
      <c r="G808" s="60">
        <v>110.4632</v>
      </c>
      <c r="H808" s="60">
        <v>1.1798</v>
      </c>
    </row>
    <row r="809" spans="1:8" x14ac:dyDescent="0.15">
      <c r="A809" s="60" t="s">
        <v>13</v>
      </c>
      <c r="B809" s="60">
        <v>2505</v>
      </c>
      <c r="C809" s="60">
        <v>23</v>
      </c>
      <c r="D809" s="60">
        <v>5.1200000000000002E-2</v>
      </c>
      <c r="E809" s="60">
        <v>613.4579</v>
      </c>
      <c r="F809" s="60">
        <v>25.428000000000001</v>
      </c>
      <c r="G809" s="60">
        <v>110.5581</v>
      </c>
      <c r="H809" s="60">
        <v>1.1828000000000001</v>
      </c>
    </row>
    <row r="810" spans="1:8" x14ac:dyDescent="0.15">
      <c r="A810" s="60" t="s">
        <v>13</v>
      </c>
      <c r="B810" s="60">
        <v>2505</v>
      </c>
      <c r="C810" s="60">
        <v>23</v>
      </c>
      <c r="D810" s="60">
        <v>5.11E-2</v>
      </c>
      <c r="E810" s="60">
        <v>614.93380000000002</v>
      </c>
      <c r="F810" s="60">
        <v>25.49</v>
      </c>
      <c r="G810" s="60">
        <v>110.8241</v>
      </c>
      <c r="H810" s="60">
        <v>1.1818</v>
      </c>
    </row>
    <row r="811" spans="1:8" x14ac:dyDescent="0.15">
      <c r="A811" s="60" t="s">
        <v>13</v>
      </c>
      <c r="B811" s="60">
        <v>2505</v>
      </c>
      <c r="C811" s="60">
        <v>23</v>
      </c>
      <c r="D811" s="60">
        <v>5.1299999999999998E-2</v>
      </c>
      <c r="E811" s="60">
        <v>613.01530000000002</v>
      </c>
      <c r="F811" s="60">
        <v>25.41</v>
      </c>
      <c r="G811" s="60">
        <v>110.4783</v>
      </c>
      <c r="H811" s="60">
        <v>1.1788000000000001</v>
      </c>
    </row>
    <row r="812" spans="1:8" x14ac:dyDescent="0.15">
      <c r="A812" s="60" t="s">
        <v>13</v>
      </c>
      <c r="B812" s="60">
        <v>2505</v>
      </c>
      <c r="C812" s="60">
        <v>23</v>
      </c>
      <c r="D812" s="60">
        <v>5.0999999999999997E-2</v>
      </c>
      <c r="E812" s="60">
        <v>616.73119999999994</v>
      </c>
      <c r="F812" s="60">
        <v>25.564</v>
      </c>
      <c r="G812" s="60">
        <v>111.148</v>
      </c>
      <c r="H812" s="60">
        <v>1.1718</v>
      </c>
    </row>
    <row r="813" spans="1:8" x14ac:dyDescent="0.15">
      <c r="A813" s="60" t="s">
        <v>13</v>
      </c>
      <c r="B813" s="60">
        <v>2505</v>
      </c>
      <c r="C813" s="60">
        <v>23</v>
      </c>
      <c r="D813" s="60">
        <v>5.0999999999999997E-2</v>
      </c>
      <c r="E813" s="60">
        <v>616.13890000000004</v>
      </c>
      <c r="F813" s="60">
        <v>25.539000000000001</v>
      </c>
      <c r="G813" s="60">
        <v>111.04130000000001</v>
      </c>
      <c r="H813" s="60">
        <v>1.1728000000000001</v>
      </c>
    </row>
    <row r="814" spans="1:8" x14ac:dyDescent="0.15">
      <c r="A814" s="60" t="s">
        <v>13</v>
      </c>
      <c r="B814" s="60">
        <v>2505</v>
      </c>
      <c r="C814" s="60">
        <v>23</v>
      </c>
      <c r="D814" s="60">
        <v>5.2200000000000003E-2</v>
      </c>
      <c r="E814" s="60">
        <v>602.55830000000003</v>
      </c>
      <c r="F814" s="60">
        <v>24.977</v>
      </c>
      <c r="G814" s="60">
        <v>108.5937</v>
      </c>
      <c r="H814" s="60">
        <v>1.1978</v>
      </c>
    </row>
    <row r="815" spans="1:8" x14ac:dyDescent="0.15">
      <c r="A815" s="60" t="s">
        <v>13</v>
      </c>
      <c r="B815" s="60">
        <v>2505</v>
      </c>
      <c r="C815" s="60">
        <v>23</v>
      </c>
      <c r="D815" s="60">
        <v>5.1999999999999998E-2</v>
      </c>
      <c r="E815" s="60">
        <v>604.9701</v>
      </c>
      <c r="F815" s="60">
        <v>25.077000000000002</v>
      </c>
      <c r="G815" s="60">
        <v>109.0284</v>
      </c>
      <c r="H815" s="60">
        <v>1.1948000000000001</v>
      </c>
    </row>
    <row r="816" spans="1:8" x14ac:dyDescent="0.15">
      <c r="A816" s="60" t="s">
        <v>13</v>
      </c>
      <c r="B816" s="60">
        <v>2505</v>
      </c>
      <c r="C816" s="60">
        <v>23</v>
      </c>
      <c r="D816" s="60">
        <v>5.1999999999999998E-2</v>
      </c>
      <c r="E816" s="60">
        <v>604.91189999999995</v>
      </c>
      <c r="F816" s="60">
        <v>25.074000000000002</v>
      </c>
      <c r="G816" s="60">
        <v>109.0179</v>
      </c>
      <c r="H816" s="60">
        <v>1.1948000000000001</v>
      </c>
    </row>
    <row r="817" spans="1:8" x14ac:dyDescent="0.15">
      <c r="A817" s="60" t="s">
        <v>13</v>
      </c>
      <c r="B817" s="60">
        <v>2505</v>
      </c>
      <c r="C817" s="60">
        <v>23</v>
      </c>
      <c r="D817" s="60">
        <v>5.1799999999999999E-2</v>
      </c>
      <c r="E817" s="60">
        <v>607.19010000000003</v>
      </c>
      <c r="F817" s="60">
        <v>25.169</v>
      </c>
      <c r="G817" s="60">
        <v>109.4285</v>
      </c>
      <c r="H817" s="60">
        <v>1.1888000000000001</v>
      </c>
    </row>
    <row r="818" spans="1:8" x14ac:dyDescent="0.15">
      <c r="A818" s="60" t="s">
        <v>13</v>
      </c>
      <c r="B818" s="60">
        <v>2505</v>
      </c>
      <c r="C818" s="60">
        <v>23</v>
      </c>
      <c r="D818" s="60">
        <v>5.1900000000000002E-2</v>
      </c>
      <c r="E818" s="60">
        <v>605.75109999999995</v>
      </c>
      <c r="F818" s="60">
        <v>25.109000000000002</v>
      </c>
      <c r="G818" s="60">
        <v>109.1691</v>
      </c>
      <c r="H818" s="60">
        <v>1.1928000000000001</v>
      </c>
    </row>
    <row r="819" spans="1:8" x14ac:dyDescent="0.15">
      <c r="A819" s="60" t="s">
        <v>13</v>
      </c>
      <c r="B819" s="60">
        <v>2505</v>
      </c>
      <c r="C819" s="60">
        <v>23</v>
      </c>
      <c r="D819" s="60">
        <v>5.1700000000000003E-2</v>
      </c>
      <c r="E819" s="60">
        <v>608.15329999999994</v>
      </c>
      <c r="F819" s="60">
        <v>25.207999999999998</v>
      </c>
      <c r="G819" s="60">
        <v>109.60209999999999</v>
      </c>
      <c r="H819" s="60">
        <v>1.1878</v>
      </c>
    </row>
    <row r="820" spans="1:8" x14ac:dyDescent="0.15">
      <c r="A820" s="60" t="s">
        <v>13</v>
      </c>
      <c r="B820" s="60">
        <v>2505</v>
      </c>
      <c r="C820" s="60">
        <v>23</v>
      </c>
      <c r="D820" s="60">
        <v>5.1700000000000003E-2</v>
      </c>
      <c r="E820" s="60">
        <v>608.49459999999999</v>
      </c>
      <c r="F820" s="60">
        <v>25.222999999999999</v>
      </c>
      <c r="G820" s="60">
        <v>109.6636</v>
      </c>
      <c r="H820" s="60">
        <v>1.1868000000000001</v>
      </c>
    </row>
    <row r="821" spans="1:8" x14ac:dyDescent="0.15">
      <c r="A821" s="60" t="s">
        <v>13</v>
      </c>
      <c r="B821" s="60">
        <v>2505</v>
      </c>
      <c r="C821" s="60">
        <v>23</v>
      </c>
      <c r="D821" s="60">
        <v>5.1799999999999999E-2</v>
      </c>
      <c r="E821" s="60">
        <v>606.66279999999995</v>
      </c>
      <c r="F821" s="60">
        <v>25.146999999999998</v>
      </c>
      <c r="G821" s="60">
        <v>109.3335</v>
      </c>
      <c r="H821" s="60">
        <v>1.1918</v>
      </c>
    </row>
    <row r="822" spans="1:8" x14ac:dyDescent="0.15">
      <c r="A822" s="60" t="s">
        <v>13</v>
      </c>
      <c r="B822" s="60">
        <v>2505</v>
      </c>
      <c r="C822" s="60">
        <v>23</v>
      </c>
      <c r="D822" s="60">
        <v>5.1700000000000003E-2</v>
      </c>
      <c r="E822" s="60">
        <v>607.98860000000002</v>
      </c>
      <c r="F822" s="60">
        <v>25.202000000000002</v>
      </c>
      <c r="G822" s="60">
        <v>109.5724</v>
      </c>
      <c r="H822" s="60">
        <v>1.1868000000000001</v>
      </c>
    </row>
    <row r="823" spans="1:8" x14ac:dyDescent="0.15">
      <c r="A823" s="60" t="s">
        <v>13</v>
      </c>
      <c r="B823" s="60">
        <v>2505</v>
      </c>
      <c r="C823" s="60">
        <v>23</v>
      </c>
      <c r="D823" s="60">
        <v>5.1799999999999999E-2</v>
      </c>
      <c r="E823" s="60">
        <v>607.20190000000002</v>
      </c>
      <c r="F823" s="60">
        <v>25.169</v>
      </c>
      <c r="G823" s="60">
        <v>109.4306</v>
      </c>
      <c r="H823" s="60">
        <v>1.1898</v>
      </c>
    </row>
    <row r="824" spans="1:8" x14ac:dyDescent="0.15">
      <c r="A824" s="60" t="s">
        <v>13</v>
      </c>
      <c r="B824" s="60">
        <v>2505</v>
      </c>
      <c r="C824" s="60">
        <v>24</v>
      </c>
      <c r="D824" s="60">
        <v>5.5E-2</v>
      </c>
      <c r="E824" s="60">
        <v>571.95129999999995</v>
      </c>
      <c r="F824" s="60">
        <v>23.707999999999998</v>
      </c>
      <c r="G824" s="60">
        <v>98.782799999999995</v>
      </c>
      <c r="H824" s="60">
        <v>1.3178000000000001</v>
      </c>
    </row>
    <row r="825" spans="1:8" x14ac:dyDescent="0.15">
      <c r="A825" s="60" t="s">
        <v>13</v>
      </c>
      <c r="B825" s="60">
        <v>2505</v>
      </c>
      <c r="C825" s="60">
        <v>24</v>
      </c>
      <c r="D825" s="60">
        <v>4.9099999999999998E-2</v>
      </c>
      <c r="E825" s="60">
        <v>640.2174</v>
      </c>
      <c r="F825" s="60">
        <v>26.538</v>
      </c>
      <c r="G825" s="60">
        <v>110.5732</v>
      </c>
      <c r="H825" s="60">
        <v>1.1768000000000001</v>
      </c>
    </row>
    <row r="826" spans="1:8" x14ac:dyDescent="0.15">
      <c r="A826" s="60" t="s">
        <v>13</v>
      </c>
      <c r="B826" s="60">
        <v>2505</v>
      </c>
      <c r="C826" s="60">
        <v>24</v>
      </c>
      <c r="D826" s="60">
        <v>4.99E-2</v>
      </c>
      <c r="E826" s="60">
        <v>629.82820000000004</v>
      </c>
      <c r="F826" s="60">
        <v>26.106999999999999</v>
      </c>
      <c r="G826" s="60">
        <v>108.7788</v>
      </c>
      <c r="H826" s="60">
        <v>1.1958</v>
      </c>
    </row>
    <row r="827" spans="1:8" x14ac:dyDescent="0.15">
      <c r="A827" s="60" t="s">
        <v>13</v>
      </c>
      <c r="B827" s="60">
        <v>2505</v>
      </c>
      <c r="C827" s="60">
        <v>24</v>
      </c>
      <c r="D827" s="60">
        <v>4.9599999999999998E-2</v>
      </c>
      <c r="E827" s="60">
        <v>634.21169999999995</v>
      </c>
      <c r="F827" s="60">
        <v>26.289000000000001</v>
      </c>
      <c r="G827" s="60">
        <v>109.5359</v>
      </c>
      <c r="H827" s="60">
        <v>1.1868000000000001</v>
      </c>
    </row>
    <row r="828" spans="1:8" x14ac:dyDescent="0.15">
      <c r="A828" s="60" t="s">
        <v>13</v>
      </c>
      <c r="B828" s="60">
        <v>2505</v>
      </c>
      <c r="C828" s="60">
        <v>24</v>
      </c>
      <c r="D828" s="60">
        <v>4.9799999999999997E-2</v>
      </c>
      <c r="E828" s="60">
        <v>631.09249999999997</v>
      </c>
      <c r="F828" s="60">
        <v>26.158999999999999</v>
      </c>
      <c r="G828" s="60">
        <v>108.99720000000001</v>
      </c>
      <c r="H828" s="60">
        <v>1.1948000000000001</v>
      </c>
    </row>
    <row r="829" spans="1:8" x14ac:dyDescent="0.15">
      <c r="A829" s="60" t="s">
        <v>13</v>
      </c>
      <c r="B829" s="60">
        <v>2505</v>
      </c>
      <c r="C829" s="60">
        <v>24</v>
      </c>
      <c r="D829" s="60">
        <v>4.9700000000000001E-2</v>
      </c>
      <c r="E829" s="60">
        <v>632.13310000000001</v>
      </c>
      <c r="F829" s="60">
        <v>26.202000000000002</v>
      </c>
      <c r="G829" s="60">
        <v>109.1769</v>
      </c>
      <c r="H829" s="60">
        <v>1.1928000000000001</v>
      </c>
    </row>
    <row r="830" spans="1:8" x14ac:dyDescent="0.15">
      <c r="A830" s="60" t="s">
        <v>13</v>
      </c>
      <c r="B830" s="60">
        <v>2505</v>
      </c>
      <c r="C830" s="60">
        <v>24</v>
      </c>
      <c r="D830" s="60">
        <v>4.9700000000000001E-2</v>
      </c>
      <c r="E830" s="60">
        <v>632.14580000000001</v>
      </c>
      <c r="F830" s="60">
        <v>26.202999999999999</v>
      </c>
      <c r="G830" s="60">
        <v>109.17910000000001</v>
      </c>
      <c r="H830" s="60">
        <v>1.1928000000000001</v>
      </c>
    </row>
    <row r="831" spans="1:8" x14ac:dyDescent="0.15">
      <c r="A831" s="60" t="s">
        <v>13</v>
      </c>
      <c r="B831" s="60">
        <v>2505</v>
      </c>
      <c r="C831" s="60">
        <v>24</v>
      </c>
      <c r="D831" s="60">
        <v>4.9799999999999997E-2</v>
      </c>
      <c r="E831" s="60">
        <v>630.88990000000001</v>
      </c>
      <c r="F831" s="60">
        <v>26.151</v>
      </c>
      <c r="G831" s="60">
        <v>108.9622</v>
      </c>
      <c r="H831" s="60">
        <v>1.1938</v>
      </c>
    </row>
    <row r="832" spans="1:8" x14ac:dyDescent="0.15">
      <c r="A832" s="60" t="s">
        <v>13</v>
      </c>
      <c r="B832" s="60">
        <v>2505</v>
      </c>
      <c r="C832" s="60">
        <v>24</v>
      </c>
      <c r="D832" s="60">
        <v>4.9700000000000001E-2</v>
      </c>
      <c r="E832" s="60">
        <v>632.69290000000001</v>
      </c>
      <c r="F832" s="60">
        <v>26.225999999999999</v>
      </c>
      <c r="G832" s="60">
        <v>109.2736</v>
      </c>
      <c r="H832" s="60">
        <v>1.1918</v>
      </c>
    </row>
    <row r="833" spans="1:8" x14ac:dyDescent="0.15">
      <c r="A833" s="60" t="s">
        <v>13</v>
      </c>
      <c r="B833" s="60">
        <v>2505</v>
      </c>
      <c r="C833" s="60">
        <v>24</v>
      </c>
      <c r="D833" s="60">
        <v>4.9799999999999997E-2</v>
      </c>
      <c r="E833" s="60">
        <v>631.40940000000001</v>
      </c>
      <c r="F833" s="60">
        <v>26.172000000000001</v>
      </c>
      <c r="G833" s="60">
        <v>109.0519</v>
      </c>
      <c r="H833" s="60">
        <v>1.1938</v>
      </c>
    </row>
    <row r="834" spans="1:8" x14ac:dyDescent="0.15">
      <c r="A834" s="60" t="s">
        <v>13</v>
      </c>
      <c r="B834" s="60">
        <v>2505</v>
      </c>
      <c r="C834" s="60">
        <v>24</v>
      </c>
      <c r="D834" s="60">
        <v>4.9700000000000001E-2</v>
      </c>
      <c r="E834" s="60">
        <v>632.50189999999998</v>
      </c>
      <c r="F834" s="60">
        <v>26.218</v>
      </c>
      <c r="G834" s="60">
        <v>109.2406</v>
      </c>
      <c r="H834" s="60">
        <v>1.1918</v>
      </c>
    </row>
    <row r="835" spans="1:8" x14ac:dyDescent="0.15">
      <c r="A835" s="60" t="s">
        <v>13</v>
      </c>
      <c r="B835" s="60">
        <v>2505</v>
      </c>
      <c r="C835" s="60">
        <v>24</v>
      </c>
      <c r="D835" s="60">
        <v>4.9700000000000001E-2</v>
      </c>
      <c r="E835" s="60">
        <v>632.50189999999998</v>
      </c>
      <c r="F835" s="60">
        <v>26.218</v>
      </c>
      <c r="G835" s="60">
        <v>109.2406</v>
      </c>
      <c r="H835" s="60">
        <v>1.1908000000000001</v>
      </c>
    </row>
    <row r="836" spans="1:8" x14ac:dyDescent="0.15">
      <c r="A836" s="60" t="s">
        <v>13</v>
      </c>
      <c r="B836" s="60">
        <v>2505</v>
      </c>
      <c r="C836" s="60">
        <v>24</v>
      </c>
      <c r="D836" s="60">
        <v>4.99E-2</v>
      </c>
      <c r="E836" s="60">
        <v>630.10599999999999</v>
      </c>
      <c r="F836" s="60">
        <v>26.117999999999999</v>
      </c>
      <c r="G836" s="60">
        <v>108.82680000000001</v>
      </c>
      <c r="H836" s="60">
        <v>1.1958</v>
      </c>
    </row>
    <row r="837" spans="1:8" x14ac:dyDescent="0.15">
      <c r="A837" s="60" t="s">
        <v>13</v>
      </c>
      <c r="B837" s="60">
        <v>2505</v>
      </c>
      <c r="C837" s="60">
        <v>24</v>
      </c>
      <c r="D837" s="60">
        <v>4.9700000000000001E-2</v>
      </c>
      <c r="E837" s="60">
        <v>632.42550000000006</v>
      </c>
      <c r="F837" s="60">
        <v>26.215</v>
      </c>
      <c r="G837" s="60">
        <v>109.2274</v>
      </c>
      <c r="H837" s="60">
        <v>1.1908000000000001</v>
      </c>
    </row>
    <row r="838" spans="1:8" x14ac:dyDescent="0.15">
      <c r="A838" s="60" t="s">
        <v>13</v>
      </c>
      <c r="B838" s="60">
        <v>2505</v>
      </c>
      <c r="C838" s="60">
        <v>24</v>
      </c>
      <c r="D838" s="60">
        <v>4.9799999999999997E-2</v>
      </c>
      <c r="E838" s="60">
        <v>630.81389999999999</v>
      </c>
      <c r="F838" s="60">
        <v>26.148</v>
      </c>
      <c r="G838" s="60">
        <v>108.9491</v>
      </c>
      <c r="H838" s="60">
        <v>1.1948000000000001</v>
      </c>
    </row>
    <row r="839" spans="1:8" x14ac:dyDescent="0.15">
      <c r="A839" s="60" t="s">
        <v>13</v>
      </c>
      <c r="B839" s="60">
        <v>2505</v>
      </c>
      <c r="C839" s="60">
        <v>24</v>
      </c>
      <c r="D839" s="60">
        <v>4.9799999999999997E-2</v>
      </c>
      <c r="E839" s="60">
        <v>631.37130000000002</v>
      </c>
      <c r="F839" s="60">
        <v>26.170999999999999</v>
      </c>
      <c r="G839" s="60">
        <v>109.0454</v>
      </c>
      <c r="H839" s="60">
        <v>1.1938</v>
      </c>
    </row>
    <row r="840" spans="1:8" x14ac:dyDescent="0.15">
      <c r="A840" s="60" t="s">
        <v>13</v>
      </c>
      <c r="B840" s="60">
        <v>2505</v>
      </c>
      <c r="C840" s="60">
        <v>24</v>
      </c>
      <c r="D840" s="60">
        <v>4.9700000000000001E-2</v>
      </c>
      <c r="E840" s="60">
        <v>632.10770000000002</v>
      </c>
      <c r="F840" s="60">
        <v>26.201000000000001</v>
      </c>
      <c r="G840" s="60">
        <v>109.1725</v>
      </c>
      <c r="H840" s="60">
        <v>1.1918</v>
      </c>
    </row>
    <row r="841" spans="1:8" x14ac:dyDescent="0.15">
      <c r="A841" s="60" t="s">
        <v>13</v>
      </c>
      <c r="B841" s="60">
        <v>2505</v>
      </c>
      <c r="C841" s="60">
        <v>24</v>
      </c>
      <c r="D841" s="60">
        <v>4.99E-2</v>
      </c>
      <c r="E841" s="60">
        <v>630.52300000000002</v>
      </c>
      <c r="F841" s="60">
        <v>26.135999999999999</v>
      </c>
      <c r="G841" s="60">
        <v>108.89879999999999</v>
      </c>
      <c r="H841" s="60">
        <v>1.1958</v>
      </c>
    </row>
    <row r="842" spans="1:8" x14ac:dyDescent="0.15">
      <c r="A842" s="60" t="s">
        <v>13</v>
      </c>
      <c r="B842" s="60">
        <v>2505</v>
      </c>
      <c r="C842" s="60">
        <v>24</v>
      </c>
      <c r="D842" s="60">
        <v>4.9700000000000001E-2</v>
      </c>
      <c r="E842" s="60">
        <v>632.61649999999997</v>
      </c>
      <c r="F842" s="60">
        <v>26.222000000000001</v>
      </c>
      <c r="G842" s="60">
        <v>109.2604</v>
      </c>
      <c r="H842" s="60">
        <v>1.1918</v>
      </c>
    </row>
    <row r="843" spans="1:8" x14ac:dyDescent="0.15">
      <c r="A843" s="60" t="s">
        <v>13</v>
      </c>
      <c r="B843" s="60">
        <v>2505</v>
      </c>
      <c r="C843" s="60">
        <v>24</v>
      </c>
      <c r="D843" s="60">
        <v>4.9799999999999997E-2</v>
      </c>
      <c r="E843" s="60">
        <v>630.81389999999999</v>
      </c>
      <c r="F843" s="60">
        <v>26.148</v>
      </c>
      <c r="G843" s="60">
        <v>108.9491</v>
      </c>
      <c r="H843" s="60">
        <v>1.1958</v>
      </c>
    </row>
    <row r="844" spans="1:8" x14ac:dyDescent="0.15">
      <c r="A844" s="60" t="s">
        <v>13</v>
      </c>
      <c r="B844" s="60">
        <v>2505</v>
      </c>
      <c r="C844" s="60">
        <v>24</v>
      </c>
      <c r="D844" s="60">
        <v>4.9700000000000001E-2</v>
      </c>
      <c r="E844" s="60">
        <v>633.15160000000003</v>
      </c>
      <c r="F844" s="60">
        <v>26.245000000000001</v>
      </c>
      <c r="G844" s="60">
        <v>109.3528</v>
      </c>
      <c r="H844" s="60">
        <v>1.1898</v>
      </c>
    </row>
    <row r="845" spans="1:8" x14ac:dyDescent="0.15">
      <c r="A845" s="60" t="s">
        <v>13</v>
      </c>
      <c r="B845" s="60">
        <v>2505</v>
      </c>
      <c r="C845" s="60">
        <v>24</v>
      </c>
      <c r="D845" s="60">
        <v>4.9700000000000001E-2</v>
      </c>
      <c r="E845" s="60">
        <v>632.52739999999994</v>
      </c>
      <c r="F845" s="60">
        <v>26.219000000000001</v>
      </c>
      <c r="G845" s="60">
        <v>109.245</v>
      </c>
      <c r="H845" s="60">
        <v>1.1918</v>
      </c>
    </row>
    <row r="846" spans="1:8" x14ac:dyDescent="0.15">
      <c r="A846" s="60" t="s">
        <v>13</v>
      </c>
      <c r="B846" s="60">
        <v>2505</v>
      </c>
      <c r="C846" s="60">
        <v>24</v>
      </c>
      <c r="D846" s="60">
        <v>4.99E-2</v>
      </c>
      <c r="E846" s="60">
        <v>630.57360000000006</v>
      </c>
      <c r="F846" s="60">
        <v>26.138000000000002</v>
      </c>
      <c r="G846" s="60">
        <v>108.9076</v>
      </c>
      <c r="H846" s="60">
        <v>1.1968000000000001</v>
      </c>
    </row>
    <row r="847" spans="1:8" x14ac:dyDescent="0.15">
      <c r="A847" s="60" t="s">
        <v>13</v>
      </c>
      <c r="B847" s="60">
        <v>2505</v>
      </c>
      <c r="C847" s="60">
        <v>24</v>
      </c>
      <c r="D847" s="60">
        <v>4.9700000000000001E-2</v>
      </c>
      <c r="E847" s="60">
        <v>632.17129999999997</v>
      </c>
      <c r="F847" s="60">
        <v>26.204000000000001</v>
      </c>
      <c r="G847" s="60">
        <v>109.1835</v>
      </c>
      <c r="H847" s="60">
        <v>1.1918</v>
      </c>
    </row>
    <row r="848" spans="1:8" x14ac:dyDescent="0.15">
      <c r="A848" s="60" t="s">
        <v>13</v>
      </c>
      <c r="B848" s="60">
        <v>2505</v>
      </c>
      <c r="C848" s="60">
        <v>24</v>
      </c>
      <c r="D848" s="60">
        <v>4.9799999999999997E-2</v>
      </c>
      <c r="E848" s="60">
        <v>631.19389999999999</v>
      </c>
      <c r="F848" s="60">
        <v>26.164000000000001</v>
      </c>
      <c r="G848" s="60">
        <v>109.0147</v>
      </c>
      <c r="H848" s="60">
        <v>1.1948000000000001</v>
      </c>
    </row>
    <row r="849" spans="1:8" x14ac:dyDescent="0.15">
      <c r="A849" s="60" t="s">
        <v>13</v>
      </c>
      <c r="B849" s="60">
        <v>2505</v>
      </c>
      <c r="C849" s="60">
        <v>24</v>
      </c>
      <c r="D849" s="60">
        <v>4.9700000000000001E-2</v>
      </c>
      <c r="E849" s="60">
        <v>632.78200000000004</v>
      </c>
      <c r="F849" s="60">
        <v>26.228999999999999</v>
      </c>
      <c r="G849" s="60">
        <v>109.289</v>
      </c>
      <c r="H849" s="60">
        <v>1.1908000000000001</v>
      </c>
    </row>
    <row r="850" spans="1:8" x14ac:dyDescent="0.15">
      <c r="A850" s="60" t="s">
        <v>13</v>
      </c>
      <c r="B850" s="60">
        <v>2505</v>
      </c>
      <c r="C850" s="60">
        <v>24</v>
      </c>
      <c r="D850" s="60">
        <v>4.9700000000000001E-2</v>
      </c>
      <c r="E850" s="60">
        <v>632.24749999999995</v>
      </c>
      <c r="F850" s="60">
        <v>26.207000000000001</v>
      </c>
      <c r="G850" s="60">
        <v>109.19670000000001</v>
      </c>
      <c r="H850" s="60">
        <v>1.1798</v>
      </c>
    </row>
    <row r="851" spans="1:8" x14ac:dyDescent="0.15">
      <c r="A851" s="60" t="s">
        <v>13</v>
      </c>
      <c r="B851" s="60">
        <v>2505</v>
      </c>
      <c r="C851" s="60">
        <v>24</v>
      </c>
      <c r="D851" s="60">
        <v>4.9799999999999997E-2</v>
      </c>
      <c r="E851" s="60">
        <v>631.16859999999997</v>
      </c>
      <c r="F851" s="60">
        <v>26.161999999999999</v>
      </c>
      <c r="G851" s="60">
        <v>109.0103</v>
      </c>
      <c r="H851" s="60">
        <v>1.1988000000000001</v>
      </c>
    </row>
    <row r="852" spans="1:8" x14ac:dyDescent="0.15">
      <c r="A852" s="60" t="s">
        <v>13</v>
      </c>
      <c r="B852" s="60">
        <v>2505</v>
      </c>
      <c r="C852" s="60">
        <v>24</v>
      </c>
      <c r="D852" s="60">
        <v>4.9700000000000001E-2</v>
      </c>
      <c r="E852" s="60">
        <v>633.10059999999999</v>
      </c>
      <c r="F852" s="60">
        <v>26.242999999999999</v>
      </c>
      <c r="G852" s="60">
        <v>109.34399999999999</v>
      </c>
      <c r="H852" s="60">
        <v>1.1868000000000001</v>
      </c>
    </row>
    <row r="853" spans="1:8" x14ac:dyDescent="0.15">
      <c r="A853" s="60" t="s">
        <v>13</v>
      </c>
      <c r="B853" s="60">
        <v>2505</v>
      </c>
      <c r="C853" s="60">
        <v>24</v>
      </c>
      <c r="D853" s="60">
        <v>4.9799999999999997E-2</v>
      </c>
      <c r="E853" s="60">
        <v>631.2826</v>
      </c>
      <c r="F853" s="60">
        <v>26.167000000000002</v>
      </c>
      <c r="G853" s="60">
        <v>109.03</v>
      </c>
      <c r="H853" s="60">
        <v>1.1898</v>
      </c>
    </row>
    <row r="854" spans="1:8" x14ac:dyDescent="0.15">
      <c r="A854" s="60" t="s">
        <v>13</v>
      </c>
      <c r="B854" s="60">
        <v>2505</v>
      </c>
      <c r="C854" s="60">
        <v>24</v>
      </c>
      <c r="D854" s="60">
        <v>4.9700000000000001E-2</v>
      </c>
      <c r="E854" s="60">
        <v>632.56550000000004</v>
      </c>
      <c r="F854" s="60">
        <v>26.22</v>
      </c>
      <c r="G854" s="60">
        <v>109.2516</v>
      </c>
      <c r="H854" s="60">
        <v>1.2068000000000001</v>
      </c>
    </row>
    <row r="855" spans="1:8" x14ac:dyDescent="0.15">
      <c r="A855" s="60" t="s">
        <v>13</v>
      </c>
      <c r="B855" s="60">
        <v>2505</v>
      </c>
      <c r="C855" s="60">
        <v>24</v>
      </c>
      <c r="D855" s="60">
        <v>4.9599999999999998E-2</v>
      </c>
      <c r="E855" s="60">
        <v>633.25360000000001</v>
      </c>
      <c r="F855" s="60">
        <v>26.248999999999999</v>
      </c>
      <c r="G855" s="60">
        <v>109.37050000000001</v>
      </c>
      <c r="H855" s="60">
        <v>1.1908000000000001</v>
      </c>
    </row>
    <row r="856" spans="1:8" x14ac:dyDescent="0.15">
      <c r="A856" s="60" t="s">
        <v>13</v>
      </c>
      <c r="B856" s="60">
        <v>2505</v>
      </c>
      <c r="C856" s="60">
        <v>24</v>
      </c>
      <c r="D856" s="60">
        <v>4.9799999999999997E-2</v>
      </c>
      <c r="E856" s="60">
        <v>630.88990000000001</v>
      </c>
      <c r="F856" s="60">
        <v>26.151</v>
      </c>
      <c r="G856" s="60">
        <v>108.9622</v>
      </c>
      <c r="H856" s="60">
        <v>1.1958</v>
      </c>
    </row>
    <row r="857" spans="1:8" x14ac:dyDescent="0.15">
      <c r="A857" s="60" t="s">
        <v>13</v>
      </c>
      <c r="B857" s="60">
        <v>2505</v>
      </c>
      <c r="C857" s="60">
        <v>24</v>
      </c>
      <c r="D857" s="60">
        <v>4.9700000000000001E-2</v>
      </c>
      <c r="E857" s="60">
        <v>632.47649999999999</v>
      </c>
      <c r="F857" s="60">
        <v>26.216999999999999</v>
      </c>
      <c r="G857" s="60">
        <v>109.2362</v>
      </c>
      <c r="H857" s="60">
        <v>1.1908000000000001</v>
      </c>
    </row>
    <row r="858" spans="1:8" x14ac:dyDescent="0.15">
      <c r="A858" s="60" t="s">
        <v>13</v>
      </c>
      <c r="B858" s="60">
        <v>2505</v>
      </c>
      <c r="C858" s="60">
        <v>24</v>
      </c>
      <c r="D858" s="60">
        <v>4.9799999999999997E-2</v>
      </c>
      <c r="E858" s="60">
        <v>630.99120000000005</v>
      </c>
      <c r="F858" s="60">
        <v>26.155000000000001</v>
      </c>
      <c r="G858" s="60">
        <v>108.97969999999999</v>
      </c>
      <c r="H858" s="60">
        <v>1.1948000000000001</v>
      </c>
    </row>
    <row r="859" spans="1:8" x14ac:dyDescent="0.15">
      <c r="A859" s="60" t="s">
        <v>13</v>
      </c>
      <c r="B859" s="60">
        <v>2505</v>
      </c>
      <c r="C859" s="60">
        <v>24</v>
      </c>
      <c r="D859" s="60">
        <v>4.9700000000000001E-2</v>
      </c>
      <c r="E859" s="60">
        <v>631.9298</v>
      </c>
      <c r="F859" s="60">
        <v>26.193999999999999</v>
      </c>
      <c r="G859" s="60">
        <v>109.1418</v>
      </c>
      <c r="H859" s="60">
        <v>1.1928000000000001</v>
      </c>
    </row>
    <row r="860" spans="1:8" x14ac:dyDescent="0.15">
      <c r="A860" s="60" t="s">
        <v>13</v>
      </c>
      <c r="B860" s="60">
        <v>2505</v>
      </c>
      <c r="C860" s="60">
        <v>24</v>
      </c>
      <c r="D860" s="60">
        <v>4.9700000000000001E-2</v>
      </c>
      <c r="E860" s="60">
        <v>632.06960000000004</v>
      </c>
      <c r="F860" s="60">
        <v>26.2</v>
      </c>
      <c r="G860" s="60">
        <v>109.166</v>
      </c>
      <c r="H860" s="60">
        <v>1.1928000000000001</v>
      </c>
    </row>
    <row r="861" spans="1:8" x14ac:dyDescent="0.15">
      <c r="A861" s="60" t="s">
        <v>13</v>
      </c>
      <c r="B861" s="60">
        <v>2505</v>
      </c>
      <c r="C861" s="60">
        <v>24</v>
      </c>
      <c r="D861" s="60">
        <v>4.9799999999999997E-2</v>
      </c>
      <c r="E861" s="60">
        <v>630.95320000000004</v>
      </c>
      <c r="F861" s="60">
        <v>26.154</v>
      </c>
      <c r="G861" s="60">
        <v>108.9731</v>
      </c>
      <c r="H861" s="60">
        <v>1.1948000000000001</v>
      </c>
    </row>
    <row r="862" spans="1:8" x14ac:dyDescent="0.15">
      <c r="A862" s="60" t="s">
        <v>13</v>
      </c>
      <c r="B862" s="60">
        <v>2505</v>
      </c>
      <c r="C862" s="60">
        <v>24</v>
      </c>
      <c r="D862" s="60">
        <v>4.9700000000000001E-2</v>
      </c>
      <c r="E862" s="60">
        <v>632.29830000000004</v>
      </c>
      <c r="F862" s="60">
        <v>26.209</v>
      </c>
      <c r="G862" s="60">
        <v>109.2055</v>
      </c>
      <c r="H862" s="60">
        <v>1.1908000000000001</v>
      </c>
    </row>
    <row r="863" spans="1:8" x14ac:dyDescent="0.15">
      <c r="A863" s="60" t="s">
        <v>13</v>
      </c>
      <c r="B863" s="60">
        <v>2505</v>
      </c>
      <c r="C863" s="60">
        <v>24</v>
      </c>
      <c r="D863" s="60">
        <v>4.9799999999999997E-2</v>
      </c>
      <c r="E863" s="60">
        <v>631.2826</v>
      </c>
      <c r="F863" s="60">
        <v>26.167000000000002</v>
      </c>
      <c r="G863" s="60">
        <v>109.03</v>
      </c>
      <c r="H863" s="60">
        <v>1.1948000000000001</v>
      </c>
    </row>
    <row r="864" spans="1:8" x14ac:dyDescent="0.15">
      <c r="A864" s="60" t="s">
        <v>13</v>
      </c>
      <c r="B864" s="60">
        <v>2505</v>
      </c>
      <c r="C864" s="60">
        <v>24</v>
      </c>
      <c r="D864" s="60">
        <v>4.9700000000000001E-2</v>
      </c>
      <c r="E864" s="60">
        <v>632.18389999999999</v>
      </c>
      <c r="F864" s="60">
        <v>26.204999999999998</v>
      </c>
      <c r="G864" s="60">
        <v>109.1857</v>
      </c>
      <c r="H864" s="60">
        <v>1.1928000000000001</v>
      </c>
    </row>
    <row r="865" spans="1:8" x14ac:dyDescent="0.15">
      <c r="A865" s="60" t="s">
        <v>13</v>
      </c>
      <c r="B865" s="60">
        <v>2505</v>
      </c>
      <c r="C865" s="60">
        <v>24</v>
      </c>
      <c r="D865" s="60">
        <v>4.9700000000000001E-2</v>
      </c>
      <c r="E865" s="60">
        <v>632.62919999999997</v>
      </c>
      <c r="F865" s="60">
        <v>26.222999999999999</v>
      </c>
      <c r="G865" s="60">
        <v>109.26260000000001</v>
      </c>
      <c r="H865" s="60">
        <v>1.1898</v>
      </c>
    </row>
    <row r="866" spans="1:8" x14ac:dyDescent="0.15">
      <c r="A866" s="60" t="s">
        <v>13</v>
      </c>
      <c r="B866" s="60">
        <v>2505</v>
      </c>
      <c r="C866" s="60">
        <v>24</v>
      </c>
      <c r="D866" s="60">
        <v>4.99E-2</v>
      </c>
      <c r="E866" s="60">
        <v>630.63679999999999</v>
      </c>
      <c r="F866" s="60">
        <v>26.14</v>
      </c>
      <c r="G866" s="60">
        <v>108.91849999999999</v>
      </c>
      <c r="H866" s="60">
        <v>1.1918</v>
      </c>
    </row>
    <row r="867" spans="1:8" x14ac:dyDescent="0.15">
      <c r="A867" s="60" t="s">
        <v>13</v>
      </c>
      <c r="B867" s="60">
        <v>2505</v>
      </c>
      <c r="C867" s="60">
        <v>24</v>
      </c>
      <c r="D867" s="60">
        <v>4.9599999999999998E-2</v>
      </c>
      <c r="E867" s="60">
        <v>633.58540000000005</v>
      </c>
      <c r="F867" s="60">
        <v>26.263000000000002</v>
      </c>
      <c r="G867" s="60">
        <v>109.4278</v>
      </c>
      <c r="H867" s="60">
        <v>1.1828000000000001</v>
      </c>
    </row>
    <row r="868" spans="1:8" x14ac:dyDescent="0.15">
      <c r="A868" s="60" t="s">
        <v>13</v>
      </c>
      <c r="B868" s="60">
        <v>2505</v>
      </c>
      <c r="C868" s="60">
        <v>24</v>
      </c>
      <c r="D868" s="60">
        <v>4.9799999999999997E-2</v>
      </c>
      <c r="E868" s="60">
        <v>631.5489</v>
      </c>
      <c r="F868" s="60">
        <v>26.178000000000001</v>
      </c>
      <c r="G868" s="60">
        <v>109.07599999999999</v>
      </c>
      <c r="H868" s="60">
        <v>1.1888000000000001</v>
      </c>
    </row>
    <row r="869" spans="1:8" x14ac:dyDescent="0.15">
      <c r="A869" s="60" t="s">
        <v>13</v>
      </c>
      <c r="B869" s="60">
        <v>2505</v>
      </c>
      <c r="C869" s="60">
        <v>24</v>
      </c>
      <c r="D869" s="60">
        <v>4.9599999999999998E-2</v>
      </c>
      <c r="E869" s="60">
        <v>633.18979999999999</v>
      </c>
      <c r="F869" s="60">
        <v>26.245999999999999</v>
      </c>
      <c r="G869" s="60">
        <v>109.35939999999999</v>
      </c>
      <c r="H869" s="60">
        <v>1.1848000000000001</v>
      </c>
    </row>
    <row r="870" spans="1:8" x14ac:dyDescent="0.15">
      <c r="A870" s="60" t="s">
        <v>13</v>
      </c>
      <c r="B870" s="60">
        <v>2505</v>
      </c>
      <c r="C870" s="60">
        <v>24</v>
      </c>
      <c r="D870" s="60">
        <v>4.9700000000000001E-2</v>
      </c>
      <c r="E870" s="60">
        <v>633.07510000000002</v>
      </c>
      <c r="F870" s="60">
        <v>26.242000000000001</v>
      </c>
      <c r="G870" s="60">
        <v>109.3396</v>
      </c>
      <c r="H870" s="60">
        <v>1.1868000000000001</v>
      </c>
    </row>
    <row r="871" spans="1:8" x14ac:dyDescent="0.15">
      <c r="A871" s="60" t="s">
        <v>13</v>
      </c>
      <c r="B871" s="60">
        <v>2505</v>
      </c>
      <c r="C871" s="60">
        <v>24</v>
      </c>
      <c r="D871" s="60">
        <v>4.9799999999999997E-2</v>
      </c>
      <c r="E871" s="60">
        <v>631.2319</v>
      </c>
      <c r="F871" s="60">
        <v>26.164999999999999</v>
      </c>
      <c r="G871" s="60">
        <v>109.0213</v>
      </c>
      <c r="H871" s="60">
        <v>1.1898</v>
      </c>
    </row>
    <row r="872" spans="1:8" x14ac:dyDescent="0.15">
      <c r="A872" s="60" t="s">
        <v>13</v>
      </c>
      <c r="B872" s="60">
        <v>2505</v>
      </c>
      <c r="C872" s="60">
        <v>24</v>
      </c>
      <c r="D872" s="60">
        <v>4.9599999999999998E-2</v>
      </c>
      <c r="E872" s="60">
        <v>633.71310000000005</v>
      </c>
      <c r="F872" s="60">
        <v>26.268000000000001</v>
      </c>
      <c r="G872" s="60">
        <v>109.4498</v>
      </c>
      <c r="H872" s="60">
        <v>1.1828000000000001</v>
      </c>
    </row>
    <row r="873" spans="1:8" x14ac:dyDescent="0.15">
      <c r="A873" s="60" t="s">
        <v>13</v>
      </c>
      <c r="B873" s="60">
        <v>2505</v>
      </c>
      <c r="C873" s="60">
        <v>24</v>
      </c>
      <c r="D873" s="60">
        <v>4.9700000000000001E-2</v>
      </c>
      <c r="E873" s="60">
        <v>632.52739999999994</v>
      </c>
      <c r="F873" s="60">
        <v>26.219000000000001</v>
      </c>
      <c r="G873" s="60">
        <v>109.245</v>
      </c>
      <c r="H873" s="60">
        <v>1.1878</v>
      </c>
    </row>
    <row r="874" spans="1:8" x14ac:dyDescent="0.15">
      <c r="A874" s="60" t="s">
        <v>13</v>
      </c>
      <c r="B874" s="60">
        <v>2505</v>
      </c>
      <c r="C874" s="60">
        <v>24</v>
      </c>
      <c r="D874" s="60">
        <v>4.9700000000000001E-2</v>
      </c>
      <c r="E874" s="60">
        <v>632.90940000000001</v>
      </c>
      <c r="F874" s="60">
        <v>26.234999999999999</v>
      </c>
      <c r="G874" s="60">
        <v>109.31100000000001</v>
      </c>
      <c r="H874" s="60">
        <v>1.1908000000000001</v>
      </c>
    </row>
    <row r="875" spans="1:8" x14ac:dyDescent="0.15">
      <c r="A875" s="60" t="s">
        <v>13</v>
      </c>
      <c r="B875" s="60">
        <v>2510</v>
      </c>
      <c r="C875" s="60">
        <v>1</v>
      </c>
      <c r="D875" s="60">
        <v>1.2424999999999999</v>
      </c>
      <c r="E875" s="60">
        <v>25.454000000000001</v>
      </c>
      <c r="F875" s="60">
        <v>1</v>
      </c>
      <c r="G875" s="60">
        <v>100</v>
      </c>
      <c r="H875" s="60">
        <v>7.6887999999999996</v>
      </c>
    </row>
    <row r="876" spans="1:8" x14ac:dyDescent="0.15">
      <c r="A876" s="60" t="s">
        <v>13</v>
      </c>
      <c r="B876" s="60">
        <v>2510</v>
      </c>
      <c r="C876" s="60">
        <v>1</v>
      </c>
      <c r="D876" s="60">
        <v>0.71560000000000001</v>
      </c>
      <c r="E876" s="60">
        <v>44.194800000000001</v>
      </c>
      <c r="F876" s="60">
        <v>1.736</v>
      </c>
      <c r="G876" s="60">
        <v>173.62610000000001</v>
      </c>
      <c r="H876" s="60">
        <v>0.71489999999999998</v>
      </c>
    </row>
    <row r="877" spans="1:8" x14ac:dyDescent="0.15">
      <c r="A877" s="60" t="s">
        <v>13</v>
      </c>
      <c r="B877" s="60">
        <v>2510</v>
      </c>
      <c r="C877" s="60">
        <v>1</v>
      </c>
      <c r="D877" s="60">
        <v>0.7147</v>
      </c>
      <c r="E877" s="60">
        <v>44.249000000000002</v>
      </c>
      <c r="F877" s="60">
        <v>1.738</v>
      </c>
      <c r="G877" s="60">
        <v>173.8389</v>
      </c>
      <c r="H877" s="60">
        <v>0.71389999999999998</v>
      </c>
    </row>
    <row r="878" spans="1:8" x14ac:dyDescent="0.15">
      <c r="A878" s="60" t="s">
        <v>13</v>
      </c>
      <c r="B878" s="60">
        <v>2510</v>
      </c>
      <c r="C878" s="60">
        <v>1</v>
      </c>
      <c r="D878" s="60">
        <v>0.71519999999999995</v>
      </c>
      <c r="E878" s="60">
        <v>44.217599999999997</v>
      </c>
      <c r="F878" s="60">
        <v>1.7370000000000001</v>
      </c>
      <c r="G878" s="60">
        <v>173.7157</v>
      </c>
      <c r="H878" s="60">
        <v>0.71489999999999998</v>
      </c>
    </row>
    <row r="879" spans="1:8" x14ac:dyDescent="0.15">
      <c r="A879" s="60" t="s">
        <v>13</v>
      </c>
      <c r="B879" s="60">
        <v>2510</v>
      </c>
      <c r="C879" s="60">
        <v>1</v>
      </c>
      <c r="D879" s="60">
        <v>0.71450000000000002</v>
      </c>
      <c r="E879" s="60">
        <v>44.262999999999998</v>
      </c>
      <c r="F879" s="60">
        <v>1.7390000000000001</v>
      </c>
      <c r="G879" s="60">
        <v>173.89410000000001</v>
      </c>
      <c r="H879" s="60">
        <v>0.71489999999999998</v>
      </c>
    </row>
    <row r="880" spans="1:8" x14ac:dyDescent="0.15">
      <c r="A880" s="60" t="s">
        <v>13</v>
      </c>
      <c r="B880" s="60">
        <v>2510</v>
      </c>
      <c r="C880" s="60">
        <v>1</v>
      </c>
      <c r="D880" s="60">
        <v>0.71519999999999995</v>
      </c>
      <c r="E880" s="60">
        <v>44.222700000000003</v>
      </c>
      <c r="F880" s="60">
        <v>1.7370000000000001</v>
      </c>
      <c r="G880" s="60">
        <v>173.73580000000001</v>
      </c>
      <c r="H880" s="60">
        <v>0.71389999999999998</v>
      </c>
    </row>
    <row r="881" spans="1:8" x14ac:dyDescent="0.15">
      <c r="A881" s="60" t="s">
        <v>13</v>
      </c>
      <c r="B881" s="60">
        <v>2510</v>
      </c>
      <c r="C881" s="60">
        <v>23</v>
      </c>
      <c r="D881" s="60">
        <v>6.6400000000000001E-2</v>
      </c>
      <c r="E881" s="60">
        <v>476.63290000000001</v>
      </c>
      <c r="F881" s="60">
        <v>18.725000000000001</v>
      </c>
      <c r="G881" s="60">
        <v>81.414199999999994</v>
      </c>
      <c r="H881" s="60">
        <v>1.4548000000000001</v>
      </c>
    </row>
    <row r="882" spans="1:8" x14ac:dyDescent="0.15">
      <c r="A882" s="60" t="s">
        <v>13</v>
      </c>
      <c r="B882" s="60">
        <v>2510</v>
      </c>
      <c r="C882" s="60">
        <v>23</v>
      </c>
      <c r="D882" s="60">
        <v>4.4299999999999999E-2</v>
      </c>
      <c r="E882" s="60">
        <v>714.43259999999998</v>
      </c>
      <c r="F882" s="60">
        <v>28.068000000000001</v>
      </c>
      <c r="G882" s="60">
        <v>122.033</v>
      </c>
      <c r="H882" s="60">
        <v>1.0167999999999999</v>
      </c>
    </row>
    <row r="883" spans="1:8" x14ac:dyDescent="0.15">
      <c r="A883" s="60" t="s">
        <v>13</v>
      </c>
      <c r="B883" s="60">
        <v>2510</v>
      </c>
      <c r="C883" s="60">
        <v>23</v>
      </c>
      <c r="D883" s="60">
        <v>4.53E-2</v>
      </c>
      <c r="E883" s="60">
        <v>697.47929999999997</v>
      </c>
      <c r="F883" s="60">
        <v>27.402000000000001</v>
      </c>
      <c r="G883" s="60">
        <v>119.13720000000001</v>
      </c>
      <c r="H883" s="60">
        <v>1.0407999999999999</v>
      </c>
    </row>
    <row r="884" spans="1:8" x14ac:dyDescent="0.15">
      <c r="A884" s="60" t="s">
        <v>13</v>
      </c>
      <c r="B884" s="60">
        <v>2510</v>
      </c>
      <c r="C884" s="60">
        <v>23</v>
      </c>
      <c r="D884" s="60">
        <v>4.5999999999999999E-2</v>
      </c>
      <c r="E884" s="60">
        <v>687.3682</v>
      </c>
      <c r="F884" s="60">
        <v>27.004000000000001</v>
      </c>
      <c r="G884" s="60">
        <v>117.4101</v>
      </c>
      <c r="H884" s="60">
        <v>1.0578000000000001</v>
      </c>
    </row>
    <row r="885" spans="1:8" x14ac:dyDescent="0.15">
      <c r="A885" s="60" t="s">
        <v>13</v>
      </c>
      <c r="B885" s="60">
        <v>2510</v>
      </c>
      <c r="C885" s="60">
        <v>23</v>
      </c>
      <c r="D885" s="60">
        <v>4.5999999999999999E-2</v>
      </c>
      <c r="E885" s="60">
        <v>687.81679999999994</v>
      </c>
      <c r="F885" s="60">
        <v>27.021999999999998</v>
      </c>
      <c r="G885" s="60">
        <v>117.4867</v>
      </c>
      <c r="H885" s="60">
        <v>1.0558000000000001</v>
      </c>
    </row>
    <row r="886" spans="1:8" x14ac:dyDescent="0.15">
      <c r="A886" s="60" t="s">
        <v>13</v>
      </c>
      <c r="B886" s="60">
        <v>2510</v>
      </c>
      <c r="C886" s="60">
        <v>23</v>
      </c>
      <c r="D886" s="60">
        <v>4.5900000000000003E-2</v>
      </c>
      <c r="E886" s="60">
        <v>689.31590000000006</v>
      </c>
      <c r="F886" s="60">
        <v>27.081</v>
      </c>
      <c r="G886" s="60">
        <v>117.7428</v>
      </c>
      <c r="H886" s="60">
        <v>1.0538000000000001</v>
      </c>
    </row>
    <row r="887" spans="1:8" x14ac:dyDescent="0.15">
      <c r="A887" s="60" t="s">
        <v>13</v>
      </c>
      <c r="B887" s="60">
        <v>2510</v>
      </c>
      <c r="C887" s="60">
        <v>23</v>
      </c>
      <c r="D887" s="60">
        <v>4.5999999999999999E-2</v>
      </c>
      <c r="E887" s="60">
        <v>687.3682</v>
      </c>
      <c r="F887" s="60">
        <v>27.004000000000001</v>
      </c>
      <c r="G887" s="60">
        <v>117.4101</v>
      </c>
      <c r="H887" s="60">
        <v>1.0568</v>
      </c>
    </row>
    <row r="888" spans="1:8" x14ac:dyDescent="0.15">
      <c r="A888" s="60" t="s">
        <v>13</v>
      </c>
      <c r="B888" s="60">
        <v>2510</v>
      </c>
      <c r="C888" s="60">
        <v>23</v>
      </c>
      <c r="D888" s="60">
        <v>4.6300000000000001E-2</v>
      </c>
      <c r="E888" s="60">
        <v>682.37030000000004</v>
      </c>
      <c r="F888" s="60">
        <v>26.808</v>
      </c>
      <c r="G888" s="60">
        <v>116.5564</v>
      </c>
      <c r="H888" s="60">
        <v>1.0668</v>
      </c>
    </row>
    <row r="889" spans="1:8" x14ac:dyDescent="0.15">
      <c r="A889" s="60" t="s">
        <v>13</v>
      </c>
      <c r="B889" s="60">
        <v>2510</v>
      </c>
      <c r="C889" s="60">
        <v>23</v>
      </c>
      <c r="D889" s="60">
        <v>4.6100000000000002E-2</v>
      </c>
      <c r="E889" s="60">
        <v>686.24969999999996</v>
      </c>
      <c r="F889" s="60">
        <v>26.96</v>
      </c>
      <c r="G889" s="60">
        <v>117.21899999999999</v>
      </c>
      <c r="H889" s="60">
        <v>1.0588</v>
      </c>
    </row>
    <row r="890" spans="1:8" x14ac:dyDescent="0.15">
      <c r="A890" s="60" t="s">
        <v>13</v>
      </c>
      <c r="B890" s="60">
        <v>2510</v>
      </c>
      <c r="C890" s="60">
        <v>23</v>
      </c>
      <c r="D890" s="60">
        <v>4.6100000000000002E-2</v>
      </c>
      <c r="E890" s="60">
        <v>686.14549999999997</v>
      </c>
      <c r="F890" s="60">
        <v>26.956</v>
      </c>
      <c r="G890" s="60">
        <v>117.2012</v>
      </c>
      <c r="H890" s="60">
        <v>1.0598000000000001</v>
      </c>
    </row>
    <row r="891" spans="1:8" x14ac:dyDescent="0.15">
      <c r="A891" s="60" t="s">
        <v>13</v>
      </c>
      <c r="B891" s="60">
        <v>2510</v>
      </c>
      <c r="C891" s="60">
        <v>23</v>
      </c>
      <c r="D891" s="60">
        <v>4.5999999999999999E-2</v>
      </c>
      <c r="E891" s="60">
        <v>688.02620000000002</v>
      </c>
      <c r="F891" s="60">
        <v>27.03</v>
      </c>
      <c r="G891" s="60">
        <v>117.52249999999999</v>
      </c>
      <c r="H891" s="60">
        <v>1.0558000000000001</v>
      </c>
    </row>
    <row r="892" spans="1:8" x14ac:dyDescent="0.15">
      <c r="A892" s="60" t="s">
        <v>13</v>
      </c>
      <c r="B892" s="60">
        <v>2510</v>
      </c>
      <c r="C892" s="60">
        <v>23</v>
      </c>
      <c r="D892" s="60">
        <v>4.6199999999999998E-2</v>
      </c>
      <c r="E892" s="60">
        <v>685.25340000000006</v>
      </c>
      <c r="F892" s="60">
        <v>26.920999999999999</v>
      </c>
      <c r="G892" s="60">
        <v>117.0489</v>
      </c>
      <c r="H892" s="60">
        <v>1.0598000000000001</v>
      </c>
    </row>
    <row r="893" spans="1:8" x14ac:dyDescent="0.15">
      <c r="A893" s="60" t="s">
        <v>13</v>
      </c>
      <c r="B893" s="60">
        <v>2510</v>
      </c>
      <c r="C893" s="60">
        <v>23</v>
      </c>
      <c r="D893" s="60">
        <v>4.6100000000000002E-2</v>
      </c>
      <c r="E893" s="60">
        <v>685.46130000000005</v>
      </c>
      <c r="F893" s="60">
        <v>26.928999999999998</v>
      </c>
      <c r="G893" s="60">
        <v>117.0844</v>
      </c>
      <c r="H893" s="60">
        <v>1.0598000000000001</v>
      </c>
    </row>
    <row r="894" spans="1:8" x14ac:dyDescent="0.15">
      <c r="A894" s="60" t="s">
        <v>13</v>
      </c>
      <c r="B894" s="60">
        <v>2510</v>
      </c>
      <c r="C894" s="60">
        <v>23</v>
      </c>
      <c r="D894" s="60">
        <v>4.5900000000000003E-2</v>
      </c>
      <c r="E894" s="60">
        <v>688.29579999999999</v>
      </c>
      <c r="F894" s="60">
        <v>27.041</v>
      </c>
      <c r="G894" s="60">
        <v>117.5685</v>
      </c>
      <c r="H894" s="60">
        <v>1.0558000000000001</v>
      </c>
    </row>
    <row r="895" spans="1:8" x14ac:dyDescent="0.15">
      <c r="A895" s="60" t="s">
        <v>13</v>
      </c>
      <c r="B895" s="60">
        <v>2510</v>
      </c>
      <c r="C895" s="60">
        <v>23</v>
      </c>
      <c r="D895" s="60">
        <v>4.6100000000000002E-2</v>
      </c>
      <c r="E895" s="60">
        <v>685.46130000000005</v>
      </c>
      <c r="F895" s="60">
        <v>26.928999999999998</v>
      </c>
      <c r="G895" s="60">
        <v>117.0844</v>
      </c>
      <c r="H895" s="60">
        <v>1.0608</v>
      </c>
    </row>
    <row r="896" spans="1:8" x14ac:dyDescent="0.15">
      <c r="A896" s="60" t="s">
        <v>13</v>
      </c>
      <c r="B896" s="60">
        <v>2510</v>
      </c>
      <c r="C896" s="60">
        <v>23</v>
      </c>
      <c r="D896" s="60">
        <v>4.5999999999999999E-2</v>
      </c>
      <c r="E896" s="60">
        <v>687.35339999999997</v>
      </c>
      <c r="F896" s="60">
        <v>27.004000000000001</v>
      </c>
      <c r="G896" s="60">
        <v>117.4076</v>
      </c>
      <c r="H896" s="60">
        <v>1.0568</v>
      </c>
    </row>
    <row r="897" spans="1:8" x14ac:dyDescent="0.15">
      <c r="A897" s="60" t="s">
        <v>13</v>
      </c>
      <c r="B897" s="60">
        <v>2510</v>
      </c>
      <c r="C897" s="60">
        <v>23</v>
      </c>
      <c r="D897" s="60">
        <v>4.6199999999999998E-2</v>
      </c>
      <c r="E897" s="60">
        <v>685.26829999999995</v>
      </c>
      <c r="F897" s="60">
        <v>26.922000000000001</v>
      </c>
      <c r="G897" s="60">
        <v>117.0514</v>
      </c>
      <c r="H897" s="60">
        <v>1.0608</v>
      </c>
    </row>
    <row r="898" spans="1:8" x14ac:dyDescent="0.15">
      <c r="A898" s="60" t="s">
        <v>13</v>
      </c>
      <c r="B898" s="60">
        <v>2510</v>
      </c>
      <c r="C898" s="60">
        <v>23</v>
      </c>
      <c r="D898" s="60">
        <v>4.5999999999999999E-2</v>
      </c>
      <c r="E898" s="60">
        <v>686.83090000000004</v>
      </c>
      <c r="F898" s="60">
        <v>26.983000000000001</v>
      </c>
      <c r="G898" s="60">
        <v>117.31829999999999</v>
      </c>
      <c r="H898" s="60">
        <v>1.0588</v>
      </c>
    </row>
    <row r="899" spans="1:8" x14ac:dyDescent="0.15">
      <c r="A899" s="60" t="s">
        <v>13</v>
      </c>
      <c r="B899" s="60">
        <v>2510</v>
      </c>
      <c r="C899" s="60">
        <v>23</v>
      </c>
      <c r="D899" s="60">
        <v>4.6100000000000002E-2</v>
      </c>
      <c r="E899" s="60">
        <v>686.27940000000001</v>
      </c>
      <c r="F899" s="60">
        <v>26.962</v>
      </c>
      <c r="G899" s="60">
        <v>117.22410000000001</v>
      </c>
      <c r="H899" s="60">
        <v>1.0588</v>
      </c>
    </row>
    <row r="900" spans="1:8" x14ac:dyDescent="0.15">
      <c r="A900" s="60" t="s">
        <v>13</v>
      </c>
      <c r="B900" s="60">
        <v>2510</v>
      </c>
      <c r="C900" s="60">
        <v>23</v>
      </c>
      <c r="D900" s="60">
        <v>4.6199999999999998E-2</v>
      </c>
      <c r="E900" s="60">
        <v>684.89729999999997</v>
      </c>
      <c r="F900" s="60">
        <v>26.907</v>
      </c>
      <c r="G900" s="60">
        <v>116.988</v>
      </c>
      <c r="H900" s="60">
        <v>1.0608</v>
      </c>
    </row>
    <row r="901" spans="1:8" x14ac:dyDescent="0.15">
      <c r="A901" s="60" t="s">
        <v>13</v>
      </c>
      <c r="B901" s="60">
        <v>2510</v>
      </c>
      <c r="C901" s="60">
        <v>23</v>
      </c>
      <c r="D901" s="60">
        <v>4.5999999999999999E-2</v>
      </c>
      <c r="E901" s="60">
        <v>687.77189999999996</v>
      </c>
      <c r="F901" s="60">
        <v>27.02</v>
      </c>
      <c r="G901" s="60">
        <v>117.4791</v>
      </c>
      <c r="H901" s="60">
        <v>1.0568</v>
      </c>
    </row>
    <row r="902" spans="1:8" x14ac:dyDescent="0.15">
      <c r="A902" s="60" t="s">
        <v>13</v>
      </c>
      <c r="B902" s="60">
        <v>2510</v>
      </c>
      <c r="C902" s="60">
        <v>23</v>
      </c>
      <c r="D902" s="60">
        <v>4.5999999999999999E-2</v>
      </c>
      <c r="E902" s="60">
        <v>687.27869999999996</v>
      </c>
      <c r="F902" s="60">
        <v>27.001000000000001</v>
      </c>
      <c r="G902" s="60">
        <v>117.3948</v>
      </c>
      <c r="H902" s="60">
        <v>1.0568</v>
      </c>
    </row>
    <row r="903" spans="1:8" x14ac:dyDescent="0.15">
      <c r="A903" s="60" t="s">
        <v>13</v>
      </c>
      <c r="B903" s="60">
        <v>2510</v>
      </c>
      <c r="C903" s="60">
        <v>23</v>
      </c>
      <c r="D903" s="60">
        <v>4.6399999999999997E-2</v>
      </c>
      <c r="E903" s="60">
        <v>681.17989999999998</v>
      </c>
      <c r="F903" s="60">
        <v>26.760999999999999</v>
      </c>
      <c r="G903" s="60">
        <v>116.3531</v>
      </c>
      <c r="H903" s="60">
        <v>1.0658000000000001</v>
      </c>
    </row>
    <row r="904" spans="1:8" x14ac:dyDescent="0.15">
      <c r="A904" s="60" t="s">
        <v>13</v>
      </c>
      <c r="B904" s="60">
        <v>2510</v>
      </c>
      <c r="C904" s="60">
        <v>23</v>
      </c>
      <c r="D904" s="60">
        <v>4.6100000000000002E-2</v>
      </c>
      <c r="E904" s="60">
        <v>686.45820000000003</v>
      </c>
      <c r="F904" s="60">
        <v>26.969000000000001</v>
      </c>
      <c r="G904" s="60">
        <v>117.2547</v>
      </c>
      <c r="H904" s="60">
        <v>1.0568</v>
      </c>
    </row>
    <row r="905" spans="1:8" x14ac:dyDescent="0.15">
      <c r="A905" s="60" t="s">
        <v>13</v>
      </c>
      <c r="B905" s="60">
        <v>2510</v>
      </c>
      <c r="C905" s="60">
        <v>23</v>
      </c>
      <c r="D905" s="60">
        <v>4.6199999999999998E-2</v>
      </c>
      <c r="E905" s="60">
        <v>684.09730000000002</v>
      </c>
      <c r="F905" s="60">
        <v>26.876000000000001</v>
      </c>
      <c r="G905" s="60">
        <v>116.8514</v>
      </c>
      <c r="H905" s="60">
        <v>1.0628</v>
      </c>
    </row>
    <row r="906" spans="1:8" x14ac:dyDescent="0.15">
      <c r="A906" s="60" t="s">
        <v>13</v>
      </c>
      <c r="B906" s="60">
        <v>2510</v>
      </c>
      <c r="C906" s="60">
        <v>23</v>
      </c>
      <c r="D906" s="60">
        <v>4.6399999999999997E-2</v>
      </c>
      <c r="E906" s="60">
        <v>681.10649999999998</v>
      </c>
      <c r="F906" s="60">
        <v>26.757999999999999</v>
      </c>
      <c r="G906" s="60">
        <v>116.34050000000001</v>
      </c>
      <c r="H906" s="60">
        <v>1.0658000000000001</v>
      </c>
    </row>
    <row r="907" spans="1:8" x14ac:dyDescent="0.15">
      <c r="A907" s="60" t="s">
        <v>13</v>
      </c>
      <c r="B907" s="60">
        <v>2510</v>
      </c>
      <c r="C907" s="60">
        <v>23</v>
      </c>
      <c r="D907" s="60">
        <v>4.6199999999999998E-2</v>
      </c>
      <c r="E907" s="60">
        <v>683.84580000000005</v>
      </c>
      <c r="F907" s="60">
        <v>26.866</v>
      </c>
      <c r="G907" s="60">
        <v>116.80840000000001</v>
      </c>
      <c r="H907" s="60">
        <v>1.0618000000000001</v>
      </c>
    </row>
    <row r="908" spans="1:8" x14ac:dyDescent="0.15">
      <c r="A908" s="60" t="s">
        <v>13</v>
      </c>
      <c r="B908" s="60">
        <v>2510</v>
      </c>
      <c r="C908" s="60">
        <v>23</v>
      </c>
      <c r="D908" s="60">
        <v>4.6300000000000001E-2</v>
      </c>
      <c r="E908" s="60">
        <v>683.04830000000004</v>
      </c>
      <c r="F908" s="60">
        <v>26.835000000000001</v>
      </c>
      <c r="G908" s="60">
        <v>116.6722</v>
      </c>
      <c r="H908" s="60">
        <v>1.0648</v>
      </c>
    </row>
    <row r="909" spans="1:8" x14ac:dyDescent="0.15">
      <c r="A909" s="60" t="s">
        <v>13</v>
      </c>
      <c r="B909" s="60">
        <v>2510</v>
      </c>
      <c r="C909" s="60">
        <v>23</v>
      </c>
      <c r="D909" s="60">
        <v>4.6300000000000001E-2</v>
      </c>
      <c r="E909" s="60">
        <v>683.15160000000003</v>
      </c>
      <c r="F909" s="60">
        <v>26.838999999999999</v>
      </c>
      <c r="G909" s="60">
        <v>116.68980000000001</v>
      </c>
      <c r="H909" s="60">
        <v>1.0628</v>
      </c>
    </row>
    <row r="910" spans="1:8" x14ac:dyDescent="0.15">
      <c r="A910" s="60" t="s">
        <v>13</v>
      </c>
      <c r="B910" s="60">
        <v>2510</v>
      </c>
      <c r="C910" s="60">
        <v>23</v>
      </c>
      <c r="D910" s="60">
        <v>4.6399999999999997E-2</v>
      </c>
      <c r="E910" s="60">
        <v>681.87019999999995</v>
      </c>
      <c r="F910" s="60">
        <v>26.788</v>
      </c>
      <c r="G910" s="60">
        <v>116.471</v>
      </c>
      <c r="H910" s="60">
        <v>1.0658000000000001</v>
      </c>
    </row>
    <row r="911" spans="1:8" x14ac:dyDescent="0.15">
      <c r="A911" s="60" t="s">
        <v>13</v>
      </c>
      <c r="B911" s="60">
        <v>2510</v>
      </c>
      <c r="C911" s="60">
        <v>23</v>
      </c>
      <c r="D911" s="60">
        <v>4.6300000000000001E-2</v>
      </c>
      <c r="E911" s="60">
        <v>682.59130000000005</v>
      </c>
      <c r="F911" s="60">
        <v>26.817</v>
      </c>
      <c r="G911" s="60">
        <v>116.5941</v>
      </c>
      <c r="H911" s="60">
        <v>1.0658000000000001</v>
      </c>
    </row>
    <row r="912" spans="1:8" x14ac:dyDescent="0.15">
      <c r="A912" s="60" t="s">
        <v>13</v>
      </c>
      <c r="B912" s="60">
        <v>2510</v>
      </c>
      <c r="C912" s="60">
        <v>23</v>
      </c>
      <c r="D912" s="60">
        <v>4.6199999999999998E-2</v>
      </c>
      <c r="E912" s="60">
        <v>684.23050000000001</v>
      </c>
      <c r="F912" s="60">
        <v>26.881</v>
      </c>
      <c r="G912" s="60">
        <v>116.8741</v>
      </c>
      <c r="H912" s="60">
        <v>1.0618000000000001</v>
      </c>
    </row>
    <row r="913" spans="1:8" x14ac:dyDescent="0.15">
      <c r="A913" s="60" t="s">
        <v>13</v>
      </c>
      <c r="B913" s="60">
        <v>2510</v>
      </c>
      <c r="C913" s="60">
        <v>23</v>
      </c>
      <c r="D913" s="60">
        <v>4.6300000000000001E-2</v>
      </c>
      <c r="E913" s="60">
        <v>682.78290000000004</v>
      </c>
      <c r="F913" s="60">
        <v>26.824000000000002</v>
      </c>
      <c r="G913" s="60">
        <v>116.62690000000001</v>
      </c>
      <c r="H913" s="60">
        <v>1.0628</v>
      </c>
    </row>
    <row r="914" spans="1:8" x14ac:dyDescent="0.15">
      <c r="A914" s="60" t="s">
        <v>13</v>
      </c>
      <c r="B914" s="60">
        <v>2510</v>
      </c>
      <c r="C914" s="60">
        <v>23</v>
      </c>
      <c r="D914" s="60">
        <v>4.6300000000000001E-2</v>
      </c>
      <c r="E914" s="60">
        <v>682.81240000000003</v>
      </c>
      <c r="F914" s="60">
        <v>26.824999999999999</v>
      </c>
      <c r="G914" s="60">
        <v>116.6319</v>
      </c>
      <c r="H914" s="60">
        <v>1.0658000000000001</v>
      </c>
    </row>
    <row r="915" spans="1:8" x14ac:dyDescent="0.15">
      <c r="A915" s="60" t="s">
        <v>13</v>
      </c>
      <c r="B915" s="60">
        <v>2510</v>
      </c>
      <c r="C915" s="60">
        <v>23</v>
      </c>
      <c r="D915" s="60">
        <v>4.65E-2</v>
      </c>
      <c r="E915" s="60">
        <v>680.13980000000004</v>
      </c>
      <c r="F915" s="60">
        <v>26.72</v>
      </c>
      <c r="G915" s="60">
        <v>116.1754</v>
      </c>
      <c r="H915" s="60">
        <v>1.0678000000000001</v>
      </c>
    </row>
    <row r="916" spans="1:8" x14ac:dyDescent="0.15">
      <c r="A916" s="60" t="s">
        <v>13</v>
      </c>
      <c r="B916" s="60">
        <v>2510</v>
      </c>
      <c r="C916" s="60">
        <v>23</v>
      </c>
      <c r="D916" s="60">
        <v>4.8500000000000001E-2</v>
      </c>
      <c r="E916" s="60">
        <v>652.16010000000006</v>
      </c>
      <c r="F916" s="60">
        <v>25.620999999999999</v>
      </c>
      <c r="G916" s="60">
        <v>111.39619999999999</v>
      </c>
      <c r="H916" s="60">
        <v>1.1148</v>
      </c>
    </row>
    <row r="917" spans="1:8" x14ac:dyDescent="0.15">
      <c r="A917" s="60" t="s">
        <v>13</v>
      </c>
      <c r="B917" s="60">
        <v>2510</v>
      </c>
      <c r="C917" s="60">
        <v>23</v>
      </c>
      <c r="D917" s="60">
        <v>4.99E-2</v>
      </c>
      <c r="E917" s="60">
        <v>633.68340000000001</v>
      </c>
      <c r="F917" s="60">
        <v>24.895</v>
      </c>
      <c r="G917" s="60">
        <v>108.2401</v>
      </c>
      <c r="H917" s="60">
        <v>1.1337999999999999</v>
      </c>
    </row>
    <row r="918" spans="1:8" x14ac:dyDescent="0.15">
      <c r="A918" s="60" t="s">
        <v>13</v>
      </c>
      <c r="B918" s="60">
        <v>2510</v>
      </c>
      <c r="C918" s="60">
        <v>23</v>
      </c>
      <c r="D918" s="60">
        <v>4.9599999999999998E-2</v>
      </c>
      <c r="E918" s="60">
        <v>638.01689999999996</v>
      </c>
      <c r="F918" s="60">
        <v>25.065000000000001</v>
      </c>
      <c r="G918" s="60">
        <v>108.9804</v>
      </c>
      <c r="H918" s="60">
        <v>1.1408</v>
      </c>
    </row>
    <row r="919" spans="1:8" x14ac:dyDescent="0.15">
      <c r="A919" s="60" t="s">
        <v>13</v>
      </c>
      <c r="B919" s="60">
        <v>2510</v>
      </c>
      <c r="C919" s="60">
        <v>23</v>
      </c>
      <c r="D919" s="60">
        <v>4.9599999999999998E-2</v>
      </c>
      <c r="E919" s="60">
        <v>637.79830000000004</v>
      </c>
      <c r="F919" s="60">
        <v>25.056999999999999</v>
      </c>
      <c r="G919" s="60">
        <v>108.943</v>
      </c>
      <c r="H919" s="60">
        <v>1.1388</v>
      </c>
    </row>
    <row r="920" spans="1:8" x14ac:dyDescent="0.15">
      <c r="A920" s="60" t="s">
        <v>13</v>
      </c>
      <c r="B920" s="60">
        <v>2510</v>
      </c>
      <c r="C920" s="60">
        <v>23</v>
      </c>
      <c r="D920" s="60">
        <v>4.9099999999999998E-2</v>
      </c>
      <c r="E920" s="60">
        <v>643.62620000000004</v>
      </c>
      <c r="F920" s="60">
        <v>25.286000000000001</v>
      </c>
      <c r="G920" s="60">
        <v>109.9385</v>
      </c>
      <c r="H920" s="60">
        <v>1.1317999999999999</v>
      </c>
    </row>
    <row r="921" spans="1:8" x14ac:dyDescent="0.15">
      <c r="A921" s="60" t="s">
        <v>13</v>
      </c>
      <c r="B921" s="60">
        <v>2510</v>
      </c>
      <c r="C921" s="60">
        <v>23</v>
      </c>
      <c r="D921" s="60">
        <v>4.9399999999999999E-2</v>
      </c>
      <c r="E921" s="60">
        <v>639.9923</v>
      </c>
      <c r="F921" s="60">
        <v>25.143000000000001</v>
      </c>
      <c r="G921" s="60">
        <v>109.31780000000001</v>
      </c>
      <c r="H921" s="60">
        <v>1.1277999999999999</v>
      </c>
    </row>
    <row r="922" spans="1:8" x14ac:dyDescent="0.15">
      <c r="A922" s="60" t="s">
        <v>13</v>
      </c>
      <c r="B922" s="60">
        <v>2510</v>
      </c>
      <c r="C922" s="60">
        <v>23</v>
      </c>
      <c r="D922" s="60">
        <v>4.9000000000000002E-2</v>
      </c>
      <c r="E922" s="60">
        <v>645.01760000000002</v>
      </c>
      <c r="F922" s="60">
        <v>25.341000000000001</v>
      </c>
      <c r="G922" s="60">
        <v>110.17610000000001</v>
      </c>
      <c r="H922" s="60">
        <v>1.1397999999999999</v>
      </c>
    </row>
    <row r="923" spans="1:8" x14ac:dyDescent="0.15">
      <c r="A923" s="60" t="s">
        <v>13</v>
      </c>
      <c r="B923" s="60">
        <v>2510</v>
      </c>
      <c r="C923" s="60">
        <v>23</v>
      </c>
      <c r="D923" s="60">
        <v>4.9200000000000001E-2</v>
      </c>
      <c r="E923" s="60">
        <v>642.94579999999996</v>
      </c>
      <c r="F923" s="60">
        <v>25.259</v>
      </c>
      <c r="G923" s="60">
        <v>109.8223</v>
      </c>
      <c r="H923" s="60">
        <v>1.1297999999999999</v>
      </c>
    </row>
    <row r="924" spans="1:8" x14ac:dyDescent="0.15">
      <c r="A924" s="60" t="s">
        <v>13</v>
      </c>
      <c r="B924" s="60">
        <v>2510</v>
      </c>
      <c r="C924" s="60">
        <v>23</v>
      </c>
      <c r="D924" s="60">
        <v>4.9200000000000001E-2</v>
      </c>
      <c r="E924" s="60">
        <v>642.76289999999995</v>
      </c>
      <c r="F924" s="60">
        <v>25.251999999999999</v>
      </c>
      <c r="G924" s="60">
        <v>109.791</v>
      </c>
      <c r="H924" s="60">
        <v>1.1317999999999999</v>
      </c>
    </row>
    <row r="925" spans="1:8" x14ac:dyDescent="0.15">
      <c r="A925" s="60" t="s">
        <v>13</v>
      </c>
      <c r="B925" s="60">
        <v>2510</v>
      </c>
      <c r="C925" s="60">
        <v>23</v>
      </c>
      <c r="D925" s="60">
        <v>4.9200000000000001E-2</v>
      </c>
      <c r="E925" s="60">
        <v>643.4298</v>
      </c>
      <c r="F925" s="60">
        <v>25.277999999999999</v>
      </c>
      <c r="G925" s="60">
        <v>109.9049</v>
      </c>
      <c r="H925" s="60">
        <v>1.1297999999999999</v>
      </c>
    </row>
    <row r="926" spans="1:8" x14ac:dyDescent="0.15">
      <c r="A926" s="60" t="s">
        <v>13</v>
      </c>
      <c r="B926" s="60">
        <v>2510</v>
      </c>
      <c r="C926" s="60">
        <v>23</v>
      </c>
      <c r="D926" s="60">
        <v>4.9399999999999999E-2</v>
      </c>
      <c r="E926" s="60">
        <v>639.75930000000005</v>
      </c>
      <c r="F926" s="60">
        <v>25.134</v>
      </c>
      <c r="G926" s="60">
        <v>109.27800000000001</v>
      </c>
      <c r="H926" s="60">
        <v>1.1348</v>
      </c>
    </row>
    <row r="927" spans="1:8" x14ac:dyDescent="0.15">
      <c r="A927" s="60" t="s">
        <v>13</v>
      </c>
      <c r="B927" s="60">
        <v>2510</v>
      </c>
      <c r="C927" s="60">
        <v>23</v>
      </c>
      <c r="D927" s="60">
        <v>4.9299999999999997E-2</v>
      </c>
      <c r="E927" s="60">
        <v>642.00609999999995</v>
      </c>
      <c r="F927" s="60">
        <v>25.222000000000001</v>
      </c>
      <c r="G927" s="60">
        <v>109.6617</v>
      </c>
      <c r="H927" s="60">
        <v>1.1317999999999999</v>
      </c>
    </row>
    <row r="928" spans="1:8" x14ac:dyDescent="0.15">
      <c r="A928" s="60" t="s">
        <v>13</v>
      </c>
      <c r="B928" s="60">
        <v>2510</v>
      </c>
      <c r="C928" s="60">
        <v>23</v>
      </c>
      <c r="D928" s="60">
        <v>4.9299999999999997E-2</v>
      </c>
      <c r="E928" s="60">
        <v>641.39409999999998</v>
      </c>
      <c r="F928" s="60">
        <v>25.198</v>
      </c>
      <c r="G928" s="60">
        <v>109.55719999999999</v>
      </c>
      <c r="H928" s="60">
        <v>1.1337999999999999</v>
      </c>
    </row>
    <row r="929" spans="1:8" x14ac:dyDescent="0.15">
      <c r="A929" s="60" t="s">
        <v>13</v>
      </c>
      <c r="B929" s="60">
        <v>2510</v>
      </c>
      <c r="C929" s="60">
        <v>23</v>
      </c>
      <c r="D929" s="60">
        <v>4.9399999999999999E-2</v>
      </c>
      <c r="E929" s="60">
        <v>640.52380000000005</v>
      </c>
      <c r="F929" s="60">
        <v>25.164000000000001</v>
      </c>
      <c r="G929" s="60">
        <v>109.4085</v>
      </c>
      <c r="H929" s="60">
        <v>1.1337999999999999</v>
      </c>
    </row>
    <row r="930" spans="1:8" x14ac:dyDescent="0.15">
      <c r="A930" s="60" t="s">
        <v>13</v>
      </c>
      <c r="B930" s="60">
        <v>2510</v>
      </c>
      <c r="C930" s="60">
        <v>23</v>
      </c>
      <c r="D930" s="60">
        <v>4.9200000000000001E-2</v>
      </c>
      <c r="E930" s="60">
        <v>642.47559999999999</v>
      </c>
      <c r="F930" s="60">
        <v>25.241</v>
      </c>
      <c r="G930" s="60">
        <v>109.7419</v>
      </c>
      <c r="H930" s="60">
        <v>1.1308</v>
      </c>
    </row>
    <row r="931" spans="1:8" x14ac:dyDescent="0.15">
      <c r="A931" s="60" t="s">
        <v>13</v>
      </c>
      <c r="B931" s="60">
        <v>2510</v>
      </c>
      <c r="C931" s="60">
        <v>23</v>
      </c>
      <c r="D931" s="60">
        <v>4.9200000000000001E-2</v>
      </c>
      <c r="E931" s="60">
        <v>642.24069999999995</v>
      </c>
      <c r="F931" s="60">
        <v>25.231000000000002</v>
      </c>
      <c r="G931" s="60">
        <v>109.70180000000001</v>
      </c>
      <c r="H931" s="60">
        <v>1.1328</v>
      </c>
    </row>
    <row r="932" spans="1:8" x14ac:dyDescent="0.15">
      <c r="A932" s="60" t="s">
        <v>13</v>
      </c>
      <c r="B932" s="60">
        <v>2510</v>
      </c>
      <c r="C932" s="60">
        <v>24</v>
      </c>
      <c r="D932" s="60">
        <v>5.8299999999999998E-2</v>
      </c>
      <c r="E932" s="60">
        <v>542.52509999999995</v>
      </c>
      <c r="F932" s="60">
        <v>21.314</v>
      </c>
      <c r="G932" s="60">
        <v>88.808099999999996</v>
      </c>
      <c r="H932" s="60">
        <v>1.3968</v>
      </c>
    </row>
    <row r="933" spans="1:8" x14ac:dyDescent="0.15">
      <c r="A933" s="60" t="s">
        <v>13</v>
      </c>
      <c r="B933" s="60">
        <v>2510</v>
      </c>
      <c r="C933" s="60">
        <v>24</v>
      </c>
      <c r="D933" s="60">
        <v>4.8300000000000003E-2</v>
      </c>
      <c r="E933" s="60">
        <v>654.65750000000003</v>
      </c>
      <c r="F933" s="60">
        <v>25.719000000000001</v>
      </c>
      <c r="G933" s="60">
        <v>107.1635</v>
      </c>
      <c r="H933" s="60">
        <v>1.1577999999999999</v>
      </c>
    </row>
    <row r="934" spans="1:8" x14ac:dyDescent="0.15">
      <c r="A934" s="60" t="s">
        <v>13</v>
      </c>
      <c r="B934" s="60">
        <v>2510</v>
      </c>
      <c r="C934" s="60">
        <v>24</v>
      </c>
      <c r="D934" s="60">
        <v>4.9099999999999998E-2</v>
      </c>
      <c r="E934" s="60">
        <v>644.64949999999999</v>
      </c>
      <c r="F934" s="60">
        <v>25.326000000000001</v>
      </c>
      <c r="G934" s="60">
        <v>105.5252</v>
      </c>
      <c r="H934" s="60">
        <v>1.1758</v>
      </c>
    </row>
    <row r="935" spans="1:8" x14ac:dyDescent="0.15">
      <c r="A935" s="60" t="s">
        <v>13</v>
      </c>
      <c r="B935" s="60">
        <v>2510</v>
      </c>
      <c r="C935" s="60">
        <v>24</v>
      </c>
      <c r="D935" s="60">
        <v>4.8899999999999999E-2</v>
      </c>
      <c r="E935" s="60">
        <v>647.02340000000004</v>
      </c>
      <c r="F935" s="60">
        <v>25.419</v>
      </c>
      <c r="G935" s="60">
        <v>105.91379999999999</v>
      </c>
      <c r="H935" s="60">
        <v>1.1708000000000001</v>
      </c>
    </row>
    <row r="936" spans="1:8" x14ac:dyDescent="0.15">
      <c r="A936" s="60" t="s">
        <v>13</v>
      </c>
      <c r="B936" s="60">
        <v>2510</v>
      </c>
      <c r="C936" s="60">
        <v>24</v>
      </c>
      <c r="D936" s="60">
        <v>4.9099999999999998E-2</v>
      </c>
      <c r="E936" s="60">
        <v>644.58370000000002</v>
      </c>
      <c r="F936" s="60">
        <v>25.323</v>
      </c>
      <c r="G936" s="60">
        <v>105.51439999999999</v>
      </c>
      <c r="H936" s="60">
        <v>1.1758</v>
      </c>
    </row>
    <row r="937" spans="1:8" x14ac:dyDescent="0.15">
      <c r="A937" s="60" t="s">
        <v>13</v>
      </c>
      <c r="B937" s="60">
        <v>2510</v>
      </c>
      <c r="C937" s="60">
        <v>24</v>
      </c>
      <c r="D937" s="60">
        <v>4.8800000000000003E-2</v>
      </c>
      <c r="E937" s="60">
        <v>647.67259999999999</v>
      </c>
      <c r="F937" s="60">
        <v>25.445</v>
      </c>
      <c r="G937" s="60">
        <v>106.0201</v>
      </c>
      <c r="H937" s="60">
        <v>1.1677999999999999</v>
      </c>
    </row>
    <row r="938" spans="1:8" x14ac:dyDescent="0.15">
      <c r="A938" s="60" t="s">
        <v>13</v>
      </c>
      <c r="B938" s="60">
        <v>2510</v>
      </c>
      <c r="C938" s="60">
        <v>24</v>
      </c>
      <c r="D938" s="60">
        <v>4.8899999999999999E-2</v>
      </c>
      <c r="E938" s="60">
        <v>647.15570000000002</v>
      </c>
      <c r="F938" s="60">
        <v>25.425000000000001</v>
      </c>
      <c r="G938" s="60">
        <v>105.9355</v>
      </c>
      <c r="H938" s="60">
        <v>1.1718</v>
      </c>
    </row>
    <row r="939" spans="1:8" x14ac:dyDescent="0.15">
      <c r="A939" s="60" t="s">
        <v>13</v>
      </c>
      <c r="B939" s="60">
        <v>2510</v>
      </c>
      <c r="C939" s="60">
        <v>24</v>
      </c>
      <c r="D939" s="60">
        <v>4.9000000000000002E-2</v>
      </c>
      <c r="E939" s="60">
        <v>646.05849999999998</v>
      </c>
      <c r="F939" s="60">
        <v>25.381</v>
      </c>
      <c r="G939" s="60">
        <v>105.7559</v>
      </c>
      <c r="H939" s="60">
        <v>1.1748000000000001</v>
      </c>
    </row>
    <row r="940" spans="1:8" x14ac:dyDescent="0.15">
      <c r="A940" s="60" t="s">
        <v>13</v>
      </c>
      <c r="B940" s="60">
        <v>2510</v>
      </c>
      <c r="C940" s="60">
        <v>24</v>
      </c>
      <c r="D940" s="60">
        <v>4.8899999999999999E-2</v>
      </c>
      <c r="E940" s="60">
        <v>647.34119999999996</v>
      </c>
      <c r="F940" s="60">
        <v>25.431999999999999</v>
      </c>
      <c r="G940" s="60">
        <v>105.9658</v>
      </c>
      <c r="H940" s="60">
        <v>1.1718</v>
      </c>
    </row>
    <row r="941" spans="1:8" x14ac:dyDescent="0.15">
      <c r="A941" s="60" t="s">
        <v>13</v>
      </c>
      <c r="B941" s="60">
        <v>2510</v>
      </c>
      <c r="C941" s="60">
        <v>24</v>
      </c>
      <c r="D941" s="60">
        <v>4.8800000000000003E-2</v>
      </c>
      <c r="E941" s="60">
        <v>647.88490000000002</v>
      </c>
      <c r="F941" s="60">
        <v>25.452999999999999</v>
      </c>
      <c r="G941" s="60">
        <v>106.0548</v>
      </c>
      <c r="H941" s="60">
        <v>1.1708000000000001</v>
      </c>
    </row>
    <row r="942" spans="1:8" x14ac:dyDescent="0.15">
      <c r="A942" s="60" t="s">
        <v>13</v>
      </c>
      <c r="B942" s="60">
        <v>2510</v>
      </c>
      <c r="C942" s="60">
        <v>24</v>
      </c>
      <c r="D942" s="60">
        <v>4.9000000000000002E-2</v>
      </c>
      <c r="E942" s="60">
        <v>646.07169999999996</v>
      </c>
      <c r="F942" s="60">
        <v>25.382000000000001</v>
      </c>
      <c r="G942" s="60">
        <v>105.758</v>
      </c>
      <c r="H942" s="60">
        <v>1.1728000000000001</v>
      </c>
    </row>
    <row r="943" spans="1:8" x14ac:dyDescent="0.15">
      <c r="A943" s="60" t="s">
        <v>13</v>
      </c>
      <c r="B943" s="60">
        <v>2510</v>
      </c>
      <c r="C943" s="60">
        <v>24</v>
      </c>
      <c r="D943" s="60">
        <v>4.8899999999999999E-2</v>
      </c>
      <c r="E943" s="60">
        <v>646.83810000000005</v>
      </c>
      <c r="F943" s="60">
        <v>25.411999999999999</v>
      </c>
      <c r="G943" s="60">
        <v>105.8835</v>
      </c>
      <c r="H943" s="60">
        <v>1.1718</v>
      </c>
    </row>
    <row r="944" spans="1:8" x14ac:dyDescent="0.15">
      <c r="A944" s="60" t="s">
        <v>13</v>
      </c>
      <c r="B944" s="60">
        <v>2510</v>
      </c>
      <c r="C944" s="60">
        <v>24</v>
      </c>
      <c r="D944" s="60">
        <v>4.8899999999999999E-2</v>
      </c>
      <c r="E944" s="60">
        <v>646.21690000000001</v>
      </c>
      <c r="F944" s="60">
        <v>25.388000000000002</v>
      </c>
      <c r="G944" s="60">
        <v>105.7818</v>
      </c>
      <c r="H944" s="60">
        <v>1.1718</v>
      </c>
    </row>
    <row r="945" spans="1:8" x14ac:dyDescent="0.15">
      <c r="A945" s="60" t="s">
        <v>13</v>
      </c>
      <c r="B945" s="60">
        <v>2510</v>
      </c>
      <c r="C945" s="60">
        <v>24</v>
      </c>
      <c r="D945" s="60">
        <v>4.8899999999999999E-2</v>
      </c>
      <c r="E945" s="60">
        <v>647.12929999999994</v>
      </c>
      <c r="F945" s="60">
        <v>25.422999999999998</v>
      </c>
      <c r="G945" s="60">
        <v>105.9311</v>
      </c>
      <c r="H945" s="60">
        <v>1.1718</v>
      </c>
    </row>
    <row r="946" spans="1:8" x14ac:dyDescent="0.15">
      <c r="A946" s="60" t="s">
        <v>13</v>
      </c>
      <c r="B946" s="60">
        <v>2510</v>
      </c>
      <c r="C946" s="60">
        <v>24</v>
      </c>
      <c r="D946" s="60">
        <v>4.8899999999999999E-2</v>
      </c>
      <c r="E946" s="60">
        <v>647.14250000000004</v>
      </c>
      <c r="F946" s="60">
        <v>25.423999999999999</v>
      </c>
      <c r="G946" s="60">
        <v>105.9333</v>
      </c>
      <c r="H946" s="60">
        <v>1.1718</v>
      </c>
    </row>
    <row r="947" spans="1:8" x14ac:dyDescent="0.15">
      <c r="A947" s="60" t="s">
        <v>13</v>
      </c>
      <c r="B947" s="60">
        <v>2510</v>
      </c>
      <c r="C947" s="60">
        <v>24</v>
      </c>
      <c r="D947" s="60">
        <v>4.9000000000000002E-2</v>
      </c>
      <c r="E947" s="60">
        <v>645.80790000000002</v>
      </c>
      <c r="F947" s="60">
        <v>25.372</v>
      </c>
      <c r="G947" s="60">
        <v>105.7148</v>
      </c>
      <c r="H947" s="60">
        <v>1.1748000000000001</v>
      </c>
    </row>
    <row r="948" spans="1:8" x14ac:dyDescent="0.15">
      <c r="A948" s="60" t="s">
        <v>13</v>
      </c>
      <c r="B948" s="60">
        <v>2510</v>
      </c>
      <c r="C948" s="60">
        <v>24</v>
      </c>
      <c r="D948" s="60">
        <v>4.8899999999999999E-2</v>
      </c>
      <c r="E948" s="60">
        <v>646.73230000000001</v>
      </c>
      <c r="F948" s="60">
        <v>25.408000000000001</v>
      </c>
      <c r="G948" s="60">
        <v>105.86620000000001</v>
      </c>
      <c r="H948" s="60">
        <v>1.1708000000000001</v>
      </c>
    </row>
    <row r="949" spans="1:8" x14ac:dyDescent="0.15">
      <c r="A949" s="60" t="s">
        <v>13</v>
      </c>
      <c r="B949" s="60">
        <v>2510</v>
      </c>
      <c r="C949" s="60">
        <v>24</v>
      </c>
      <c r="D949" s="60">
        <v>4.9000000000000002E-2</v>
      </c>
      <c r="E949" s="60">
        <v>645.39930000000004</v>
      </c>
      <c r="F949" s="60">
        <v>25.356000000000002</v>
      </c>
      <c r="G949" s="60">
        <v>105.648</v>
      </c>
      <c r="H949" s="60">
        <v>1.1748000000000001</v>
      </c>
    </row>
    <row r="950" spans="1:8" x14ac:dyDescent="0.15">
      <c r="A950" s="60" t="s">
        <v>13</v>
      </c>
      <c r="B950" s="60">
        <v>2510</v>
      </c>
      <c r="C950" s="60">
        <v>24</v>
      </c>
      <c r="D950" s="60">
        <v>4.8899999999999999E-2</v>
      </c>
      <c r="E950" s="60">
        <v>647.18219999999997</v>
      </c>
      <c r="F950" s="60">
        <v>25.425999999999998</v>
      </c>
      <c r="G950" s="60">
        <v>105.93980000000001</v>
      </c>
      <c r="H950" s="60">
        <v>1.1718</v>
      </c>
    </row>
    <row r="951" spans="1:8" x14ac:dyDescent="0.15">
      <c r="A951" s="60" t="s">
        <v>13</v>
      </c>
      <c r="B951" s="60">
        <v>2510</v>
      </c>
      <c r="C951" s="60">
        <v>24</v>
      </c>
      <c r="D951" s="60">
        <v>4.8899999999999999E-2</v>
      </c>
      <c r="E951" s="60">
        <v>647.16899999999998</v>
      </c>
      <c r="F951" s="60">
        <v>25.425000000000001</v>
      </c>
      <c r="G951" s="60">
        <v>105.9376</v>
      </c>
      <c r="H951" s="60">
        <v>1.1718</v>
      </c>
    </row>
    <row r="952" spans="1:8" x14ac:dyDescent="0.15">
      <c r="A952" s="60" t="s">
        <v>13</v>
      </c>
      <c r="B952" s="60">
        <v>2510</v>
      </c>
      <c r="C952" s="60">
        <v>24</v>
      </c>
      <c r="D952" s="60">
        <v>4.8899999999999999E-2</v>
      </c>
      <c r="E952" s="60">
        <v>646.16409999999996</v>
      </c>
      <c r="F952" s="60">
        <v>25.385999999999999</v>
      </c>
      <c r="G952" s="60">
        <v>105.7731</v>
      </c>
      <c r="H952" s="60">
        <v>1.1738</v>
      </c>
    </row>
    <row r="953" spans="1:8" x14ac:dyDescent="0.15">
      <c r="A953" s="60" t="s">
        <v>13</v>
      </c>
      <c r="B953" s="60">
        <v>2510</v>
      </c>
      <c r="C953" s="60">
        <v>24</v>
      </c>
      <c r="D953" s="60">
        <v>4.8800000000000003E-2</v>
      </c>
      <c r="E953" s="60">
        <v>647.47370000000001</v>
      </c>
      <c r="F953" s="60">
        <v>25.437000000000001</v>
      </c>
      <c r="G953" s="60">
        <v>105.9875</v>
      </c>
      <c r="H953" s="60">
        <v>1.1708000000000001</v>
      </c>
    </row>
    <row r="954" spans="1:8" x14ac:dyDescent="0.15">
      <c r="A954" s="60" t="s">
        <v>13</v>
      </c>
      <c r="B954" s="60">
        <v>2510</v>
      </c>
      <c r="C954" s="60">
        <v>24</v>
      </c>
      <c r="D954" s="60">
        <v>4.8899999999999999E-2</v>
      </c>
      <c r="E954" s="60">
        <v>646.17729999999995</v>
      </c>
      <c r="F954" s="60">
        <v>25.385999999999999</v>
      </c>
      <c r="G954" s="60">
        <v>105.7753</v>
      </c>
      <c r="H954" s="60">
        <v>1.1738</v>
      </c>
    </row>
    <row r="955" spans="1:8" x14ac:dyDescent="0.15">
      <c r="A955" s="60" t="s">
        <v>13</v>
      </c>
      <c r="B955" s="60">
        <v>2510</v>
      </c>
      <c r="C955" s="60">
        <v>24</v>
      </c>
      <c r="D955" s="60">
        <v>4.8800000000000003E-2</v>
      </c>
      <c r="E955" s="60">
        <v>647.54</v>
      </c>
      <c r="F955" s="60">
        <v>25.44</v>
      </c>
      <c r="G955" s="60">
        <v>105.9984</v>
      </c>
      <c r="H955" s="60">
        <v>1.1708000000000001</v>
      </c>
    </row>
    <row r="956" spans="1:8" x14ac:dyDescent="0.15">
      <c r="A956" s="60" t="s">
        <v>13</v>
      </c>
      <c r="B956" s="60">
        <v>2510</v>
      </c>
      <c r="C956" s="60">
        <v>24</v>
      </c>
      <c r="D956" s="60">
        <v>4.8800000000000003E-2</v>
      </c>
      <c r="E956" s="60">
        <v>647.73889999999994</v>
      </c>
      <c r="F956" s="60">
        <v>25.446999999999999</v>
      </c>
      <c r="G956" s="60">
        <v>106.0309</v>
      </c>
      <c r="H956" s="60">
        <v>1.1698</v>
      </c>
    </row>
    <row r="957" spans="1:8" x14ac:dyDescent="0.15">
      <c r="A957" s="60" t="s">
        <v>13</v>
      </c>
      <c r="B957" s="60">
        <v>2510</v>
      </c>
      <c r="C957" s="60">
        <v>24</v>
      </c>
      <c r="D957" s="60">
        <v>4.9000000000000002E-2</v>
      </c>
      <c r="E957" s="60">
        <v>645.22810000000004</v>
      </c>
      <c r="F957" s="60">
        <v>25.349</v>
      </c>
      <c r="G957" s="60">
        <v>105.6199</v>
      </c>
      <c r="H957" s="60">
        <v>1.1748000000000001</v>
      </c>
    </row>
    <row r="958" spans="1:8" x14ac:dyDescent="0.15">
      <c r="A958" s="60" t="s">
        <v>13</v>
      </c>
      <c r="B958" s="60">
        <v>2510</v>
      </c>
      <c r="C958" s="60">
        <v>24</v>
      </c>
      <c r="D958" s="60">
        <v>4.8800000000000003E-2</v>
      </c>
      <c r="E958" s="60">
        <v>647.47370000000001</v>
      </c>
      <c r="F958" s="60">
        <v>25.437000000000001</v>
      </c>
      <c r="G958" s="60">
        <v>105.9875</v>
      </c>
      <c r="H958" s="60">
        <v>1.1708000000000001</v>
      </c>
    </row>
    <row r="959" spans="1:8" x14ac:dyDescent="0.15">
      <c r="A959" s="60" t="s">
        <v>13</v>
      </c>
      <c r="B959" s="60">
        <v>2510</v>
      </c>
      <c r="C959" s="60">
        <v>24</v>
      </c>
      <c r="D959" s="60">
        <v>4.9000000000000002E-2</v>
      </c>
      <c r="E959" s="60">
        <v>645.47839999999997</v>
      </c>
      <c r="F959" s="60">
        <v>25.359000000000002</v>
      </c>
      <c r="G959" s="60">
        <v>105.6609</v>
      </c>
      <c r="H959" s="60">
        <v>1.1748000000000001</v>
      </c>
    </row>
    <row r="960" spans="1:8" x14ac:dyDescent="0.15">
      <c r="A960" s="60" t="s">
        <v>13</v>
      </c>
      <c r="B960" s="60">
        <v>2510</v>
      </c>
      <c r="C960" s="60">
        <v>24</v>
      </c>
      <c r="D960" s="60">
        <v>4.8800000000000003E-2</v>
      </c>
      <c r="E960" s="60">
        <v>647.57979999999998</v>
      </c>
      <c r="F960" s="60">
        <v>25.440999999999999</v>
      </c>
      <c r="G960" s="60">
        <v>106.00490000000001</v>
      </c>
      <c r="H960" s="60">
        <v>1.1698</v>
      </c>
    </row>
    <row r="961" spans="1:8" x14ac:dyDescent="0.15">
      <c r="A961" s="60" t="s">
        <v>13</v>
      </c>
      <c r="B961" s="60">
        <v>2510</v>
      </c>
      <c r="C961" s="60">
        <v>24</v>
      </c>
      <c r="D961" s="60">
        <v>4.8800000000000003E-2</v>
      </c>
      <c r="E961" s="60">
        <v>647.69920000000002</v>
      </c>
      <c r="F961" s="60">
        <v>25.446000000000002</v>
      </c>
      <c r="G961" s="60">
        <v>106.0244</v>
      </c>
      <c r="H961" s="60">
        <v>1.1708000000000001</v>
      </c>
    </row>
    <row r="962" spans="1:8" x14ac:dyDescent="0.15">
      <c r="A962" s="60" t="s">
        <v>13</v>
      </c>
      <c r="B962" s="60">
        <v>2510</v>
      </c>
      <c r="C962" s="60">
        <v>24</v>
      </c>
      <c r="D962" s="60">
        <v>4.9000000000000002E-2</v>
      </c>
      <c r="E962" s="60">
        <v>645.97940000000006</v>
      </c>
      <c r="F962" s="60">
        <v>25.378</v>
      </c>
      <c r="G962" s="60">
        <v>105.74290000000001</v>
      </c>
      <c r="H962" s="60">
        <v>1.1648000000000001</v>
      </c>
    </row>
    <row r="963" spans="1:8" x14ac:dyDescent="0.15">
      <c r="A963" s="60" t="s">
        <v>13</v>
      </c>
      <c r="B963" s="60">
        <v>2510</v>
      </c>
      <c r="C963" s="60">
        <v>24</v>
      </c>
      <c r="D963" s="60">
        <v>4.8899999999999999E-2</v>
      </c>
      <c r="E963" s="60">
        <v>647.0498</v>
      </c>
      <c r="F963" s="60">
        <v>25.42</v>
      </c>
      <c r="G963" s="60">
        <v>105.9181</v>
      </c>
      <c r="H963" s="60">
        <v>1.1748000000000001</v>
      </c>
    </row>
    <row r="964" spans="1:8" x14ac:dyDescent="0.15">
      <c r="A964" s="60" t="s">
        <v>13</v>
      </c>
      <c r="B964" s="60">
        <v>2510</v>
      </c>
      <c r="C964" s="60">
        <v>24</v>
      </c>
      <c r="D964" s="60">
        <v>4.8800000000000003E-2</v>
      </c>
      <c r="E964" s="60">
        <v>647.42070000000001</v>
      </c>
      <c r="F964" s="60">
        <v>25.434999999999999</v>
      </c>
      <c r="G964" s="60">
        <v>105.97880000000001</v>
      </c>
      <c r="H964" s="60">
        <v>1.1708000000000001</v>
      </c>
    </row>
    <row r="965" spans="1:8" x14ac:dyDescent="0.15">
      <c r="A965" s="60" t="s">
        <v>13</v>
      </c>
      <c r="B965" s="60">
        <v>2510</v>
      </c>
      <c r="C965" s="60">
        <v>24</v>
      </c>
      <c r="D965" s="60">
        <v>4.9000000000000002E-2</v>
      </c>
      <c r="E965" s="60">
        <v>645.33349999999996</v>
      </c>
      <c r="F965" s="60">
        <v>25.353000000000002</v>
      </c>
      <c r="G965" s="60">
        <v>105.63720000000001</v>
      </c>
      <c r="H965" s="60">
        <v>1.1748000000000001</v>
      </c>
    </row>
    <row r="966" spans="1:8" x14ac:dyDescent="0.15">
      <c r="A966" s="60" t="s">
        <v>13</v>
      </c>
      <c r="B966" s="60">
        <v>2510</v>
      </c>
      <c r="C966" s="60">
        <v>24</v>
      </c>
      <c r="D966" s="60">
        <v>4.8899999999999999E-2</v>
      </c>
      <c r="E966" s="60">
        <v>646.53399999999999</v>
      </c>
      <c r="F966" s="60">
        <v>25.4</v>
      </c>
      <c r="G966" s="60">
        <v>105.83369999999999</v>
      </c>
      <c r="H966" s="60">
        <v>1.1808000000000001</v>
      </c>
    </row>
    <row r="967" spans="1:8" x14ac:dyDescent="0.15">
      <c r="A967" s="60" t="s">
        <v>13</v>
      </c>
      <c r="B967" s="60">
        <v>2510</v>
      </c>
      <c r="C967" s="60">
        <v>24</v>
      </c>
      <c r="D967" s="60">
        <v>4.9000000000000002E-2</v>
      </c>
      <c r="E967" s="60">
        <v>645.30709999999999</v>
      </c>
      <c r="F967" s="60">
        <v>25.352</v>
      </c>
      <c r="G967" s="60">
        <v>105.63290000000001</v>
      </c>
      <c r="H967" s="60">
        <v>1.1748000000000001</v>
      </c>
    </row>
    <row r="968" spans="1:8" x14ac:dyDescent="0.15">
      <c r="A968" s="60" t="s">
        <v>13</v>
      </c>
      <c r="B968" s="60">
        <v>2510</v>
      </c>
      <c r="C968" s="60">
        <v>24</v>
      </c>
      <c r="D968" s="60">
        <v>4.9000000000000002E-2</v>
      </c>
      <c r="E968" s="60">
        <v>645.83420000000001</v>
      </c>
      <c r="F968" s="60">
        <v>25.373000000000001</v>
      </c>
      <c r="G968" s="60">
        <v>105.7192</v>
      </c>
      <c r="H968" s="60">
        <v>1.1738</v>
      </c>
    </row>
    <row r="969" spans="1:8" x14ac:dyDescent="0.15">
      <c r="A969" s="60" t="s">
        <v>13</v>
      </c>
      <c r="B969" s="60">
        <v>2510</v>
      </c>
      <c r="C969" s="60">
        <v>24</v>
      </c>
      <c r="D969" s="60">
        <v>4.8899999999999999E-2</v>
      </c>
      <c r="E969" s="60">
        <v>646.46789999999999</v>
      </c>
      <c r="F969" s="60">
        <v>25.396999999999998</v>
      </c>
      <c r="G969" s="60">
        <v>105.8229</v>
      </c>
      <c r="H969" s="60">
        <v>1.1728000000000001</v>
      </c>
    </row>
    <row r="970" spans="1:8" x14ac:dyDescent="0.15">
      <c r="A970" s="60" t="s">
        <v>13</v>
      </c>
      <c r="B970" s="60">
        <v>2510</v>
      </c>
      <c r="C970" s="60">
        <v>24</v>
      </c>
      <c r="D970" s="60">
        <v>4.9000000000000002E-2</v>
      </c>
      <c r="E970" s="60">
        <v>645.7287</v>
      </c>
      <c r="F970" s="60">
        <v>25.367999999999999</v>
      </c>
      <c r="G970" s="60">
        <v>105.70189999999999</v>
      </c>
      <c r="H970" s="60">
        <v>1.1748000000000001</v>
      </c>
    </row>
    <row r="971" spans="1:8" x14ac:dyDescent="0.15">
      <c r="A971" s="60" t="s">
        <v>13</v>
      </c>
      <c r="B971" s="60">
        <v>2510</v>
      </c>
      <c r="C971" s="60">
        <v>24</v>
      </c>
      <c r="D971" s="60">
        <v>4.8800000000000003E-2</v>
      </c>
      <c r="E971" s="60">
        <v>647.63279999999997</v>
      </c>
      <c r="F971" s="60">
        <v>25.443000000000001</v>
      </c>
      <c r="G971" s="60">
        <v>106.0136</v>
      </c>
      <c r="H971" s="60">
        <v>1.1698</v>
      </c>
    </row>
    <row r="972" spans="1:8" x14ac:dyDescent="0.15">
      <c r="A972" s="60" t="s">
        <v>13</v>
      </c>
      <c r="B972" s="60">
        <v>2510</v>
      </c>
      <c r="C972" s="60">
        <v>24</v>
      </c>
      <c r="D972" s="60">
        <v>4.9000000000000002E-2</v>
      </c>
      <c r="E972" s="60">
        <v>645.32029999999997</v>
      </c>
      <c r="F972" s="60">
        <v>25.352</v>
      </c>
      <c r="G972" s="60">
        <v>105.63500000000001</v>
      </c>
      <c r="H972" s="60">
        <v>1.1748000000000001</v>
      </c>
    </row>
    <row r="973" spans="1:8" x14ac:dyDescent="0.15">
      <c r="A973" s="60" t="s">
        <v>13</v>
      </c>
      <c r="B973" s="60">
        <v>2510</v>
      </c>
      <c r="C973" s="60">
        <v>24</v>
      </c>
      <c r="D973" s="60">
        <v>4.8899999999999999E-2</v>
      </c>
      <c r="E973" s="60">
        <v>646.89099999999996</v>
      </c>
      <c r="F973" s="60">
        <v>25.414000000000001</v>
      </c>
      <c r="G973" s="60">
        <v>105.8921</v>
      </c>
      <c r="H973" s="60">
        <v>1.1708000000000001</v>
      </c>
    </row>
    <row r="974" spans="1:8" x14ac:dyDescent="0.15">
      <c r="A974" s="60" t="s">
        <v>13</v>
      </c>
      <c r="B974" s="60">
        <v>2510</v>
      </c>
      <c r="C974" s="60">
        <v>24</v>
      </c>
      <c r="D974" s="60">
        <v>4.8800000000000003E-2</v>
      </c>
      <c r="E974" s="60">
        <v>647.61959999999999</v>
      </c>
      <c r="F974" s="60">
        <v>25.443000000000001</v>
      </c>
      <c r="G974" s="60">
        <v>106.01139999999999</v>
      </c>
      <c r="H974" s="60">
        <v>1.1718</v>
      </c>
    </row>
    <row r="975" spans="1:8" x14ac:dyDescent="0.15">
      <c r="A975" s="60" t="s">
        <v>13</v>
      </c>
      <c r="B975" s="60">
        <v>2510</v>
      </c>
      <c r="C975" s="60">
        <v>24</v>
      </c>
      <c r="D975" s="60">
        <v>4.9000000000000002E-2</v>
      </c>
      <c r="E975" s="60">
        <v>644.92560000000003</v>
      </c>
      <c r="F975" s="60">
        <v>25.337</v>
      </c>
      <c r="G975" s="60">
        <v>105.57040000000001</v>
      </c>
      <c r="H975" s="60">
        <v>1.1758</v>
      </c>
    </row>
    <row r="976" spans="1:8" x14ac:dyDescent="0.15">
      <c r="A976" s="60" t="s">
        <v>13</v>
      </c>
      <c r="B976" s="60">
        <v>2510</v>
      </c>
      <c r="C976" s="60">
        <v>24</v>
      </c>
      <c r="D976" s="60">
        <v>4.8899999999999999E-2</v>
      </c>
      <c r="E976" s="60">
        <v>646.91750000000002</v>
      </c>
      <c r="F976" s="60">
        <v>25.414999999999999</v>
      </c>
      <c r="G976" s="60">
        <v>105.8965</v>
      </c>
      <c r="H976" s="60">
        <v>1.1708000000000001</v>
      </c>
    </row>
    <row r="977" spans="1:8" x14ac:dyDescent="0.15">
      <c r="A977" s="60" t="s">
        <v>13</v>
      </c>
      <c r="B977" s="60">
        <v>2510</v>
      </c>
      <c r="C977" s="60">
        <v>24</v>
      </c>
      <c r="D977" s="60">
        <v>4.9000000000000002E-2</v>
      </c>
      <c r="E977" s="60">
        <v>645.38610000000006</v>
      </c>
      <c r="F977" s="60">
        <v>25.355</v>
      </c>
      <c r="G977" s="60">
        <v>105.64579999999999</v>
      </c>
      <c r="H977" s="60">
        <v>1.1758</v>
      </c>
    </row>
    <row r="978" spans="1:8" x14ac:dyDescent="0.15">
      <c r="A978" s="60" t="s">
        <v>13</v>
      </c>
      <c r="B978" s="60">
        <v>2510</v>
      </c>
      <c r="C978" s="60">
        <v>24</v>
      </c>
      <c r="D978" s="60">
        <v>4.9299999999999997E-2</v>
      </c>
      <c r="E978" s="60">
        <v>640.90020000000004</v>
      </c>
      <c r="F978" s="60">
        <v>25.178999999999998</v>
      </c>
      <c r="G978" s="60">
        <v>104.9115</v>
      </c>
      <c r="H978" s="60">
        <v>1.1798</v>
      </c>
    </row>
    <row r="979" spans="1:8" x14ac:dyDescent="0.15">
      <c r="A979" s="60" t="s">
        <v>13</v>
      </c>
      <c r="B979" s="60">
        <v>2510</v>
      </c>
      <c r="C979" s="60">
        <v>24</v>
      </c>
      <c r="D979" s="60">
        <v>4.9200000000000001E-2</v>
      </c>
      <c r="E979" s="60">
        <v>643.24649999999997</v>
      </c>
      <c r="F979" s="60">
        <v>25.271000000000001</v>
      </c>
      <c r="G979" s="60">
        <v>105.29559999999999</v>
      </c>
      <c r="H979" s="60">
        <v>1.1738</v>
      </c>
    </row>
    <row r="980" spans="1:8" x14ac:dyDescent="0.15">
      <c r="A980" s="60" t="s">
        <v>13</v>
      </c>
      <c r="B980" s="60">
        <v>2510</v>
      </c>
      <c r="C980" s="60">
        <v>24</v>
      </c>
      <c r="D980" s="60">
        <v>5.74E-2</v>
      </c>
      <c r="E980" s="60">
        <v>550.64859999999999</v>
      </c>
      <c r="F980" s="60">
        <v>21.632999999999999</v>
      </c>
      <c r="G980" s="60">
        <v>90.137799999999999</v>
      </c>
      <c r="H980" s="60">
        <v>1.3588</v>
      </c>
    </row>
    <row r="981" spans="1:8" x14ac:dyDescent="0.15">
      <c r="A981" s="60" t="s">
        <v>13</v>
      </c>
      <c r="B981" s="60">
        <v>2510</v>
      </c>
      <c r="C981" s="60">
        <v>24</v>
      </c>
      <c r="D981" s="60">
        <v>4.7899999999999998E-2</v>
      </c>
      <c r="E981" s="60">
        <v>660.50919999999996</v>
      </c>
      <c r="F981" s="60">
        <v>25.949000000000002</v>
      </c>
      <c r="G981" s="60">
        <v>108.12139999999999</v>
      </c>
      <c r="H981" s="60">
        <v>1.1477999999999999</v>
      </c>
    </row>
    <row r="982" spans="1:8" x14ac:dyDescent="0.15">
      <c r="A982" s="60" t="s">
        <v>13</v>
      </c>
      <c r="B982" s="60">
        <v>2510</v>
      </c>
      <c r="C982" s="60">
        <v>24</v>
      </c>
      <c r="D982" s="60">
        <v>4.9000000000000002E-2</v>
      </c>
      <c r="E982" s="60">
        <v>645.32029999999997</v>
      </c>
      <c r="F982" s="60">
        <v>25.352</v>
      </c>
      <c r="G982" s="60">
        <v>105.63500000000001</v>
      </c>
      <c r="H982" s="60">
        <v>1.1748000000000001</v>
      </c>
    </row>
    <row r="983" spans="1:8" x14ac:dyDescent="0.15">
      <c r="A983" s="60" t="s">
        <v>13</v>
      </c>
      <c r="B983" s="60">
        <v>10000</v>
      </c>
      <c r="C983" s="60">
        <v>1</v>
      </c>
      <c r="D983" s="60">
        <v>44.676099999999998</v>
      </c>
      <c r="E983" s="60">
        <v>44.7667</v>
      </c>
      <c r="F983" s="60">
        <v>1</v>
      </c>
      <c r="G983" s="60">
        <v>100</v>
      </c>
      <c r="H983" s="60">
        <v>50.844299999999997</v>
      </c>
    </row>
    <row r="984" spans="1:8" x14ac:dyDescent="0.15">
      <c r="A984" s="60" t="s">
        <v>13</v>
      </c>
      <c r="B984" s="60">
        <v>10000</v>
      </c>
      <c r="C984" s="60">
        <v>1</v>
      </c>
      <c r="D984" s="60">
        <v>43.876600000000003</v>
      </c>
      <c r="E984" s="60">
        <v>45.5824</v>
      </c>
      <c r="F984" s="60">
        <v>1.018</v>
      </c>
      <c r="G984" s="60">
        <v>101.8222</v>
      </c>
      <c r="H984" s="60">
        <v>43.849299999999999</v>
      </c>
    </row>
    <row r="985" spans="1:8" x14ac:dyDescent="0.15">
      <c r="A985" s="60" t="s">
        <v>13</v>
      </c>
      <c r="B985" s="60">
        <v>10000</v>
      </c>
      <c r="C985" s="60">
        <v>1</v>
      </c>
      <c r="D985" s="60">
        <v>43.912199999999999</v>
      </c>
      <c r="E985" s="60">
        <v>45.545400000000001</v>
      </c>
      <c r="F985" s="60">
        <v>1.0169999999999999</v>
      </c>
      <c r="G985" s="60">
        <v>101.7396</v>
      </c>
      <c r="H985" s="60">
        <v>43.884300000000003</v>
      </c>
    </row>
    <row r="986" spans="1:8" x14ac:dyDescent="0.15">
      <c r="A986" s="60" t="s">
        <v>13</v>
      </c>
      <c r="B986" s="60">
        <v>10000</v>
      </c>
      <c r="C986" s="60">
        <v>1</v>
      </c>
      <c r="D986" s="60">
        <v>43.877099999999999</v>
      </c>
      <c r="E986" s="60">
        <v>45.581899999999997</v>
      </c>
      <c r="F986" s="60">
        <v>1.018</v>
      </c>
      <c r="G986" s="60">
        <v>101.821</v>
      </c>
      <c r="H986" s="60">
        <v>43.849299999999999</v>
      </c>
    </row>
    <row r="987" spans="1:8" x14ac:dyDescent="0.15">
      <c r="A987" s="60" t="s">
        <v>13</v>
      </c>
      <c r="B987" s="60">
        <v>10000</v>
      </c>
      <c r="C987" s="60">
        <v>1</v>
      </c>
      <c r="D987" s="60">
        <v>43.868600000000001</v>
      </c>
      <c r="E987" s="60">
        <v>45.590699999999998</v>
      </c>
      <c r="F987" s="60">
        <v>1.018</v>
      </c>
      <c r="G987" s="60">
        <v>101.8408</v>
      </c>
      <c r="H987" s="60">
        <v>43.842300000000002</v>
      </c>
    </row>
    <row r="988" spans="1:8" x14ac:dyDescent="0.15">
      <c r="A988" s="60" t="s">
        <v>13</v>
      </c>
      <c r="B988" s="60">
        <v>10000</v>
      </c>
      <c r="C988" s="60">
        <v>1</v>
      </c>
      <c r="D988" s="60">
        <v>43.886000000000003</v>
      </c>
      <c r="E988" s="60">
        <v>45.572600000000001</v>
      </c>
      <c r="F988" s="60">
        <v>1.018</v>
      </c>
      <c r="G988" s="60">
        <v>101.80029999999999</v>
      </c>
      <c r="H988" s="60">
        <v>43.8583</v>
      </c>
    </row>
    <row r="989" spans="1:8" x14ac:dyDescent="0.15">
      <c r="A989" s="60" t="s">
        <v>13</v>
      </c>
      <c r="B989" s="60">
        <v>10000</v>
      </c>
      <c r="C989" s="60">
        <v>23</v>
      </c>
      <c r="D989" s="60">
        <v>2.698</v>
      </c>
      <c r="E989" s="60">
        <v>741.27859999999998</v>
      </c>
      <c r="F989" s="60">
        <v>16.559000000000001</v>
      </c>
      <c r="G989" s="60">
        <v>71.994399999999999</v>
      </c>
      <c r="H989" s="60">
        <v>61.9726</v>
      </c>
    </row>
    <row r="990" spans="1:8" x14ac:dyDescent="0.15">
      <c r="A990" s="60" t="s">
        <v>13</v>
      </c>
      <c r="B990" s="60">
        <v>10000</v>
      </c>
      <c r="C990" s="60">
        <v>23</v>
      </c>
      <c r="D990" s="60">
        <v>2.7625000000000002</v>
      </c>
      <c r="E990" s="60">
        <v>723.97529999999995</v>
      </c>
      <c r="F990" s="60">
        <v>16.172000000000001</v>
      </c>
      <c r="G990" s="60">
        <v>70.313900000000004</v>
      </c>
      <c r="H990" s="60">
        <v>63.485399999999998</v>
      </c>
    </row>
    <row r="991" spans="1:8" x14ac:dyDescent="0.15">
      <c r="A991" s="60" t="s">
        <v>13</v>
      </c>
      <c r="B991" s="60">
        <v>10000</v>
      </c>
      <c r="C991" s="60">
        <v>23</v>
      </c>
      <c r="D991" s="60">
        <v>2.7664</v>
      </c>
      <c r="E991" s="60">
        <v>722.95650000000001</v>
      </c>
      <c r="F991" s="60">
        <v>16.149000000000001</v>
      </c>
      <c r="G991" s="60">
        <v>70.215000000000003</v>
      </c>
      <c r="H991" s="60">
        <v>63.573300000000003</v>
      </c>
    </row>
    <row r="992" spans="1:8" x14ac:dyDescent="0.15">
      <c r="A992" s="60" t="s">
        <v>13</v>
      </c>
      <c r="B992" s="60">
        <v>10000</v>
      </c>
      <c r="C992" s="60">
        <v>23</v>
      </c>
      <c r="D992" s="60">
        <v>2.7677999999999998</v>
      </c>
      <c r="E992" s="60">
        <v>722.60619999999994</v>
      </c>
      <c r="F992" s="60">
        <v>16.141999999999999</v>
      </c>
      <c r="G992" s="60">
        <v>70.180999999999997</v>
      </c>
      <c r="H992" s="60">
        <v>63.598399999999998</v>
      </c>
    </row>
    <row r="993" spans="1:8" x14ac:dyDescent="0.15">
      <c r="A993" s="60" t="s">
        <v>13</v>
      </c>
      <c r="B993" s="60">
        <v>10000</v>
      </c>
      <c r="C993" s="60">
        <v>23</v>
      </c>
      <c r="D993" s="60">
        <v>2.7704</v>
      </c>
      <c r="E993" s="60">
        <v>721.91560000000004</v>
      </c>
      <c r="F993" s="60">
        <v>16.126000000000001</v>
      </c>
      <c r="G993" s="60">
        <v>70.113900000000001</v>
      </c>
      <c r="H993" s="60">
        <v>63.673299999999998</v>
      </c>
    </row>
    <row r="994" spans="1:8" x14ac:dyDescent="0.15">
      <c r="A994" s="60" t="s">
        <v>13</v>
      </c>
      <c r="B994" s="60">
        <v>10000</v>
      </c>
      <c r="C994" s="60">
        <v>23</v>
      </c>
      <c r="D994" s="60">
        <v>2.7713000000000001</v>
      </c>
      <c r="E994" s="60">
        <v>721.68640000000005</v>
      </c>
      <c r="F994" s="60">
        <v>16.120999999999999</v>
      </c>
      <c r="G994" s="60">
        <v>70.0916</v>
      </c>
      <c r="H994" s="60">
        <v>63.688400000000001</v>
      </c>
    </row>
    <row r="995" spans="1:8" x14ac:dyDescent="0.15">
      <c r="A995" s="60" t="s">
        <v>13</v>
      </c>
      <c r="B995" s="60">
        <v>10000</v>
      </c>
      <c r="C995" s="60">
        <v>23</v>
      </c>
      <c r="D995" s="60">
        <v>2.7778999999999998</v>
      </c>
      <c r="E995" s="60">
        <v>719.96109999999999</v>
      </c>
      <c r="F995" s="60">
        <v>16.082999999999998</v>
      </c>
      <c r="G995" s="60">
        <v>69.924000000000007</v>
      </c>
      <c r="H995" s="60">
        <v>63.839300000000001</v>
      </c>
    </row>
    <row r="996" spans="1:8" x14ac:dyDescent="0.15">
      <c r="A996" s="60" t="s">
        <v>13</v>
      </c>
      <c r="B996" s="60">
        <v>10000</v>
      </c>
      <c r="C996" s="60">
        <v>23</v>
      </c>
      <c r="D996" s="60">
        <v>2.7852000000000001</v>
      </c>
      <c r="E996" s="60">
        <v>718.07510000000002</v>
      </c>
      <c r="F996" s="60">
        <v>16.04</v>
      </c>
      <c r="G996" s="60">
        <v>69.740899999999996</v>
      </c>
      <c r="H996" s="60">
        <v>64.001199999999997</v>
      </c>
    </row>
    <row r="997" spans="1:8" x14ac:dyDescent="0.15">
      <c r="A997" s="60" t="s">
        <v>13</v>
      </c>
      <c r="B997" s="60">
        <v>10000</v>
      </c>
      <c r="C997" s="60">
        <v>23</v>
      </c>
      <c r="D997" s="60">
        <v>2.7925</v>
      </c>
      <c r="E997" s="60">
        <v>716.21489999999994</v>
      </c>
      <c r="F997" s="60">
        <v>15.999000000000001</v>
      </c>
      <c r="G997" s="60">
        <v>69.560199999999995</v>
      </c>
      <c r="H997" s="60">
        <v>64.180300000000003</v>
      </c>
    </row>
    <row r="998" spans="1:8" x14ac:dyDescent="0.15">
      <c r="A998" s="60" t="s">
        <v>13</v>
      </c>
      <c r="B998" s="60">
        <v>10000</v>
      </c>
      <c r="C998" s="60">
        <v>23</v>
      </c>
      <c r="D998" s="60">
        <v>2.7947000000000002</v>
      </c>
      <c r="E998" s="60">
        <v>715.64080000000001</v>
      </c>
      <c r="F998" s="60">
        <v>15.986000000000001</v>
      </c>
      <c r="G998" s="60">
        <v>69.504499999999993</v>
      </c>
      <c r="H998" s="60">
        <v>64.224199999999996</v>
      </c>
    </row>
    <row r="999" spans="1:8" x14ac:dyDescent="0.15">
      <c r="A999" s="60" t="s">
        <v>13</v>
      </c>
      <c r="B999" s="60">
        <v>10000</v>
      </c>
      <c r="C999" s="60">
        <v>23</v>
      </c>
      <c r="D999" s="60">
        <v>2.7968000000000002</v>
      </c>
      <c r="E999" s="60">
        <v>715.10400000000004</v>
      </c>
      <c r="F999" s="60">
        <v>15.974</v>
      </c>
      <c r="G999" s="60">
        <v>69.452299999999994</v>
      </c>
      <c r="H999" s="60">
        <v>64.275300000000001</v>
      </c>
    </row>
    <row r="1000" spans="1:8" x14ac:dyDescent="0.15">
      <c r="A1000" s="60" t="s">
        <v>13</v>
      </c>
      <c r="B1000" s="60">
        <v>10000</v>
      </c>
      <c r="C1000" s="60">
        <v>23</v>
      </c>
      <c r="D1000" s="60">
        <v>2.8071000000000002</v>
      </c>
      <c r="E1000" s="60">
        <v>712.46659999999997</v>
      </c>
      <c r="F1000" s="60">
        <v>15.914999999999999</v>
      </c>
      <c r="G1000" s="60">
        <v>69.196200000000005</v>
      </c>
      <c r="H1000" s="60">
        <v>64.500100000000003</v>
      </c>
    </row>
    <row r="1001" spans="1:8" x14ac:dyDescent="0.15">
      <c r="A1001" s="60" t="s">
        <v>13</v>
      </c>
      <c r="B1001" s="60">
        <v>10000</v>
      </c>
      <c r="C1001" s="60">
        <v>23</v>
      </c>
      <c r="D1001" s="60">
        <v>2.8052000000000001</v>
      </c>
      <c r="E1001" s="60">
        <v>712.95830000000001</v>
      </c>
      <c r="F1001" s="60">
        <v>15.926</v>
      </c>
      <c r="G1001" s="60">
        <v>69.243899999999996</v>
      </c>
      <c r="H1001" s="60">
        <v>64.466200000000001</v>
      </c>
    </row>
    <row r="1002" spans="1:8" x14ac:dyDescent="0.15">
      <c r="A1002" s="60" t="s">
        <v>13</v>
      </c>
      <c r="B1002" s="60">
        <v>10000</v>
      </c>
      <c r="C1002" s="60">
        <v>23</v>
      </c>
      <c r="D1002" s="60">
        <v>2.8058999999999998</v>
      </c>
      <c r="E1002" s="60">
        <v>712.79539999999997</v>
      </c>
      <c r="F1002" s="60">
        <v>15.922000000000001</v>
      </c>
      <c r="G1002" s="60">
        <v>69.228099999999998</v>
      </c>
      <c r="H1002" s="60">
        <v>64.481200000000001</v>
      </c>
    </row>
    <row r="1003" spans="1:8" x14ac:dyDescent="0.15">
      <c r="A1003" s="60" t="s">
        <v>13</v>
      </c>
      <c r="B1003" s="60">
        <v>10000</v>
      </c>
      <c r="C1003" s="60">
        <v>23</v>
      </c>
      <c r="D1003" s="60">
        <v>2.8096999999999999</v>
      </c>
      <c r="E1003" s="60">
        <v>711.81290000000001</v>
      </c>
      <c r="F1003" s="60">
        <v>15.901</v>
      </c>
      <c r="G1003" s="60">
        <v>69.1327</v>
      </c>
      <c r="H1003" s="60">
        <v>64.571200000000005</v>
      </c>
    </row>
    <row r="1004" spans="1:8" x14ac:dyDescent="0.15">
      <c r="A1004" s="60" t="s">
        <v>13</v>
      </c>
      <c r="B1004" s="60">
        <v>10000</v>
      </c>
      <c r="C1004" s="60">
        <v>23</v>
      </c>
      <c r="D1004" s="60">
        <v>2.8172999999999999</v>
      </c>
      <c r="E1004" s="60">
        <v>709.91189999999995</v>
      </c>
      <c r="F1004" s="60">
        <v>15.858000000000001</v>
      </c>
      <c r="G1004" s="60">
        <v>68.947999999999993</v>
      </c>
      <c r="H1004" s="60">
        <v>64.725099999999998</v>
      </c>
    </row>
    <row r="1005" spans="1:8" x14ac:dyDescent="0.15">
      <c r="A1005" s="60" t="s">
        <v>13</v>
      </c>
      <c r="B1005" s="60">
        <v>10000</v>
      </c>
      <c r="C1005" s="60">
        <v>23</v>
      </c>
      <c r="D1005" s="60">
        <v>2.8136000000000001</v>
      </c>
      <c r="E1005" s="60">
        <v>710.83109999999999</v>
      </c>
      <c r="F1005" s="60">
        <v>15.879</v>
      </c>
      <c r="G1005" s="60">
        <v>69.037300000000002</v>
      </c>
      <c r="H1005" s="60">
        <v>64.658100000000005</v>
      </c>
    </row>
    <row r="1006" spans="1:8" x14ac:dyDescent="0.15">
      <c r="A1006" s="60" t="s">
        <v>13</v>
      </c>
      <c r="B1006" s="60">
        <v>10000</v>
      </c>
      <c r="C1006" s="60">
        <v>23</v>
      </c>
      <c r="D1006" s="60">
        <v>2.8161</v>
      </c>
      <c r="E1006" s="60">
        <v>710.19629999999995</v>
      </c>
      <c r="F1006" s="60">
        <v>15.864000000000001</v>
      </c>
      <c r="G1006" s="60">
        <v>68.975700000000003</v>
      </c>
      <c r="H1006" s="60">
        <v>64.719099999999997</v>
      </c>
    </row>
    <row r="1007" spans="1:8" x14ac:dyDescent="0.15">
      <c r="A1007" s="60" t="s">
        <v>13</v>
      </c>
      <c r="B1007" s="60">
        <v>10000</v>
      </c>
      <c r="C1007" s="60">
        <v>23</v>
      </c>
      <c r="D1007" s="60">
        <v>2.8287</v>
      </c>
      <c r="E1007" s="60">
        <v>707.0385</v>
      </c>
      <c r="F1007" s="60">
        <v>15.794</v>
      </c>
      <c r="G1007" s="60">
        <v>68.668999999999997</v>
      </c>
      <c r="H1007" s="60">
        <v>64.995099999999994</v>
      </c>
    </row>
    <row r="1008" spans="1:8" x14ac:dyDescent="0.15">
      <c r="A1008" s="60" t="s">
        <v>13</v>
      </c>
      <c r="B1008" s="60">
        <v>10000</v>
      </c>
      <c r="C1008" s="60">
        <v>23</v>
      </c>
      <c r="D1008" s="60">
        <v>2.8212000000000002</v>
      </c>
      <c r="E1008" s="60">
        <v>708.92930000000001</v>
      </c>
      <c r="F1008" s="60">
        <v>15.836</v>
      </c>
      <c r="G1008" s="60">
        <v>68.852599999999995</v>
      </c>
      <c r="H1008" s="60">
        <v>64.831199999999995</v>
      </c>
    </row>
    <row r="1009" spans="1:8" x14ac:dyDescent="0.15">
      <c r="A1009" s="60" t="s">
        <v>13</v>
      </c>
      <c r="B1009" s="60">
        <v>10000</v>
      </c>
      <c r="C1009" s="60">
        <v>23</v>
      </c>
      <c r="D1009" s="60">
        <v>2.8220999999999998</v>
      </c>
      <c r="E1009" s="60">
        <v>708.6866</v>
      </c>
      <c r="F1009" s="60">
        <v>15.831</v>
      </c>
      <c r="G1009" s="60">
        <v>68.828999999999994</v>
      </c>
      <c r="H1009" s="60">
        <v>64.857200000000006</v>
      </c>
    </row>
    <row r="1010" spans="1:8" x14ac:dyDescent="0.15">
      <c r="A1010" s="60" t="s">
        <v>13</v>
      </c>
      <c r="B1010" s="60">
        <v>10000</v>
      </c>
      <c r="C1010" s="60">
        <v>23</v>
      </c>
      <c r="D1010" s="60">
        <v>2.8241000000000001</v>
      </c>
      <c r="E1010" s="60">
        <v>708.19169999999997</v>
      </c>
      <c r="F1010" s="60">
        <v>15.82</v>
      </c>
      <c r="G1010" s="60">
        <v>68.781000000000006</v>
      </c>
      <c r="H1010" s="60">
        <v>64.9011</v>
      </c>
    </row>
    <row r="1011" spans="1:8" x14ac:dyDescent="0.15">
      <c r="A1011" s="60" t="s">
        <v>13</v>
      </c>
      <c r="B1011" s="60">
        <v>10000</v>
      </c>
      <c r="C1011" s="60">
        <v>23</v>
      </c>
      <c r="D1011" s="60">
        <v>2.8271000000000002</v>
      </c>
      <c r="E1011" s="60">
        <v>707.43499999999995</v>
      </c>
      <c r="F1011" s="60">
        <v>15.803000000000001</v>
      </c>
      <c r="G1011" s="60">
        <v>68.707499999999996</v>
      </c>
      <c r="H1011" s="60">
        <v>64.968100000000007</v>
      </c>
    </row>
    <row r="1012" spans="1:8" x14ac:dyDescent="0.15">
      <c r="A1012" s="60" t="s">
        <v>13</v>
      </c>
      <c r="B1012" s="60">
        <v>10000</v>
      </c>
      <c r="C1012" s="60">
        <v>23</v>
      </c>
      <c r="D1012" s="60">
        <v>2.8264</v>
      </c>
      <c r="E1012" s="60">
        <v>707.60569999999996</v>
      </c>
      <c r="F1012" s="60">
        <v>15.807</v>
      </c>
      <c r="G1012" s="60">
        <v>68.724100000000007</v>
      </c>
      <c r="H1012" s="60">
        <v>64.954099999999997</v>
      </c>
    </row>
    <row r="1013" spans="1:8" x14ac:dyDescent="0.15">
      <c r="A1013" s="60" t="s">
        <v>13</v>
      </c>
      <c r="B1013" s="60">
        <v>10000</v>
      </c>
      <c r="C1013" s="60">
        <v>23</v>
      </c>
      <c r="D1013" s="60">
        <v>2.8279000000000001</v>
      </c>
      <c r="E1013" s="60">
        <v>707.23140000000001</v>
      </c>
      <c r="F1013" s="60">
        <v>15.798</v>
      </c>
      <c r="G1013" s="60">
        <v>68.687700000000007</v>
      </c>
      <c r="H1013" s="60">
        <v>64.988200000000006</v>
      </c>
    </row>
    <row r="1014" spans="1:8" x14ac:dyDescent="0.15">
      <c r="A1014" s="60" t="s">
        <v>13</v>
      </c>
      <c r="B1014" s="60">
        <v>10000</v>
      </c>
      <c r="C1014" s="60">
        <v>23</v>
      </c>
      <c r="D1014" s="60">
        <v>2.8298000000000001</v>
      </c>
      <c r="E1014" s="60">
        <v>706.76620000000003</v>
      </c>
      <c r="F1014" s="60">
        <v>15.788</v>
      </c>
      <c r="G1014" s="60">
        <v>68.642499999999998</v>
      </c>
      <c r="H1014" s="60">
        <v>65.031099999999995</v>
      </c>
    </row>
    <row r="1015" spans="1:8" x14ac:dyDescent="0.15">
      <c r="A1015" s="60" t="s">
        <v>13</v>
      </c>
      <c r="B1015" s="60">
        <v>10000</v>
      </c>
      <c r="C1015" s="60">
        <v>23</v>
      </c>
      <c r="D1015" s="60">
        <v>2.8332000000000002</v>
      </c>
      <c r="E1015" s="60">
        <v>705.92430000000002</v>
      </c>
      <c r="F1015" s="60">
        <v>15.769</v>
      </c>
      <c r="G1015" s="60">
        <v>68.5608</v>
      </c>
      <c r="H1015" s="60">
        <v>65.107200000000006</v>
      </c>
    </row>
    <row r="1016" spans="1:8" x14ac:dyDescent="0.15">
      <c r="A1016" s="60" t="s">
        <v>13</v>
      </c>
      <c r="B1016" s="60">
        <v>10000</v>
      </c>
      <c r="C1016" s="60">
        <v>23</v>
      </c>
      <c r="D1016" s="60">
        <v>2.8353000000000002</v>
      </c>
      <c r="E1016" s="60">
        <v>705.39049999999997</v>
      </c>
      <c r="F1016" s="60">
        <v>15.757</v>
      </c>
      <c r="G1016" s="60">
        <v>68.508899999999997</v>
      </c>
      <c r="H1016" s="60">
        <v>65.155199999999994</v>
      </c>
    </row>
    <row r="1017" spans="1:8" x14ac:dyDescent="0.15">
      <c r="A1017" s="60" t="s">
        <v>13</v>
      </c>
      <c r="B1017" s="60">
        <v>10000</v>
      </c>
      <c r="C1017" s="60">
        <v>23</v>
      </c>
      <c r="D1017" s="60">
        <v>2.8340999999999998</v>
      </c>
      <c r="E1017" s="60">
        <v>705.68769999999995</v>
      </c>
      <c r="F1017" s="60">
        <v>15.763999999999999</v>
      </c>
      <c r="G1017" s="60">
        <v>68.537800000000004</v>
      </c>
      <c r="H1017" s="60">
        <v>65.131100000000004</v>
      </c>
    </row>
    <row r="1018" spans="1:8" x14ac:dyDescent="0.15">
      <c r="A1018" s="60" t="s">
        <v>13</v>
      </c>
      <c r="B1018" s="60">
        <v>10000</v>
      </c>
      <c r="C1018" s="60">
        <v>23</v>
      </c>
      <c r="D1018" s="60">
        <v>2.8384999999999998</v>
      </c>
      <c r="E1018" s="60">
        <v>704.59230000000002</v>
      </c>
      <c r="F1018" s="60">
        <v>15.739000000000001</v>
      </c>
      <c r="G1018" s="60">
        <v>68.431399999999996</v>
      </c>
      <c r="H1018" s="60">
        <v>65.230999999999995</v>
      </c>
    </row>
    <row r="1019" spans="1:8" x14ac:dyDescent="0.15">
      <c r="A1019" s="60" t="s">
        <v>13</v>
      </c>
      <c r="B1019" s="60">
        <v>10000</v>
      </c>
      <c r="C1019" s="60">
        <v>23</v>
      </c>
      <c r="D1019" s="60">
        <v>2.8393999999999999</v>
      </c>
      <c r="E1019" s="60">
        <v>704.38390000000004</v>
      </c>
      <c r="F1019" s="60">
        <v>15.734999999999999</v>
      </c>
      <c r="G1019" s="60">
        <v>68.411199999999994</v>
      </c>
      <c r="H1019" s="60">
        <v>65.251199999999997</v>
      </c>
    </row>
    <row r="1020" spans="1:8" x14ac:dyDescent="0.15">
      <c r="A1020" s="60" t="s">
        <v>13</v>
      </c>
      <c r="B1020" s="60">
        <v>10000</v>
      </c>
      <c r="C1020" s="60">
        <v>23</v>
      </c>
      <c r="D1020" s="60">
        <v>2.8412999999999999</v>
      </c>
      <c r="E1020" s="60">
        <v>703.90359999999998</v>
      </c>
      <c r="F1020" s="60">
        <v>15.724</v>
      </c>
      <c r="G1020" s="60">
        <v>68.364500000000007</v>
      </c>
      <c r="H1020" s="60">
        <v>65.2971</v>
      </c>
    </row>
    <row r="1021" spans="1:8" x14ac:dyDescent="0.15">
      <c r="A1021" s="60" t="s">
        <v>13</v>
      </c>
      <c r="B1021" s="60">
        <v>10000</v>
      </c>
      <c r="C1021" s="60">
        <v>23</v>
      </c>
      <c r="D1021" s="60">
        <v>2.8572000000000002</v>
      </c>
      <c r="E1021" s="60">
        <v>699.99379999999996</v>
      </c>
      <c r="F1021" s="60">
        <v>15.637</v>
      </c>
      <c r="G1021" s="60">
        <v>67.984800000000007</v>
      </c>
      <c r="H1021" s="60">
        <v>65.641800000000003</v>
      </c>
    </row>
    <row r="1022" spans="1:8" x14ac:dyDescent="0.15">
      <c r="A1022" s="60" t="s">
        <v>13</v>
      </c>
      <c r="B1022" s="60">
        <v>10000</v>
      </c>
      <c r="C1022" s="60">
        <v>23</v>
      </c>
      <c r="D1022" s="60">
        <v>2.8454999999999999</v>
      </c>
      <c r="E1022" s="60">
        <v>702.85350000000005</v>
      </c>
      <c r="F1022" s="60">
        <v>15.7</v>
      </c>
      <c r="G1022" s="60">
        <v>68.262500000000003</v>
      </c>
      <c r="H1022" s="60">
        <v>65.387</v>
      </c>
    </row>
    <row r="1023" spans="1:8" x14ac:dyDescent="0.15">
      <c r="A1023" s="60" t="s">
        <v>13</v>
      </c>
      <c r="B1023" s="60">
        <v>10000</v>
      </c>
      <c r="C1023" s="60">
        <v>23</v>
      </c>
      <c r="D1023" s="60">
        <v>2.8456999999999999</v>
      </c>
      <c r="E1023" s="60">
        <v>702.80809999999997</v>
      </c>
      <c r="F1023" s="60">
        <v>15.699</v>
      </c>
      <c r="G1023" s="60">
        <v>68.258099999999999</v>
      </c>
      <c r="H1023" s="60">
        <v>65.396000000000001</v>
      </c>
    </row>
    <row r="1024" spans="1:8" x14ac:dyDescent="0.15">
      <c r="A1024" s="60" t="s">
        <v>13</v>
      </c>
      <c r="B1024" s="60">
        <v>10000</v>
      </c>
      <c r="C1024" s="60">
        <v>23</v>
      </c>
      <c r="D1024" s="60">
        <v>2.8469000000000002</v>
      </c>
      <c r="E1024" s="60">
        <v>702.51750000000004</v>
      </c>
      <c r="F1024" s="60">
        <v>15.693</v>
      </c>
      <c r="G1024" s="60">
        <v>68.229900000000001</v>
      </c>
      <c r="H1024" s="60">
        <v>65.406199999999998</v>
      </c>
    </row>
    <row r="1025" spans="1:8" x14ac:dyDescent="0.15">
      <c r="A1025" s="60" t="s">
        <v>13</v>
      </c>
      <c r="B1025" s="60">
        <v>10000</v>
      </c>
      <c r="C1025" s="60">
        <v>23</v>
      </c>
      <c r="D1025" s="60">
        <v>2.8491</v>
      </c>
      <c r="E1025" s="60">
        <v>701.97879999999998</v>
      </c>
      <c r="F1025" s="60">
        <v>15.680999999999999</v>
      </c>
      <c r="G1025" s="60">
        <v>68.177599999999998</v>
      </c>
      <c r="H1025" s="60">
        <v>65.491</v>
      </c>
    </row>
    <row r="1026" spans="1:8" x14ac:dyDescent="0.15">
      <c r="A1026" s="60" t="s">
        <v>13</v>
      </c>
      <c r="B1026" s="60">
        <v>10000</v>
      </c>
      <c r="C1026" s="60">
        <v>23</v>
      </c>
      <c r="D1026" s="60">
        <v>2.8504</v>
      </c>
      <c r="E1026" s="60">
        <v>701.65139999999997</v>
      </c>
      <c r="F1026" s="60">
        <v>15.673999999999999</v>
      </c>
      <c r="G1026" s="60">
        <v>68.145799999999994</v>
      </c>
      <c r="H1026" s="60">
        <v>65.502899999999997</v>
      </c>
    </row>
    <row r="1027" spans="1:8" x14ac:dyDescent="0.15">
      <c r="A1027" s="60" t="s">
        <v>13</v>
      </c>
      <c r="B1027" s="60">
        <v>10000</v>
      </c>
      <c r="C1027" s="60">
        <v>23</v>
      </c>
      <c r="D1027" s="60">
        <v>2.8485</v>
      </c>
      <c r="E1027" s="60">
        <v>702.12120000000004</v>
      </c>
      <c r="F1027" s="60">
        <v>15.683999999999999</v>
      </c>
      <c r="G1027" s="60">
        <v>68.191400000000002</v>
      </c>
      <c r="H1027" s="60">
        <v>65.4619</v>
      </c>
    </row>
    <row r="1028" spans="1:8" x14ac:dyDescent="0.15">
      <c r="A1028" s="60" t="s">
        <v>13</v>
      </c>
      <c r="B1028" s="60">
        <v>10000</v>
      </c>
      <c r="C1028" s="60">
        <v>23</v>
      </c>
      <c r="D1028" s="60">
        <v>2.8561999999999999</v>
      </c>
      <c r="E1028" s="60">
        <v>700.22609999999997</v>
      </c>
      <c r="F1028" s="60">
        <v>15.641999999999999</v>
      </c>
      <c r="G1028" s="60">
        <v>68.007400000000004</v>
      </c>
      <c r="H1028" s="60">
        <v>65.633099999999999</v>
      </c>
    </row>
    <row r="1029" spans="1:8" x14ac:dyDescent="0.15">
      <c r="A1029" s="60" t="s">
        <v>13</v>
      </c>
      <c r="B1029" s="60">
        <v>10000</v>
      </c>
      <c r="C1029" s="60">
        <v>23</v>
      </c>
      <c r="D1029" s="60">
        <v>2.8519999999999999</v>
      </c>
      <c r="E1029" s="60">
        <v>701.25509999999997</v>
      </c>
      <c r="F1029" s="60">
        <v>15.664999999999999</v>
      </c>
      <c r="G1029" s="60">
        <v>68.107299999999995</v>
      </c>
      <c r="H1029" s="60">
        <v>65.540999999999997</v>
      </c>
    </row>
    <row r="1030" spans="1:8" x14ac:dyDescent="0.15">
      <c r="A1030" s="60" t="s">
        <v>13</v>
      </c>
      <c r="B1030" s="60">
        <v>10000</v>
      </c>
      <c r="C1030" s="60">
        <v>23</v>
      </c>
      <c r="D1030" s="60">
        <v>2.8525</v>
      </c>
      <c r="E1030" s="60">
        <v>701.15009999999995</v>
      </c>
      <c r="F1030" s="60">
        <v>15.662000000000001</v>
      </c>
      <c r="G1030" s="60">
        <v>68.097099999999998</v>
      </c>
      <c r="H1030" s="60">
        <v>65.552000000000007</v>
      </c>
    </row>
    <row r="1031" spans="1:8" x14ac:dyDescent="0.15">
      <c r="A1031" s="60" t="s">
        <v>13</v>
      </c>
      <c r="B1031" s="60">
        <v>10000</v>
      </c>
      <c r="C1031" s="60">
        <v>23</v>
      </c>
      <c r="D1031" s="60">
        <v>2.8525999999999998</v>
      </c>
      <c r="E1031" s="60">
        <v>701.12660000000005</v>
      </c>
      <c r="F1031" s="60">
        <v>15.662000000000001</v>
      </c>
      <c r="G1031" s="60">
        <v>68.094800000000006</v>
      </c>
      <c r="H1031" s="60">
        <v>65.546099999999996</v>
      </c>
    </row>
    <row r="1032" spans="1:8" x14ac:dyDescent="0.15">
      <c r="A1032" s="60" t="s">
        <v>13</v>
      </c>
      <c r="B1032" s="60">
        <v>10000</v>
      </c>
      <c r="C1032" s="60">
        <v>23</v>
      </c>
      <c r="D1032" s="60">
        <v>2.8597999999999999</v>
      </c>
      <c r="E1032" s="60">
        <v>699.35789999999997</v>
      </c>
      <c r="F1032" s="60">
        <v>15.622</v>
      </c>
      <c r="G1032" s="60">
        <v>67.923000000000002</v>
      </c>
      <c r="H1032" s="60">
        <v>65.7239</v>
      </c>
    </row>
    <row r="1033" spans="1:8" x14ac:dyDescent="0.15">
      <c r="A1033" s="60" t="s">
        <v>13</v>
      </c>
      <c r="B1033" s="60">
        <v>10000</v>
      </c>
      <c r="C1033" s="60">
        <v>23</v>
      </c>
      <c r="D1033" s="60">
        <v>2.8540999999999999</v>
      </c>
      <c r="E1033" s="60">
        <v>700.73919999999998</v>
      </c>
      <c r="F1033" s="60">
        <v>15.653</v>
      </c>
      <c r="G1033" s="60">
        <v>68.057199999999995</v>
      </c>
      <c r="H1033" s="60">
        <v>65.591800000000006</v>
      </c>
    </row>
    <row r="1034" spans="1:8" x14ac:dyDescent="0.15">
      <c r="A1034" s="60" t="s">
        <v>13</v>
      </c>
      <c r="B1034" s="60">
        <v>10000</v>
      </c>
      <c r="C1034" s="60">
        <v>23</v>
      </c>
      <c r="D1034" s="60">
        <v>2.8544999999999998</v>
      </c>
      <c r="E1034" s="60">
        <v>700.64880000000005</v>
      </c>
      <c r="F1034" s="60">
        <v>15.651</v>
      </c>
      <c r="G1034" s="60">
        <v>68.048400000000001</v>
      </c>
      <c r="H1034" s="60">
        <v>65.599100000000007</v>
      </c>
    </row>
    <row r="1035" spans="1:8" x14ac:dyDescent="0.15">
      <c r="A1035" s="60" t="s">
        <v>13</v>
      </c>
      <c r="B1035" s="60">
        <v>10000</v>
      </c>
      <c r="C1035" s="60">
        <v>23</v>
      </c>
      <c r="D1035" s="60">
        <v>2.8561999999999999</v>
      </c>
      <c r="E1035" s="60">
        <v>700.22469999999998</v>
      </c>
      <c r="F1035" s="60">
        <v>15.641999999999999</v>
      </c>
      <c r="G1035" s="60">
        <v>68.007199999999997</v>
      </c>
      <c r="H1035" s="60">
        <v>65.640100000000004</v>
      </c>
    </row>
    <row r="1036" spans="1:8" x14ac:dyDescent="0.15">
      <c r="A1036" s="60" t="s">
        <v>13</v>
      </c>
      <c r="B1036" s="60">
        <v>10000</v>
      </c>
      <c r="C1036" s="60">
        <v>23</v>
      </c>
      <c r="D1036" s="60">
        <v>2.8567</v>
      </c>
      <c r="E1036" s="60">
        <v>700.09889999999996</v>
      </c>
      <c r="F1036" s="60">
        <v>15.638999999999999</v>
      </c>
      <c r="G1036" s="60">
        <v>67.995000000000005</v>
      </c>
      <c r="H1036" s="60">
        <v>65.648899999999998</v>
      </c>
    </row>
    <row r="1037" spans="1:8" x14ac:dyDescent="0.15">
      <c r="A1037" s="60" t="s">
        <v>13</v>
      </c>
      <c r="B1037" s="60">
        <v>10000</v>
      </c>
      <c r="C1037" s="60">
        <v>23</v>
      </c>
      <c r="D1037" s="60">
        <v>2.8561999999999999</v>
      </c>
      <c r="E1037" s="60">
        <v>700.23530000000005</v>
      </c>
      <c r="F1037" s="60">
        <v>15.641999999999999</v>
      </c>
      <c r="G1037" s="60">
        <v>68.008200000000002</v>
      </c>
      <c r="H1037" s="60">
        <v>65.638199999999998</v>
      </c>
    </row>
    <row r="1038" spans="1:8" x14ac:dyDescent="0.15">
      <c r="A1038" s="60" t="s">
        <v>13</v>
      </c>
      <c r="B1038" s="60">
        <v>10000</v>
      </c>
      <c r="C1038" s="60">
        <v>23</v>
      </c>
      <c r="D1038" s="60">
        <v>2.8586</v>
      </c>
      <c r="E1038" s="60">
        <v>699.64779999999996</v>
      </c>
      <c r="F1038" s="60">
        <v>15.629</v>
      </c>
      <c r="G1038" s="60">
        <v>67.9512</v>
      </c>
      <c r="H1038" s="60">
        <v>65.693799999999996</v>
      </c>
    </row>
    <row r="1039" spans="1:8" x14ac:dyDescent="0.15">
      <c r="A1039" s="60" t="s">
        <v>13</v>
      </c>
      <c r="B1039" s="60">
        <v>10000</v>
      </c>
      <c r="C1039" s="60">
        <v>23</v>
      </c>
      <c r="D1039" s="60">
        <v>2.8603000000000001</v>
      </c>
      <c r="E1039" s="60">
        <v>699.23299999999995</v>
      </c>
      <c r="F1039" s="60">
        <v>15.62</v>
      </c>
      <c r="G1039" s="60">
        <v>67.910899999999998</v>
      </c>
      <c r="H1039" s="60">
        <v>65.728999999999999</v>
      </c>
    </row>
    <row r="1040" spans="1:8" x14ac:dyDescent="0.15">
      <c r="A1040" s="60" t="s">
        <v>13</v>
      </c>
      <c r="B1040" s="60">
        <v>10000</v>
      </c>
      <c r="C1040" s="60">
        <v>24</v>
      </c>
      <c r="D1040" s="60">
        <v>2.8123999999999998</v>
      </c>
      <c r="E1040" s="60">
        <v>711.13160000000005</v>
      </c>
      <c r="F1040" s="60">
        <v>15.885</v>
      </c>
      <c r="G1040" s="60">
        <v>66.188699999999997</v>
      </c>
      <c r="H1040" s="60">
        <v>67.398700000000005</v>
      </c>
    </row>
    <row r="1041" spans="1:8" x14ac:dyDescent="0.15">
      <c r="A1041" s="60" t="s">
        <v>13</v>
      </c>
      <c r="B1041" s="60">
        <v>10000</v>
      </c>
      <c r="C1041" s="60">
        <v>24</v>
      </c>
      <c r="D1041" s="60">
        <v>2.8100999999999998</v>
      </c>
      <c r="E1041" s="60">
        <v>711.72349999999994</v>
      </c>
      <c r="F1041" s="60">
        <v>15.898999999999999</v>
      </c>
      <c r="G1041" s="60">
        <v>66.243799999999993</v>
      </c>
      <c r="H1041" s="60">
        <v>67.373800000000003</v>
      </c>
    </row>
    <row r="1042" spans="1:8" x14ac:dyDescent="0.15">
      <c r="A1042" s="60" t="s">
        <v>13</v>
      </c>
      <c r="B1042" s="60">
        <v>10000</v>
      </c>
      <c r="C1042" s="60">
        <v>24</v>
      </c>
      <c r="D1042" s="60">
        <v>2.8127</v>
      </c>
      <c r="E1042" s="60">
        <v>711.07039999999995</v>
      </c>
      <c r="F1042" s="60">
        <v>15.884</v>
      </c>
      <c r="G1042" s="60">
        <v>66.183000000000007</v>
      </c>
      <c r="H1042" s="60">
        <v>67.410600000000002</v>
      </c>
    </row>
    <row r="1043" spans="1:8" x14ac:dyDescent="0.15">
      <c r="A1043" s="60" t="s">
        <v>13</v>
      </c>
      <c r="B1043" s="60">
        <v>10000</v>
      </c>
      <c r="C1043" s="60">
        <v>24</v>
      </c>
      <c r="D1043" s="60">
        <v>2.8136000000000001</v>
      </c>
      <c r="E1043" s="60">
        <v>710.83389999999997</v>
      </c>
      <c r="F1043" s="60">
        <v>15.879</v>
      </c>
      <c r="G1043" s="60">
        <v>66.161000000000001</v>
      </c>
      <c r="H1043" s="60">
        <v>67.462900000000005</v>
      </c>
    </row>
    <row r="1044" spans="1:8" x14ac:dyDescent="0.15">
      <c r="A1044" s="60" t="s">
        <v>13</v>
      </c>
      <c r="B1044" s="60">
        <v>10000</v>
      </c>
      <c r="C1044" s="60">
        <v>24</v>
      </c>
      <c r="D1044" s="60">
        <v>2.8130999999999999</v>
      </c>
      <c r="E1044" s="60">
        <v>710.95410000000004</v>
      </c>
      <c r="F1044" s="60">
        <v>15.881</v>
      </c>
      <c r="G1044" s="60">
        <v>66.172200000000004</v>
      </c>
      <c r="H1044" s="60">
        <v>67.409700000000001</v>
      </c>
    </row>
    <row r="1045" spans="1:8" x14ac:dyDescent="0.15">
      <c r="A1045" s="60" t="s">
        <v>13</v>
      </c>
      <c r="B1045" s="60">
        <v>10000</v>
      </c>
      <c r="C1045" s="60">
        <v>24</v>
      </c>
      <c r="D1045" s="60">
        <v>2.8138000000000001</v>
      </c>
      <c r="E1045" s="60">
        <v>710.79369999999994</v>
      </c>
      <c r="F1045" s="60">
        <v>15.878</v>
      </c>
      <c r="G1045" s="60">
        <v>66.157300000000006</v>
      </c>
      <c r="H1045" s="60">
        <v>67.430899999999994</v>
      </c>
    </row>
    <row r="1046" spans="1:8" x14ac:dyDescent="0.15">
      <c r="A1046" s="60" t="s">
        <v>13</v>
      </c>
      <c r="B1046" s="60">
        <v>10000</v>
      </c>
      <c r="C1046" s="60">
        <v>24</v>
      </c>
      <c r="D1046" s="60">
        <v>2.8142999999999998</v>
      </c>
      <c r="E1046" s="60">
        <v>710.64790000000005</v>
      </c>
      <c r="F1046" s="60">
        <v>15.874000000000001</v>
      </c>
      <c r="G1046" s="60">
        <v>66.143699999999995</v>
      </c>
      <c r="H1046" s="60">
        <v>67.478499999999997</v>
      </c>
    </row>
    <row r="1047" spans="1:8" x14ac:dyDescent="0.15">
      <c r="A1047" s="60" t="s">
        <v>13</v>
      </c>
      <c r="B1047" s="60">
        <v>10000</v>
      </c>
      <c r="C1047" s="60">
        <v>24</v>
      </c>
      <c r="D1047" s="60">
        <v>2.8176999999999999</v>
      </c>
      <c r="E1047" s="60">
        <v>709.79169999999999</v>
      </c>
      <c r="F1047" s="60">
        <v>15.855</v>
      </c>
      <c r="G1047" s="60">
        <v>66.063999999999993</v>
      </c>
      <c r="H1047" s="60">
        <v>67.525599999999997</v>
      </c>
    </row>
    <row r="1048" spans="1:8" x14ac:dyDescent="0.15">
      <c r="A1048" s="60" t="s">
        <v>13</v>
      </c>
      <c r="B1048" s="60">
        <v>10000</v>
      </c>
      <c r="C1048" s="60">
        <v>24</v>
      </c>
      <c r="D1048" s="60">
        <v>2.8157000000000001</v>
      </c>
      <c r="E1048" s="60">
        <v>710.3143</v>
      </c>
      <c r="F1048" s="60">
        <v>15.867000000000001</v>
      </c>
      <c r="G1048" s="60">
        <v>66.112700000000004</v>
      </c>
      <c r="H1048" s="60">
        <v>67.507800000000003</v>
      </c>
    </row>
    <row r="1049" spans="1:8" x14ac:dyDescent="0.15">
      <c r="A1049" s="60" t="s">
        <v>13</v>
      </c>
      <c r="B1049" s="60">
        <v>10000</v>
      </c>
      <c r="C1049" s="60">
        <v>24</v>
      </c>
      <c r="D1049" s="60">
        <v>2.8189000000000002</v>
      </c>
      <c r="E1049" s="60">
        <v>709.50469999999996</v>
      </c>
      <c r="F1049" s="60">
        <v>15.849</v>
      </c>
      <c r="G1049" s="60">
        <v>66.037300000000002</v>
      </c>
      <c r="H1049" s="60">
        <v>67.546899999999994</v>
      </c>
    </row>
    <row r="1050" spans="1:8" x14ac:dyDescent="0.15">
      <c r="A1050" s="60" t="s">
        <v>13</v>
      </c>
      <c r="B1050" s="60">
        <v>10000</v>
      </c>
      <c r="C1050" s="60">
        <v>24</v>
      </c>
      <c r="D1050" s="60">
        <v>2.8157999999999999</v>
      </c>
      <c r="E1050" s="60">
        <v>710.26679999999999</v>
      </c>
      <c r="F1050" s="60">
        <v>15.866</v>
      </c>
      <c r="G1050" s="60">
        <v>66.1083</v>
      </c>
      <c r="H1050" s="60">
        <v>67.519499999999994</v>
      </c>
    </row>
    <row r="1051" spans="1:8" x14ac:dyDescent="0.15">
      <c r="A1051" s="60" t="s">
        <v>13</v>
      </c>
      <c r="B1051" s="60">
        <v>10000</v>
      </c>
      <c r="C1051" s="60">
        <v>24</v>
      </c>
      <c r="D1051" s="60">
        <v>2.8163999999999998</v>
      </c>
      <c r="E1051" s="60">
        <v>710.12919999999997</v>
      </c>
      <c r="F1051" s="60">
        <v>15.863</v>
      </c>
      <c r="G1051" s="60">
        <v>66.095399999999998</v>
      </c>
      <c r="H1051" s="60">
        <v>67.494600000000005</v>
      </c>
    </row>
    <row r="1052" spans="1:8" x14ac:dyDescent="0.15">
      <c r="A1052" s="60" t="s">
        <v>13</v>
      </c>
      <c r="B1052" s="60">
        <v>10000</v>
      </c>
      <c r="C1052" s="60">
        <v>24</v>
      </c>
      <c r="D1052" s="60">
        <v>2.8123</v>
      </c>
      <c r="E1052" s="60">
        <v>711.15329999999994</v>
      </c>
      <c r="F1052" s="60">
        <v>15.885999999999999</v>
      </c>
      <c r="G1052" s="60">
        <v>66.190799999999996</v>
      </c>
      <c r="H1052" s="60">
        <v>67.4131</v>
      </c>
    </row>
    <row r="1053" spans="1:8" x14ac:dyDescent="0.15">
      <c r="A1053" s="60" t="s">
        <v>13</v>
      </c>
      <c r="B1053" s="60">
        <v>10000</v>
      </c>
      <c r="C1053" s="60">
        <v>24</v>
      </c>
      <c r="D1053" s="60">
        <v>2.8191000000000002</v>
      </c>
      <c r="E1053" s="60">
        <v>709.45759999999996</v>
      </c>
      <c r="F1053" s="60">
        <v>15.848000000000001</v>
      </c>
      <c r="G1053" s="60">
        <v>66.032899999999998</v>
      </c>
      <c r="H1053" s="60">
        <v>67.578599999999994</v>
      </c>
    </row>
    <row r="1054" spans="1:8" x14ac:dyDescent="0.15">
      <c r="A1054" s="60" t="s">
        <v>13</v>
      </c>
      <c r="B1054" s="60">
        <v>10000</v>
      </c>
      <c r="C1054" s="60">
        <v>24</v>
      </c>
      <c r="D1054" s="60">
        <v>2.8176000000000001</v>
      </c>
      <c r="E1054" s="60">
        <v>709.81240000000003</v>
      </c>
      <c r="F1054" s="60">
        <v>15.856</v>
      </c>
      <c r="G1054" s="60">
        <v>66.066000000000003</v>
      </c>
      <c r="H1054" s="60">
        <v>67.504900000000006</v>
      </c>
    </row>
    <row r="1055" spans="1:8" x14ac:dyDescent="0.15">
      <c r="A1055" s="60" t="s">
        <v>13</v>
      </c>
      <c r="B1055" s="60">
        <v>10000</v>
      </c>
      <c r="C1055" s="60">
        <v>24</v>
      </c>
      <c r="D1055" s="60">
        <v>2.8176000000000001</v>
      </c>
      <c r="E1055" s="60">
        <v>709.81619999999998</v>
      </c>
      <c r="F1055" s="60">
        <v>15.856</v>
      </c>
      <c r="G1055" s="60">
        <v>66.066299999999998</v>
      </c>
      <c r="H1055" s="60">
        <v>67.559600000000003</v>
      </c>
    </row>
    <row r="1056" spans="1:8" x14ac:dyDescent="0.15">
      <c r="A1056" s="60" t="s">
        <v>13</v>
      </c>
      <c r="B1056" s="60">
        <v>10000</v>
      </c>
      <c r="C1056" s="60">
        <v>24</v>
      </c>
      <c r="D1056" s="60">
        <v>2.8170999999999999</v>
      </c>
      <c r="E1056" s="60">
        <v>709.94640000000004</v>
      </c>
      <c r="F1056" s="60">
        <v>15.859</v>
      </c>
      <c r="G1056" s="60">
        <v>66.078400000000002</v>
      </c>
      <c r="H1056" s="60">
        <v>67.514600000000002</v>
      </c>
    </row>
    <row r="1057" spans="1:8" x14ac:dyDescent="0.15">
      <c r="A1057" s="60" t="s">
        <v>13</v>
      </c>
      <c r="B1057" s="60">
        <v>10000</v>
      </c>
      <c r="C1057" s="60">
        <v>24</v>
      </c>
      <c r="D1057" s="60">
        <v>2.8182</v>
      </c>
      <c r="E1057" s="60">
        <v>709.67380000000003</v>
      </c>
      <c r="F1057" s="60">
        <v>15.853</v>
      </c>
      <c r="G1057" s="60">
        <v>66.053100000000001</v>
      </c>
      <c r="H1057" s="60">
        <v>67.574700000000007</v>
      </c>
    </row>
    <row r="1058" spans="1:8" x14ac:dyDescent="0.15">
      <c r="A1058" s="60" t="s">
        <v>13</v>
      </c>
      <c r="B1058" s="60">
        <v>10000</v>
      </c>
      <c r="C1058" s="60">
        <v>24</v>
      </c>
      <c r="D1058" s="60">
        <v>2.8220999999999998</v>
      </c>
      <c r="E1058" s="60">
        <v>708.6848</v>
      </c>
      <c r="F1058" s="60">
        <v>15.831</v>
      </c>
      <c r="G1058" s="60">
        <v>65.960999999999999</v>
      </c>
      <c r="H1058" s="60">
        <v>67.634799999999998</v>
      </c>
    </row>
    <row r="1059" spans="1:8" x14ac:dyDescent="0.15">
      <c r="A1059" s="60" t="s">
        <v>13</v>
      </c>
      <c r="B1059" s="60">
        <v>10000</v>
      </c>
      <c r="C1059" s="60">
        <v>24</v>
      </c>
      <c r="D1059" s="60">
        <v>2.8346</v>
      </c>
      <c r="E1059" s="60">
        <v>705.56089999999995</v>
      </c>
      <c r="F1059" s="60">
        <v>15.760999999999999</v>
      </c>
      <c r="G1059" s="60">
        <v>65.670299999999997</v>
      </c>
      <c r="H1059" s="60">
        <v>67.902799999999999</v>
      </c>
    </row>
    <row r="1060" spans="1:8" x14ac:dyDescent="0.15">
      <c r="A1060" s="60" t="s">
        <v>13</v>
      </c>
      <c r="B1060" s="60">
        <v>10000</v>
      </c>
      <c r="C1060" s="60">
        <v>24</v>
      </c>
      <c r="D1060" s="60">
        <v>2.8349000000000002</v>
      </c>
      <c r="E1060" s="60">
        <v>705.50300000000004</v>
      </c>
      <c r="F1060" s="60">
        <v>15.76</v>
      </c>
      <c r="G1060" s="60">
        <v>65.664900000000003</v>
      </c>
      <c r="H1060" s="60">
        <v>67.917500000000004</v>
      </c>
    </row>
    <row r="1061" spans="1:8" x14ac:dyDescent="0.15">
      <c r="A1061" s="60" t="s">
        <v>13</v>
      </c>
      <c r="B1061" s="60">
        <v>10000</v>
      </c>
      <c r="C1061" s="60">
        <v>24</v>
      </c>
      <c r="D1061" s="60">
        <v>2.8188</v>
      </c>
      <c r="E1061" s="60">
        <v>709.52530000000002</v>
      </c>
      <c r="F1061" s="60">
        <v>15.849</v>
      </c>
      <c r="G1061" s="60">
        <v>66.039199999999994</v>
      </c>
      <c r="H1061" s="60">
        <v>67.5488</v>
      </c>
    </row>
    <row r="1062" spans="1:8" x14ac:dyDescent="0.15">
      <c r="A1062" s="60" t="s">
        <v>13</v>
      </c>
      <c r="B1062" s="60">
        <v>10000</v>
      </c>
      <c r="C1062" s="60">
        <v>24</v>
      </c>
      <c r="D1062" s="60">
        <v>2.8169</v>
      </c>
      <c r="E1062" s="60">
        <v>710.00609999999995</v>
      </c>
      <c r="F1062" s="60">
        <v>15.86</v>
      </c>
      <c r="G1062" s="60">
        <v>66.084000000000003</v>
      </c>
      <c r="H1062" s="60">
        <v>67.543899999999994</v>
      </c>
    </row>
    <row r="1063" spans="1:8" x14ac:dyDescent="0.15">
      <c r="A1063" s="60" t="s">
        <v>13</v>
      </c>
      <c r="B1063" s="60">
        <v>10000</v>
      </c>
      <c r="C1063" s="60">
        <v>24</v>
      </c>
      <c r="D1063" s="60">
        <v>2.8199000000000001</v>
      </c>
      <c r="E1063" s="60">
        <v>709.24950000000001</v>
      </c>
      <c r="F1063" s="60">
        <v>15.843</v>
      </c>
      <c r="G1063" s="60">
        <v>66.013599999999997</v>
      </c>
      <c r="H1063" s="60">
        <v>67.580600000000004</v>
      </c>
    </row>
    <row r="1064" spans="1:8" x14ac:dyDescent="0.15">
      <c r="A1064" s="60" t="s">
        <v>13</v>
      </c>
      <c r="B1064" s="60">
        <v>10000</v>
      </c>
      <c r="C1064" s="60">
        <v>24</v>
      </c>
      <c r="D1064" s="60">
        <v>2.8201999999999998</v>
      </c>
      <c r="E1064" s="60">
        <v>709.17840000000001</v>
      </c>
      <c r="F1064" s="60">
        <v>15.842000000000001</v>
      </c>
      <c r="G1064" s="60">
        <v>66.006900000000002</v>
      </c>
      <c r="H1064" s="60">
        <v>67.597700000000003</v>
      </c>
    </row>
    <row r="1065" spans="1:8" x14ac:dyDescent="0.15">
      <c r="A1065" s="60" t="s">
        <v>13</v>
      </c>
      <c r="B1065" s="60">
        <v>10000</v>
      </c>
      <c r="C1065" s="60">
        <v>24</v>
      </c>
      <c r="D1065" s="60">
        <v>2.8207</v>
      </c>
      <c r="E1065" s="60">
        <v>709.03560000000004</v>
      </c>
      <c r="F1065" s="60">
        <v>15.837999999999999</v>
      </c>
      <c r="G1065" s="60">
        <v>65.993700000000004</v>
      </c>
      <c r="H1065" s="60">
        <v>67.592799999999997</v>
      </c>
    </row>
    <row r="1066" spans="1:8" x14ac:dyDescent="0.15">
      <c r="A1066" s="60" t="s">
        <v>13</v>
      </c>
      <c r="B1066" s="60">
        <v>10000</v>
      </c>
      <c r="C1066" s="60">
        <v>24</v>
      </c>
      <c r="D1066" s="60">
        <v>2.8191000000000002</v>
      </c>
      <c r="E1066" s="60">
        <v>709.4538</v>
      </c>
      <c r="F1066" s="60">
        <v>15.848000000000001</v>
      </c>
      <c r="G1066" s="60">
        <v>66.032600000000002</v>
      </c>
      <c r="H1066" s="60">
        <v>67.585899999999995</v>
      </c>
    </row>
    <row r="1067" spans="1:8" x14ac:dyDescent="0.15">
      <c r="A1067" s="60" t="s">
        <v>13</v>
      </c>
      <c r="B1067" s="60">
        <v>10000</v>
      </c>
      <c r="C1067" s="60">
        <v>24</v>
      </c>
      <c r="D1067" s="60">
        <v>2.8209</v>
      </c>
      <c r="E1067" s="60">
        <v>708.99789999999996</v>
      </c>
      <c r="F1067" s="60">
        <v>15.837999999999999</v>
      </c>
      <c r="G1067" s="60">
        <v>65.990099999999998</v>
      </c>
      <c r="H1067" s="60">
        <v>67.613799999999998</v>
      </c>
    </row>
    <row r="1068" spans="1:8" x14ac:dyDescent="0.15">
      <c r="A1068" s="60" t="s">
        <v>13</v>
      </c>
      <c r="B1068" s="60">
        <v>10000</v>
      </c>
      <c r="C1068" s="60">
        <v>24</v>
      </c>
      <c r="D1068" s="60">
        <v>2.8220999999999998</v>
      </c>
      <c r="E1068" s="60">
        <v>708.68309999999997</v>
      </c>
      <c r="F1068" s="60">
        <v>15.831</v>
      </c>
      <c r="G1068" s="60">
        <v>65.960800000000006</v>
      </c>
      <c r="H1068" s="60">
        <v>67.6387</v>
      </c>
    </row>
    <row r="1069" spans="1:8" x14ac:dyDescent="0.15">
      <c r="A1069" s="60" t="s">
        <v>13</v>
      </c>
      <c r="B1069" s="60">
        <v>10000</v>
      </c>
      <c r="C1069" s="60">
        <v>24</v>
      </c>
      <c r="D1069" s="60">
        <v>2.8191000000000002</v>
      </c>
      <c r="E1069" s="60">
        <v>709.44929999999999</v>
      </c>
      <c r="F1069" s="60">
        <v>15.848000000000001</v>
      </c>
      <c r="G1069" s="60">
        <v>66.032200000000003</v>
      </c>
      <c r="H1069" s="60">
        <v>67.590800000000002</v>
      </c>
    </row>
    <row r="1070" spans="1:8" x14ac:dyDescent="0.15">
      <c r="A1070" s="60" t="s">
        <v>13</v>
      </c>
      <c r="B1070" s="60">
        <v>10000</v>
      </c>
      <c r="C1070" s="60">
        <v>24</v>
      </c>
      <c r="D1070" s="60">
        <v>2.8256999999999999</v>
      </c>
      <c r="E1070" s="60">
        <v>707.78719999999998</v>
      </c>
      <c r="F1070" s="60">
        <v>15.811</v>
      </c>
      <c r="G1070" s="60">
        <v>65.877499999999998</v>
      </c>
      <c r="H1070" s="60">
        <v>67.711399999999998</v>
      </c>
    </row>
    <row r="1071" spans="1:8" x14ac:dyDescent="0.15">
      <c r="A1071" s="60" t="s">
        <v>13</v>
      </c>
      <c r="B1071" s="60">
        <v>10000</v>
      </c>
      <c r="C1071" s="60">
        <v>24</v>
      </c>
      <c r="D1071" s="60">
        <v>2.8193000000000001</v>
      </c>
      <c r="E1071" s="60">
        <v>709.3836</v>
      </c>
      <c r="F1071" s="60">
        <v>15.846</v>
      </c>
      <c r="G1071" s="60">
        <v>66.025999999999996</v>
      </c>
      <c r="H1071" s="60">
        <v>67.599599999999995</v>
      </c>
    </row>
    <row r="1072" spans="1:8" x14ac:dyDescent="0.15">
      <c r="A1072" s="60" t="s">
        <v>13</v>
      </c>
      <c r="B1072" s="60">
        <v>10000</v>
      </c>
      <c r="C1072" s="60">
        <v>24</v>
      </c>
      <c r="D1072" s="60">
        <v>2.8193000000000001</v>
      </c>
      <c r="E1072" s="60">
        <v>709.38689999999997</v>
      </c>
      <c r="F1072" s="60">
        <v>15.846</v>
      </c>
      <c r="G1072" s="60">
        <v>66.026399999999995</v>
      </c>
      <c r="H1072" s="60">
        <v>67.563999999999993</v>
      </c>
    </row>
    <row r="1073" spans="1:8" x14ac:dyDescent="0.15">
      <c r="A1073" s="60" t="s">
        <v>13</v>
      </c>
      <c r="B1073" s="60">
        <v>10000</v>
      </c>
      <c r="C1073" s="60">
        <v>24</v>
      </c>
      <c r="D1073" s="60">
        <v>2.8191000000000002</v>
      </c>
      <c r="E1073" s="60">
        <v>709.45709999999997</v>
      </c>
      <c r="F1073" s="60">
        <v>15.848000000000001</v>
      </c>
      <c r="G1073" s="60">
        <v>66.032899999999998</v>
      </c>
      <c r="H1073" s="60">
        <v>67.5869</v>
      </c>
    </row>
    <row r="1074" spans="1:8" x14ac:dyDescent="0.15">
      <c r="A1074" s="60" t="s">
        <v>13</v>
      </c>
      <c r="B1074" s="60">
        <v>10000</v>
      </c>
      <c r="C1074" s="60">
        <v>24</v>
      </c>
      <c r="D1074" s="60">
        <v>2.8197999999999999</v>
      </c>
      <c r="E1074" s="60">
        <v>709.26710000000003</v>
      </c>
      <c r="F1074" s="60">
        <v>15.843999999999999</v>
      </c>
      <c r="G1074" s="60">
        <v>66.015199999999993</v>
      </c>
      <c r="H1074" s="60">
        <v>67.588399999999993</v>
      </c>
    </row>
    <row r="1075" spans="1:8" x14ac:dyDescent="0.15">
      <c r="A1075" s="60" t="s">
        <v>13</v>
      </c>
      <c r="B1075" s="60">
        <v>10000</v>
      </c>
      <c r="C1075" s="60">
        <v>24</v>
      </c>
      <c r="D1075" s="60">
        <v>2.8191999999999999</v>
      </c>
      <c r="E1075" s="60">
        <v>709.41359999999997</v>
      </c>
      <c r="F1075" s="60">
        <v>15.847</v>
      </c>
      <c r="G1075" s="60">
        <v>66.028800000000004</v>
      </c>
      <c r="H1075" s="60">
        <v>67.600099999999998</v>
      </c>
    </row>
    <row r="1076" spans="1:8" x14ac:dyDescent="0.15">
      <c r="A1076" s="60" t="s">
        <v>13</v>
      </c>
      <c r="B1076" s="60">
        <v>10000</v>
      </c>
      <c r="C1076" s="60">
        <v>24</v>
      </c>
      <c r="D1076" s="60">
        <v>2.8292999999999999</v>
      </c>
      <c r="E1076" s="60">
        <v>706.8818</v>
      </c>
      <c r="F1076" s="60">
        <v>15.79</v>
      </c>
      <c r="G1076" s="60">
        <v>65.793199999999999</v>
      </c>
      <c r="H1076" s="60">
        <v>67.767600000000002</v>
      </c>
    </row>
    <row r="1077" spans="1:8" x14ac:dyDescent="0.15">
      <c r="A1077" s="60" t="s">
        <v>13</v>
      </c>
      <c r="B1077" s="60">
        <v>10000</v>
      </c>
      <c r="C1077" s="60">
        <v>24</v>
      </c>
      <c r="D1077" s="60">
        <v>2.8170000000000002</v>
      </c>
      <c r="E1077" s="60">
        <v>709.98350000000005</v>
      </c>
      <c r="F1077" s="60">
        <v>15.86</v>
      </c>
      <c r="G1077" s="60">
        <v>66.081900000000005</v>
      </c>
      <c r="H1077" s="60">
        <v>67.504900000000006</v>
      </c>
    </row>
    <row r="1078" spans="1:8" x14ac:dyDescent="0.15">
      <c r="A1078" s="60" t="s">
        <v>13</v>
      </c>
      <c r="B1078" s="60">
        <v>10000</v>
      </c>
      <c r="C1078" s="60">
        <v>24</v>
      </c>
      <c r="D1078" s="60">
        <v>2.8184999999999998</v>
      </c>
      <c r="E1078" s="60">
        <v>709.59220000000005</v>
      </c>
      <c r="F1078" s="60">
        <v>15.851000000000001</v>
      </c>
      <c r="G1078" s="60">
        <v>66.045500000000004</v>
      </c>
      <c r="H1078" s="60">
        <v>67.581500000000005</v>
      </c>
    </row>
    <row r="1079" spans="1:8" x14ac:dyDescent="0.15">
      <c r="A1079" s="60" t="s">
        <v>13</v>
      </c>
      <c r="B1079" s="60">
        <v>10000</v>
      </c>
      <c r="C1079" s="60">
        <v>24</v>
      </c>
      <c r="D1079" s="60">
        <v>2.8216000000000001</v>
      </c>
      <c r="E1079" s="60">
        <v>708.8116</v>
      </c>
      <c r="F1079" s="60">
        <v>15.833</v>
      </c>
      <c r="G1079" s="60">
        <v>65.972800000000007</v>
      </c>
      <c r="H1079" s="60">
        <v>67.613799999999998</v>
      </c>
    </row>
    <row r="1080" spans="1:8" x14ac:dyDescent="0.15">
      <c r="A1080" s="60" t="s">
        <v>13</v>
      </c>
      <c r="B1080" s="60">
        <v>10000</v>
      </c>
      <c r="C1080" s="60">
        <v>24</v>
      </c>
      <c r="D1080" s="60">
        <v>2.8182999999999998</v>
      </c>
      <c r="E1080" s="60">
        <v>709.65</v>
      </c>
      <c r="F1080" s="60">
        <v>15.852</v>
      </c>
      <c r="G1080" s="60">
        <v>66.050799999999995</v>
      </c>
      <c r="H1080" s="60">
        <v>67.578599999999994</v>
      </c>
    </row>
    <row r="1081" spans="1:8" x14ac:dyDescent="0.15">
      <c r="A1081" s="60" t="s">
        <v>13</v>
      </c>
      <c r="B1081" s="60">
        <v>10000</v>
      </c>
      <c r="C1081" s="60">
        <v>24</v>
      </c>
      <c r="D1081" s="60">
        <v>2.8189000000000002</v>
      </c>
      <c r="E1081" s="60">
        <v>709.48699999999997</v>
      </c>
      <c r="F1081" s="60">
        <v>15.849</v>
      </c>
      <c r="G1081" s="60">
        <v>66.035700000000006</v>
      </c>
      <c r="H1081" s="60">
        <v>67.558099999999996</v>
      </c>
    </row>
    <row r="1082" spans="1:8" x14ac:dyDescent="0.15">
      <c r="A1082" s="60" t="s">
        <v>13</v>
      </c>
      <c r="B1082" s="60">
        <v>10000</v>
      </c>
      <c r="C1082" s="60">
        <v>24</v>
      </c>
      <c r="D1082" s="60">
        <v>2.8182999999999998</v>
      </c>
      <c r="E1082" s="60">
        <v>709.64080000000001</v>
      </c>
      <c r="F1082" s="60">
        <v>15.852</v>
      </c>
      <c r="G1082" s="60">
        <v>66.05</v>
      </c>
      <c r="H1082" s="60">
        <v>67.576700000000002</v>
      </c>
    </row>
    <row r="1083" spans="1:8" x14ac:dyDescent="0.15">
      <c r="A1083" s="60" t="s">
        <v>13</v>
      </c>
      <c r="B1083" s="60">
        <v>10000</v>
      </c>
      <c r="C1083" s="60">
        <v>24</v>
      </c>
      <c r="D1083" s="60">
        <v>2.8197000000000001</v>
      </c>
      <c r="E1083" s="60">
        <v>709.30460000000005</v>
      </c>
      <c r="F1083" s="60">
        <v>15.843999999999999</v>
      </c>
      <c r="G1083" s="60">
        <v>66.018699999999995</v>
      </c>
      <c r="H1083" s="60">
        <v>67.571799999999996</v>
      </c>
    </row>
    <row r="1084" spans="1:8" x14ac:dyDescent="0.15">
      <c r="A1084" s="60" t="s">
        <v>13</v>
      </c>
      <c r="B1084" s="60">
        <v>10000</v>
      </c>
      <c r="C1084" s="60">
        <v>24</v>
      </c>
      <c r="D1084" s="60">
        <v>2.8203999999999998</v>
      </c>
      <c r="E1084" s="60">
        <v>709.12699999999995</v>
      </c>
      <c r="F1084" s="60">
        <v>15.840999999999999</v>
      </c>
      <c r="G1084" s="60">
        <v>66.002200000000002</v>
      </c>
      <c r="H1084" s="60">
        <v>67.591800000000006</v>
      </c>
    </row>
    <row r="1085" spans="1:8" x14ac:dyDescent="0.15">
      <c r="A1085" s="60" t="s">
        <v>13</v>
      </c>
      <c r="B1085" s="60">
        <v>10000</v>
      </c>
      <c r="C1085" s="60">
        <v>24</v>
      </c>
      <c r="D1085" s="60">
        <v>2.8832</v>
      </c>
      <c r="E1085" s="60">
        <v>693.68330000000003</v>
      </c>
      <c r="F1085" s="60">
        <v>15.496</v>
      </c>
      <c r="G1085" s="60">
        <v>64.564700000000002</v>
      </c>
      <c r="H1085" s="60">
        <v>68.997600000000006</v>
      </c>
    </row>
    <row r="1086" spans="1:8" x14ac:dyDescent="0.15">
      <c r="A1086" s="60" t="s">
        <v>13</v>
      </c>
      <c r="B1086" s="60">
        <v>10000</v>
      </c>
      <c r="C1086" s="60">
        <v>24</v>
      </c>
      <c r="D1086" s="60">
        <v>2.8203</v>
      </c>
      <c r="E1086" s="60">
        <v>709.13409999999999</v>
      </c>
      <c r="F1086" s="60">
        <v>15.840999999999999</v>
      </c>
      <c r="G1086" s="60">
        <v>66.002799999999993</v>
      </c>
      <c r="H1086" s="60">
        <v>67.589399999999998</v>
      </c>
    </row>
    <row r="1087" spans="1:8" x14ac:dyDescent="0.15">
      <c r="A1087" s="60" t="s">
        <v>13</v>
      </c>
      <c r="B1087" s="60">
        <v>10000</v>
      </c>
      <c r="C1087" s="60">
        <v>24</v>
      </c>
      <c r="D1087" s="60">
        <v>2.8180999999999998</v>
      </c>
      <c r="E1087" s="60">
        <v>709.70029999999997</v>
      </c>
      <c r="F1087" s="60">
        <v>15.853</v>
      </c>
      <c r="G1087" s="60">
        <v>66.055499999999995</v>
      </c>
      <c r="H1087" s="60">
        <v>67.568799999999996</v>
      </c>
    </row>
    <row r="1088" spans="1:8" x14ac:dyDescent="0.15">
      <c r="A1088" s="60" t="s">
        <v>13</v>
      </c>
      <c r="B1088" s="60">
        <v>10000</v>
      </c>
      <c r="C1088" s="60">
        <v>24</v>
      </c>
      <c r="D1088" s="60">
        <v>2.8191000000000002</v>
      </c>
      <c r="E1088" s="60">
        <v>709.44200000000001</v>
      </c>
      <c r="F1088" s="60">
        <v>15.848000000000001</v>
      </c>
      <c r="G1088" s="60">
        <v>66.031499999999994</v>
      </c>
      <c r="H1088" s="60">
        <v>67.561000000000007</v>
      </c>
    </row>
    <row r="1089" spans="1:8" x14ac:dyDescent="0.15">
      <c r="A1089" s="60" t="s">
        <v>13</v>
      </c>
      <c r="B1089" s="60">
        <v>10000</v>
      </c>
      <c r="C1089" s="60">
        <v>24</v>
      </c>
      <c r="D1089" s="60">
        <v>2.8163</v>
      </c>
      <c r="E1089" s="60">
        <v>710.14300000000003</v>
      </c>
      <c r="F1089" s="60">
        <v>15.863</v>
      </c>
      <c r="G1089" s="60">
        <v>66.096699999999998</v>
      </c>
      <c r="H1089" s="60">
        <v>67.529300000000006</v>
      </c>
    </row>
    <row r="1090" spans="1:8" x14ac:dyDescent="0.15">
      <c r="A1090" s="60" t="s">
        <v>13</v>
      </c>
      <c r="B1090" s="60">
        <v>10000</v>
      </c>
      <c r="C1090" s="60">
        <v>24</v>
      </c>
      <c r="D1090" s="60">
        <v>2.8191000000000002</v>
      </c>
      <c r="E1090" s="60">
        <v>709.45280000000002</v>
      </c>
      <c r="F1090" s="60">
        <v>15.848000000000001</v>
      </c>
      <c r="G1090" s="60">
        <v>66.032499999999999</v>
      </c>
      <c r="H1090" s="60">
        <v>67.558599999999998</v>
      </c>
    </row>
    <row r="1091" spans="1:8" x14ac:dyDescent="0.15">
      <c r="A1091" s="60" t="s">
        <v>13</v>
      </c>
      <c r="B1091" s="60">
        <v>10005</v>
      </c>
      <c r="C1091" s="60">
        <v>1</v>
      </c>
      <c r="D1091" s="60">
        <v>44.7761</v>
      </c>
      <c r="E1091" s="60">
        <v>44.733699999999999</v>
      </c>
      <c r="F1091" s="60">
        <v>1</v>
      </c>
      <c r="G1091" s="60">
        <v>100</v>
      </c>
      <c r="H1091" s="60">
        <v>50.064399999999999</v>
      </c>
    </row>
    <row r="1092" spans="1:8" x14ac:dyDescent="0.15">
      <c r="A1092" s="60" t="s">
        <v>13</v>
      </c>
      <c r="B1092" s="60">
        <v>10005</v>
      </c>
      <c r="C1092" s="60">
        <v>1</v>
      </c>
      <c r="D1092" s="60">
        <v>44.1417</v>
      </c>
      <c r="E1092" s="60">
        <v>45.376600000000003</v>
      </c>
      <c r="F1092" s="60">
        <v>1.014</v>
      </c>
      <c r="G1092" s="60">
        <v>101.4372</v>
      </c>
      <c r="H1092" s="60">
        <v>44.1143</v>
      </c>
    </row>
    <row r="1093" spans="1:8" x14ac:dyDescent="0.15">
      <c r="A1093" s="60" t="s">
        <v>13</v>
      </c>
      <c r="B1093" s="60">
        <v>10005</v>
      </c>
      <c r="C1093" s="60">
        <v>1</v>
      </c>
      <c r="D1093" s="60">
        <v>44.106200000000001</v>
      </c>
      <c r="E1093" s="60">
        <v>45.4131</v>
      </c>
      <c r="F1093" s="60">
        <v>1.0149999999999999</v>
      </c>
      <c r="G1093" s="60">
        <v>101.5187</v>
      </c>
      <c r="H1093" s="60">
        <v>44.077300000000001</v>
      </c>
    </row>
    <row r="1094" spans="1:8" x14ac:dyDescent="0.15">
      <c r="A1094" s="60" t="s">
        <v>13</v>
      </c>
      <c r="B1094" s="60">
        <v>10005</v>
      </c>
      <c r="C1094" s="60">
        <v>1</v>
      </c>
      <c r="D1094" s="60">
        <v>44.112900000000003</v>
      </c>
      <c r="E1094" s="60">
        <v>45.406300000000002</v>
      </c>
      <c r="F1094" s="60">
        <v>1.0149999999999999</v>
      </c>
      <c r="G1094" s="60">
        <v>101.5034</v>
      </c>
      <c r="H1094" s="60">
        <v>44.085299999999997</v>
      </c>
    </row>
    <row r="1095" spans="1:8" x14ac:dyDescent="0.15">
      <c r="A1095" s="60" t="s">
        <v>13</v>
      </c>
      <c r="B1095" s="60">
        <v>10005</v>
      </c>
      <c r="C1095" s="60">
        <v>1</v>
      </c>
      <c r="D1095" s="60">
        <v>44.104999999999997</v>
      </c>
      <c r="E1095" s="60">
        <v>45.414400000000001</v>
      </c>
      <c r="F1095" s="60">
        <v>1.0149999999999999</v>
      </c>
      <c r="G1095" s="60">
        <v>101.52160000000001</v>
      </c>
      <c r="H1095" s="60">
        <v>44.077300000000001</v>
      </c>
    </row>
    <row r="1096" spans="1:8" x14ac:dyDescent="0.15">
      <c r="A1096" s="60" t="s">
        <v>13</v>
      </c>
      <c r="B1096" s="60">
        <v>10005</v>
      </c>
      <c r="C1096" s="60">
        <v>1</v>
      </c>
      <c r="D1096" s="60">
        <v>44.105200000000004</v>
      </c>
      <c r="E1096" s="60">
        <v>45.414200000000001</v>
      </c>
      <c r="F1096" s="60">
        <v>1.0149999999999999</v>
      </c>
      <c r="G1096" s="60">
        <v>101.5211</v>
      </c>
      <c r="H1096" s="60">
        <v>44.076300000000003</v>
      </c>
    </row>
    <row r="1097" spans="1:8" x14ac:dyDescent="0.15">
      <c r="A1097" s="60" t="s">
        <v>13</v>
      </c>
      <c r="B1097" s="60">
        <v>10005</v>
      </c>
      <c r="C1097" s="60">
        <v>23</v>
      </c>
      <c r="D1097" s="60">
        <v>2.7406999999999999</v>
      </c>
      <c r="E1097" s="60">
        <v>730.83150000000001</v>
      </c>
      <c r="F1097" s="60">
        <v>16.337</v>
      </c>
      <c r="G1097" s="60">
        <v>71.0321</v>
      </c>
      <c r="H1097" s="60">
        <v>62.949399999999997</v>
      </c>
    </row>
    <row r="1098" spans="1:8" x14ac:dyDescent="0.15">
      <c r="A1098" s="60" t="s">
        <v>13</v>
      </c>
      <c r="B1098" s="60">
        <v>10005</v>
      </c>
      <c r="C1098" s="60">
        <v>23</v>
      </c>
      <c r="D1098" s="60">
        <v>2.8085</v>
      </c>
      <c r="E1098" s="60">
        <v>713.18600000000004</v>
      </c>
      <c r="F1098" s="60">
        <v>15.943</v>
      </c>
      <c r="G1098" s="60">
        <v>69.316999999999993</v>
      </c>
      <c r="H1098" s="60">
        <v>64.541200000000003</v>
      </c>
    </row>
    <row r="1099" spans="1:8" x14ac:dyDescent="0.15">
      <c r="A1099" s="60" t="s">
        <v>13</v>
      </c>
      <c r="B1099" s="60">
        <v>10005</v>
      </c>
      <c r="C1099" s="60">
        <v>23</v>
      </c>
      <c r="D1099" s="60">
        <v>2.8140999999999998</v>
      </c>
      <c r="E1099" s="60">
        <v>711.78430000000003</v>
      </c>
      <c r="F1099" s="60">
        <v>15.912000000000001</v>
      </c>
      <c r="G1099" s="60">
        <v>69.180800000000005</v>
      </c>
      <c r="H1099" s="60">
        <v>64.671099999999996</v>
      </c>
    </row>
    <row r="1100" spans="1:8" x14ac:dyDescent="0.15">
      <c r="A1100" s="60" t="s">
        <v>13</v>
      </c>
      <c r="B1100" s="60">
        <v>10005</v>
      </c>
      <c r="C1100" s="60">
        <v>23</v>
      </c>
      <c r="D1100" s="60">
        <v>2.8172999999999999</v>
      </c>
      <c r="E1100" s="60">
        <v>710.96699999999998</v>
      </c>
      <c r="F1100" s="60">
        <v>15.893000000000001</v>
      </c>
      <c r="G1100" s="60">
        <v>69.101399999999998</v>
      </c>
      <c r="H1100" s="60">
        <v>64.742199999999997</v>
      </c>
    </row>
    <row r="1101" spans="1:8" x14ac:dyDescent="0.15">
      <c r="A1101" s="60" t="s">
        <v>13</v>
      </c>
      <c r="B1101" s="60">
        <v>10005</v>
      </c>
      <c r="C1101" s="60">
        <v>23</v>
      </c>
      <c r="D1101" s="60">
        <v>2.8189000000000002</v>
      </c>
      <c r="E1101" s="60">
        <v>710.55970000000002</v>
      </c>
      <c r="F1101" s="60">
        <v>15.884</v>
      </c>
      <c r="G1101" s="60">
        <v>69.061800000000005</v>
      </c>
      <c r="H1101" s="60">
        <v>64.779200000000003</v>
      </c>
    </row>
    <row r="1102" spans="1:8" x14ac:dyDescent="0.15">
      <c r="A1102" s="60" t="s">
        <v>13</v>
      </c>
      <c r="B1102" s="60">
        <v>10005</v>
      </c>
      <c r="C1102" s="60">
        <v>23</v>
      </c>
      <c r="D1102" s="60">
        <v>2.8218000000000001</v>
      </c>
      <c r="E1102" s="60">
        <v>709.83389999999997</v>
      </c>
      <c r="F1102" s="60">
        <v>15.868</v>
      </c>
      <c r="G1102" s="60">
        <v>68.991200000000006</v>
      </c>
      <c r="H1102" s="60">
        <v>64.848100000000002</v>
      </c>
    </row>
    <row r="1103" spans="1:8" x14ac:dyDescent="0.15">
      <c r="A1103" s="60" t="s">
        <v>13</v>
      </c>
      <c r="B1103" s="60">
        <v>10005</v>
      </c>
      <c r="C1103" s="60">
        <v>23</v>
      </c>
      <c r="D1103" s="60">
        <v>2.8281999999999998</v>
      </c>
      <c r="E1103" s="60">
        <v>708.22410000000002</v>
      </c>
      <c r="F1103" s="60">
        <v>15.832000000000001</v>
      </c>
      <c r="G1103" s="60">
        <v>68.834800000000001</v>
      </c>
      <c r="H1103" s="60">
        <v>64.972099999999998</v>
      </c>
    </row>
    <row r="1104" spans="1:8" x14ac:dyDescent="0.15">
      <c r="A1104" s="60" t="s">
        <v>13</v>
      </c>
      <c r="B1104" s="60">
        <v>10005</v>
      </c>
      <c r="C1104" s="60">
        <v>23</v>
      </c>
      <c r="D1104" s="60">
        <v>2.8298999999999999</v>
      </c>
      <c r="E1104" s="60">
        <v>707.79039999999998</v>
      </c>
      <c r="F1104" s="60">
        <v>15.821999999999999</v>
      </c>
      <c r="G1104" s="60">
        <v>68.792599999999993</v>
      </c>
      <c r="H1104" s="60">
        <v>65.032200000000003</v>
      </c>
    </row>
    <row r="1105" spans="1:8" x14ac:dyDescent="0.15">
      <c r="A1105" s="60" t="s">
        <v>13</v>
      </c>
      <c r="B1105" s="60">
        <v>10005</v>
      </c>
      <c r="C1105" s="60">
        <v>23</v>
      </c>
      <c r="D1105" s="60">
        <v>2.8330000000000002</v>
      </c>
      <c r="E1105" s="60">
        <v>707.03560000000004</v>
      </c>
      <c r="F1105" s="60">
        <v>15.805</v>
      </c>
      <c r="G1105" s="60">
        <v>68.719200000000001</v>
      </c>
      <c r="H1105" s="60">
        <v>65.103099999999998</v>
      </c>
    </row>
    <row r="1106" spans="1:8" x14ac:dyDescent="0.15">
      <c r="A1106" s="60" t="s">
        <v>13</v>
      </c>
      <c r="B1106" s="60">
        <v>10005</v>
      </c>
      <c r="C1106" s="60">
        <v>23</v>
      </c>
      <c r="D1106" s="60">
        <v>2.8363</v>
      </c>
      <c r="E1106" s="60">
        <v>706.21019999999999</v>
      </c>
      <c r="F1106" s="60">
        <v>15.787000000000001</v>
      </c>
      <c r="G1106" s="60">
        <v>68.638999999999996</v>
      </c>
      <c r="H1106" s="60">
        <v>65.181100000000001</v>
      </c>
    </row>
    <row r="1107" spans="1:8" x14ac:dyDescent="0.15">
      <c r="A1107" s="60" t="s">
        <v>13</v>
      </c>
      <c r="B1107" s="60">
        <v>10005</v>
      </c>
      <c r="C1107" s="60">
        <v>23</v>
      </c>
      <c r="D1107" s="60">
        <v>2.8420000000000001</v>
      </c>
      <c r="E1107" s="60">
        <v>704.79010000000005</v>
      </c>
      <c r="F1107" s="60">
        <v>15.755000000000001</v>
      </c>
      <c r="G1107" s="60">
        <v>68.501000000000005</v>
      </c>
      <c r="H1107" s="60">
        <v>65.309100000000001</v>
      </c>
    </row>
    <row r="1108" spans="1:8" x14ac:dyDescent="0.15">
      <c r="A1108" s="60" t="s">
        <v>13</v>
      </c>
      <c r="B1108" s="60">
        <v>10005</v>
      </c>
      <c r="C1108" s="60">
        <v>23</v>
      </c>
      <c r="D1108" s="60">
        <v>2.8452999999999999</v>
      </c>
      <c r="E1108" s="60">
        <v>703.97659999999996</v>
      </c>
      <c r="F1108" s="60">
        <v>15.737</v>
      </c>
      <c r="G1108" s="60">
        <v>68.421899999999994</v>
      </c>
      <c r="H1108" s="60">
        <v>65.387</v>
      </c>
    </row>
    <row r="1109" spans="1:8" x14ac:dyDescent="0.15">
      <c r="A1109" s="60" t="s">
        <v>13</v>
      </c>
      <c r="B1109" s="60">
        <v>10005</v>
      </c>
      <c r="C1109" s="60">
        <v>23</v>
      </c>
      <c r="D1109" s="60">
        <v>2.8475999999999999</v>
      </c>
      <c r="E1109" s="60">
        <v>703.40210000000002</v>
      </c>
      <c r="F1109" s="60">
        <v>15.724</v>
      </c>
      <c r="G1109" s="60">
        <v>68.366100000000003</v>
      </c>
      <c r="H1109" s="60">
        <v>65.442099999999996</v>
      </c>
    </row>
    <row r="1110" spans="1:8" x14ac:dyDescent="0.15">
      <c r="A1110" s="60" t="s">
        <v>13</v>
      </c>
      <c r="B1110" s="60">
        <v>10005</v>
      </c>
      <c r="C1110" s="60">
        <v>23</v>
      </c>
      <c r="D1110" s="60">
        <v>2.8582000000000001</v>
      </c>
      <c r="E1110" s="60">
        <v>700.77930000000003</v>
      </c>
      <c r="F1110" s="60">
        <v>15.666</v>
      </c>
      <c r="G1110" s="60">
        <v>68.111199999999997</v>
      </c>
      <c r="H1110" s="60">
        <v>65.674000000000007</v>
      </c>
    </row>
    <row r="1111" spans="1:8" x14ac:dyDescent="0.15">
      <c r="A1111" s="60" t="s">
        <v>13</v>
      </c>
      <c r="B1111" s="60">
        <v>10005</v>
      </c>
      <c r="C1111" s="60">
        <v>23</v>
      </c>
      <c r="D1111" s="60">
        <v>2.8563000000000001</v>
      </c>
      <c r="E1111" s="60">
        <v>701.26620000000003</v>
      </c>
      <c r="F1111" s="60">
        <v>15.676</v>
      </c>
      <c r="G1111" s="60">
        <v>68.158500000000004</v>
      </c>
      <c r="H1111" s="60">
        <v>65.637</v>
      </c>
    </row>
    <row r="1112" spans="1:8" x14ac:dyDescent="0.15">
      <c r="A1112" s="60" t="s">
        <v>13</v>
      </c>
      <c r="B1112" s="60">
        <v>10005</v>
      </c>
      <c r="C1112" s="60">
        <v>23</v>
      </c>
      <c r="D1112" s="60">
        <v>2.859</v>
      </c>
      <c r="E1112" s="60">
        <v>700.5915</v>
      </c>
      <c r="F1112" s="60">
        <v>15.661</v>
      </c>
      <c r="G1112" s="60">
        <v>68.0929</v>
      </c>
      <c r="H1112" s="60">
        <v>65.703000000000003</v>
      </c>
    </row>
    <row r="1113" spans="1:8" x14ac:dyDescent="0.15">
      <c r="A1113" s="60" t="s">
        <v>13</v>
      </c>
      <c r="B1113" s="60">
        <v>10005</v>
      </c>
      <c r="C1113" s="60">
        <v>23</v>
      </c>
      <c r="D1113" s="60">
        <v>2.8622000000000001</v>
      </c>
      <c r="E1113" s="60">
        <v>699.80780000000004</v>
      </c>
      <c r="F1113" s="60">
        <v>15.644</v>
      </c>
      <c r="G1113" s="60">
        <v>68.0167</v>
      </c>
      <c r="H1113" s="60">
        <v>65.777000000000001</v>
      </c>
    </row>
    <row r="1114" spans="1:8" x14ac:dyDescent="0.15">
      <c r="A1114" s="60" t="s">
        <v>13</v>
      </c>
      <c r="B1114" s="60">
        <v>10005</v>
      </c>
      <c r="C1114" s="60">
        <v>23</v>
      </c>
      <c r="D1114" s="60">
        <v>2.867</v>
      </c>
      <c r="E1114" s="60">
        <v>698.6354</v>
      </c>
      <c r="F1114" s="60">
        <v>15.618</v>
      </c>
      <c r="G1114" s="60">
        <v>67.902799999999999</v>
      </c>
      <c r="H1114" s="60">
        <v>65.884</v>
      </c>
    </row>
    <row r="1115" spans="1:8" x14ac:dyDescent="0.15">
      <c r="A1115" s="60" t="s">
        <v>13</v>
      </c>
      <c r="B1115" s="60">
        <v>10005</v>
      </c>
      <c r="C1115" s="60">
        <v>23</v>
      </c>
      <c r="D1115" s="60">
        <v>2.8647999999999998</v>
      </c>
      <c r="E1115" s="60">
        <v>699.18290000000002</v>
      </c>
      <c r="F1115" s="60">
        <v>15.63</v>
      </c>
      <c r="G1115" s="60">
        <v>67.956000000000003</v>
      </c>
      <c r="H1115" s="60">
        <v>65.825999999999993</v>
      </c>
    </row>
    <row r="1116" spans="1:8" x14ac:dyDescent="0.15">
      <c r="A1116" s="60" t="s">
        <v>13</v>
      </c>
      <c r="B1116" s="60">
        <v>10005</v>
      </c>
      <c r="C1116" s="60">
        <v>23</v>
      </c>
      <c r="D1116" s="60">
        <v>2.8658000000000001</v>
      </c>
      <c r="E1116" s="60">
        <v>698.94280000000003</v>
      </c>
      <c r="F1116" s="60">
        <v>15.625</v>
      </c>
      <c r="G1116" s="60">
        <v>67.932699999999997</v>
      </c>
      <c r="H1116" s="60">
        <v>65.866900000000001</v>
      </c>
    </row>
    <row r="1117" spans="1:8" x14ac:dyDescent="0.15">
      <c r="A1117" s="60" t="s">
        <v>13</v>
      </c>
      <c r="B1117" s="60">
        <v>10005</v>
      </c>
      <c r="C1117" s="60">
        <v>23</v>
      </c>
      <c r="D1117" s="60">
        <v>2.8683000000000001</v>
      </c>
      <c r="E1117" s="60">
        <v>698.32410000000004</v>
      </c>
      <c r="F1117" s="60">
        <v>15.611000000000001</v>
      </c>
      <c r="G1117" s="60">
        <v>67.872500000000002</v>
      </c>
      <c r="H1117" s="60">
        <v>65.917000000000002</v>
      </c>
    </row>
    <row r="1118" spans="1:8" x14ac:dyDescent="0.15">
      <c r="A1118" s="60" t="s">
        <v>13</v>
      </c>
      <c r="B1118" s="60">
        <v>10005</v>
      </c>
      <c r="C1118" s="60">
        <v>23</v>
      </c>
      <c r="D1118" s="60">
        <v>2.8708999999999998</v>
      </c>
      <c r="E1118" s="60">
        <v>697.69359999999995</v>
      </c>
      <c r="F1118" s="60">
        <v>15.597</v>
      </c>
      <c r="G1118" s="60">
        <v>67.811300000000003</v>
      </c>
      <c r="H1118" s="60">
        <v>65.974999999999994</v>
      </c>
    </row>
    <row r="1119" spans="1:8" x14ac:dyDescent="0.15">
      <c r="A1119" s="60" t="s">
        <v>13</v>
      </c>
      <c r="B1119" s="60">
        <v>10005</v>
      </c>
      <c r="C1119" s="60">
        <v>23</v>
      </c>
      <c r="D1119" s="60">
        <v>2.8757000000000001</v>
      </c>
      <c r="E1119" s="60">
        <v>696.51790000000005</v>
      </c>
      <c r="F1119" s="60">
        <v>15.57</v>
      </c>
      <c r="G1119" s="60">
        <v>67.697000000000003</v>
      </c>
      <c r="H1119" s="60">
        <v>66.084000000000003</v>
      </c>
    </row>
    <row r="1120" spans="1:8" x14ac:dyDescent="0.15">
      <c r="A1120" s="60" t="s">
        <v>13</v>
      </c>
      <c r="B1120" s="60">
        <v>10005</v>
      </c>
      <c r="C1120" s="60">
        <v>23</v>
      </c>
      <c r="D1120" s="60">
        <v>2.8736999999999999</v>
      </c>
      <c r="E1120" s="60">
        <v>697.00429999999994</v>
      </c>
      <c r="F1120" s="60">
        <v>15.581</v>
      </c>
      <c r="G1120" s="60">
        <v>67.744299999999996</v>
      </c>
      <c r="H1120" s="60">
        <v>66.043899999999994</v>
      </c>
    </row>
    <row r="1121" spans="1:8" x14ac:dyDescent="0.15">
      <c r="A1121" s="60" t="s">
        <v>13</v>
      </c>
      <c r="B1121" s="60">
        <v>10005</v>
      </c>
      <c r="C1121" s="60">
        <v>23</v>
      </c>
      <c r="D1121" s="60">
        <v>2.8763000000000001</v>
      </c>
      <c r="E1121" s="60">
        <v>696.37570000000005</v>
      </c>
      <c r="F1121" s="60">
        <v>15.567</v>
      </c>
      <c r="G1121" s="60">
        <v>67.683199999999999</v>
      </c>
      <c r="H1121" s="60">
        <v>66.099999999999994</v>
      </c>
    </row>
    <row r="1122" spans="1:8" x14ac:dyDescent="0.15">
      <c r="A1122" s="60" t="s">
        <v>13</v>
      </c>
      <c r="B1122" s="60">
        <v>10005</v>
      </c>
      <c r="C1122" s="60">
        <v>23</v>
      </c>
      <c r="D1122" s="60">
        <v>2.8784000000000001</v>
      </c>
      <c r="E1122" s="60">
        <v>695.87130000000002</v>
      </c>
      <c r="F1122" s="60">
        <v>15.555999999999999</v>
      </c>
      <c r="G1122" s="60">
        <v>67.634200000000007</v>
      </c>
      <c r="H1122" s="60">
        <v>66.149000000000001</v>
      </c>
    </row>
    <row r="1123" spans="1:8" x14ac:dyDescent="0.15">
      <c r="A1123" s="60" t="s">
        <v>13</v>
      </c>
      <c r="B1123" s="60">
        <v>10005</v>
      </c>
      <c r="C1123" s="60">
        <v>23</v>
      </c>
      <c r="D1123" s="60">
        <v>2.8803999999999998</v>
      </c>
      <c r="E1123" s="60">
        <v>695.40020000000004</v>
      </c>
      <c r="F1123" s="60">
        <v>15.545</v>
      </c>
      <c r="G1123" s="60">
        <v>67.588399999999993</v>
      </c>
      <c r="H1123" s="60">
        <v>66.193799999999996</v>
      </c>
    </row>
    <row r="1124" spans="1:8" x14ac:dyDescent="0.15">
      <c r="A1124" s="60" t="s">
        <v>13</v>
      </c>
      <c r="B1124" s="60">
        <v>10005</v>
      </c>
      <c r="C1124" s="60">
        <v>23</v>
      </c>
      <c r="D1124" s="60">
        <v>2.8813</v>
      </c>
      <c r="E1124" s="60">
        <v>695.16639999999995</v>
      </c>
      <c r="F1124" s="60">
        <v>15.54</v>
      </c>
      <c r="G1124" s="60">
        <v>67.565600000000003</v>
      </c>
      <c r="H1124" s="60">
        <v>66.215800000000002</v>
      </c>
    </row>
    <row r="1125" spans="1:8" x14ac:dyDescent="0.15">
      <c r="A1125" s="60" t="s">
        <v>13</v>
      </c>
      <c r="B1125" s="60">
        <v>10005</v>
      </c>
      <c r="C1125" s="60">
        <v>23</v>
      </c>
      <c r="D1125" s="60">
        <v>2.8854000000000002</v>
      </c>
      <c r="E1125" s="60">
        <v>694.18119999999999</v>
      </c>
      <c r="F1125" s="60">
        <v>15.518000000000001</v>
      </c>
      <c r="G1125" s="60">
        <v>67.469899999999996</v>
      </c>
      <c r="H1125" s="60">
        <v>66.308099999999996</v>
      </c>
    </row>
    <row r="1126" spans="1:8" x14ac:dyDescent="0.15">
      <c r="A1126" s="60" t="s">
        <v>13</v>
      </c>
      <c r="B1126" s="60">
        <v>10005</v>
      </c>
      <c r="C1126" s="60">
        <v>23</v>
      </c>
      <c r="D1126" s="60">
        <v>2.8855</v>
      </c>
      <c r="E1126" s="60">
        <v>694.15639999999996</v>
      </c>
      <c r="F1126" s="60">
        <v>15.518000000000001</v>
      </c>
      <c r="G1126" s="60">
        <v>67.467500000000001</v>
      </c>
      <c r="H1126" s="60">
        <v>66.309799999999996</v>
      </c>
    </row>
    <row r="1127" spans="1:8" x14ac:dyDescent="0.15">
      <c r="A1127" s="60" t="s">
        <v>13</v>
      </c>
      <c r="B1127" s="60">
        <v>10005</v>
      </c>
      <c r="C1127" s="60">
        <v>23</v>
      </c>
      <c r="D1127" s="60">
        <v>2.8875000000000002</v>
      </c>
      <c r="E1127" s="60">
        <v>693.68619999999999</v>
      </c>
      <c r="F1127" s="60">
        <v>15.507</v>
      </c>
      <c r="G1127" s="60">
        <v>67.421800000000005</v>
      </c>
      <c r="H1127" s="60">
        <v>66.358900000000006</v>
      </c>
    </row>
    <row r="1128" spans="1:8" x14ac:dyDescent="0.15">
      <c r="A1128" s="60" t="s">
        <v>13</v>
      </c>
      <c r="B1128" s="60">
        <v>10005</v>
      </c>
      <c r="C1128" s="60">
        <v>23</v>
      </c>
      <c r="D1128" s="60">
        <v>2.8889999999999998</v>
      </c>
      <c r="E1128" s="60">
        <v>693.30820000000006</v>
      </c>
      <c r="F1128" s="60">
        <v>15.499000000000001</v>
      </c>
      <c r="G1128" s="60">
        <v>67.385000000000005</v>
      </c>
      <c r="H1128" s="60">
        <v>66.384</v>
      </c>
    </row>
    <row r="1129" spans="1:8" x14ac:dyDescent="0.15">
      <c r="A1129" s="60" t="s">
        <v>13</v>
      </c>
      <c r="B1129" s="60">
        <v>10005</v>
      </c>
      <c r="C1129" s="60">
        <v>23</v>
      </c>
      <c r="D1129" s="60">
        <v>2.8889</v>
      </c>
      <c r="E1129" s="60">
        <v>693.34059999999999</v>
      </c>
      <c r="F1129" s="60">
        <v>15.499000000000001</v>
      </c>
      <c r="G1129" s="60">
        <v>67.388199999999998</v>
      </c>
      <c r="H1129" s="60">
        <v>66.398899999999998</v>
      </c>
    </row>
    <row r="1130" spans="1:8" x14ac:dyDescent="0.15">
      <c r="A1130" s="60" t="s">
        <v>13</v>
      </c>
      <c r="B1130" s="60">
        <v>10005</v>
      </c>
      <c r="C1130" s="60">
        <v>23</v>
      </c>
      <c r="D1130" s="60">
        <v>2.8902000000000001</v>
      </c>
      <c r="E1130" s="60">
        <v>693.03359999999998</v>
      </c>
      <c r="F1130" s="60">
        <v>15.492000000000001</v>
      </c>
      <c r="G1130" s="60">
        <v>67.3583</v>
      </c>
      <c r="H1130" s="60">
        <v>66.419899999999998</v>
      </c>
    </row>
    <row r="1131" spans="1:8" x14ac:dyDescent="0.15">
      <c r="A1131" s="60" t="s">
        <v>13</v>
      </c>
      <c r="B1131" s="60">
        <v>10005</v>
      </c>
      <c r="C1131" s="60">
        <v>23</v>
      </c>
      <c r="D1131" s="60">
        <v>2.9014000000000002</v>
      </c>
      <c r="E1131" s="60">
        <v>690.34500000000003</v>
      </c>
      <c r="F1131" s="60">
        <v>15.432</v>
      </c>
      <c r="G1131" s="60">
        <v>67.096999999999994</v>
      </c>
      <c r="H1131" s="60">
        <v>66.643799999999999</v>
      </c>
    </row>
    <row r="1132" spans="1:8" x14ac:dyDescent="0.15">
      <c r="A1132" s="60" t="s">
        <v>13</v>
      </c>
      <c r="B1132" s="60">
        <v>10005</v>
      </c>
      <c r="C1132" s="60">
        <v>23</v>
      </c>
      <c r="D1132" s="60">
        <v>2.8944000000000001</v>
      </c>
      <c r="E1132" s="60">
        <v>692.02700000000004</v>
      </c>
      <c r="F1132" s="60">
        <v>15.47</v>
      </c>
      <c r="G1132" s="60">
        <v>67.260499999999993</v>
      </c>
      <c r="H1132" s="60">
        <v>66.522900000000007</v>
      </c>
    </row>
    <row r="1133" spans="1:8" x14ac:dyDescent="0.15">
      <c r="A1133" s="60" t="s">
        <v>13</v>
      </c>
      <c r="B1133" s="60">
        <v>10005</v>
      </c>
      <c r="C1133" s="60">
        <v>23</v>
      </c>
      <c r="D1133" s="60">
        <v>2.8957999999999999</v>
      </c>
      <c r="E1133" s="60">
        <v>691.68719999999996</v>
      </c>
      <c r="F1133" s="60">
        <v>15.462</v>
      </c>
      <c r="G1133" s="60">
        <v>67.227500000000006</v>
      </c>
      <c r="H1133" s="60">
        <v>66.544899999999998</v>
      </c>
    </row>
    <row r="1134" spans="1:8" x14ac:dyDescent="0.15">
      <c r="A1134" s="60" t="s">
        <v>13</v>
      </c>
      <c r="B1134" s="60">
        <v>10005</v>
      </c>
      <c r="C1134" s="60">
        <v>23</v>
      </c>
      <c r="D1134" s="60">
        <v>2.8986999999999998</v>
      </c>
      <c r="E1134" s="60">
        <v>691.01139999999998</v>
      </c>
      <c r="F1134" s="60">
        <v>15.446999999999999</v>
      </c>
      <c r="G1134" s="60">
        <v>67.161799999999999</v>
      </c>
      <c r="H1134" s="60">
        <v>66.610799999999998</v>
      </c>
    </row>
    <row r="1135" spans="1:8" x14ac:dyDescent="0.15">
      <c r="A1135" s="60" t="s">
        <v>13</v>
      </c>
      <c r="B1135" s="60">
        <v>10005</v>
      </c>
      <c r="C1135" s="60">
        <v>23</v>
      </c>
      <c r="D1135" s="60">
        <v>2.8988</v>
      </c>
      <c r="E1135" s="60">
        <v>690.96749999999997</v>
      </c>
      <c r="F1135" s="60">
        <v>15.446</v>
      </c>
      <c r="G1135" s="60">
        <v>67.157499999999999</v>
      </c>
      <c r="H1135" s="60">
        <v>66.616900000000001</v>
      </c>
    </row>
    <row r="1136" spans="1:8" x14ac:dyDescent="0.15">
      <c r="A1136" s="60" t="s">
        <v>13</v>
      </c>
      <c r="B1136" s="60">
        <v>10005</v>
      </c>
      <c r="C1136" s="60">
        <v>23</v>
      </c>
      <c r="D1136" s="60">
        <v>2.8990999999999998</v>
      </c>
      <c r="E1136" s="60">
        <v>690.91269999999997</v>
      </c>
      <c r="F1136" s="60">
        <v>15.445</v>
      </c>
      <c r="G1136" s="60">
        <v>67.152199999999993</v>
      </c>
      <c r="H1136" s="60">
        <v>66.623999999999995</v>
      </c>
    </row>
    <row r="1137" spans="1:8" x14ac:dyDescent="0.15">
      <c r="A1137" s="60" t="s">
        <v>13</v>
      </c>
      <c r="B1137" s="60">
        <v>10005</v>
      </c>
      <c r="C1137" s="60">
        <v>23</v>
      </c>
      <c r="D1137" s="60">
        <v>2.8984999999999999</v>
      </c>
      <c r="E1137" s="60">
        <v>691.05840000000001</v>
      </c>
      <c r="F1137" s="60">
        <v>15.448</v>
      </c>
      <c r="G1137" s="60">
        <v>67.166399999999996</v>
      </c>
      <c r="H1137" s="60">
        <v>66.607900000000001</v>
      </c>
    </row>
    <row r="1138" spans="1:8" x14ac:dyDescent="0.15">
      <c r="A1138" s="60" t="s">
        <v>13</v>
      </c>
      <c r="B1138" s="60">
        <v>10005</v>
      </c>
      <c r="C1138" s="60">
        <v>23</v>
      </c>
      <c r="D1138" s="60">
        <v>2.9022999999999999</v>
      </c>
      <c r="E1138" s="60">
        <v>690.15290000000005</v>
      </c>
      <c r="F1138" s="60">
        <v>15.428000000000001</v>
      </c>
      <c r="G1138" s="60">
        <v>67.078400000000002</v>
      </c>
      <c r="H1138" s="60">
        <v>66.694800000000001</v>
      </c>
    </row>
    <row r="1139" spans="1:8" x14ac:dyDescent="0.15">
      <c r="A1139" s="60" t="s">
        <v>13</v>
      </c>
      <c r="B1139" s="60">
        <v>10005</v>
      </c>
      <c r="C1139" s="60">
        <v>23</v>
      </c>
      <c r="D1139" s="60">
        <v>2.9007000000000001</v>
      </c>
      <c r="E1139" s="60">
        <v>690.51919999999996</v>
      </c>
      <c r="F1139" s="60">
        <v>15.436</v>
      </c>
      <c r="G1139" s="60">
        <v>67.114000000000004</v>
      </c>
      <c r="H1139" s="60">
        <v>66.661900000000003</v>
      </c>
    </row>
    <row r="1140" spans="1:8" x14ac:dyDescent="0.15">
      <c r="A1140" s="60" t="s">
        <v>13</v>
      </c>
      <c r="B1140" s="60">
        <v>10005</v>
      </c>
      <c r="C1140" s="60">
        <v>23</v>
      </c>
      <c r="D1140" s="60">
        <v>2.9003999999999999</v>
      </c>
      <c r="E1140" s="60">
        <v>690.59299999999996</v>
      </c>
      <c r="F1140" s="60">
        <v>15.438000000000001</v>
      </c>
      <c r="G1140" s="60">
        <v>67.121099999999998</v>
      </c>
      <c r="H1140" s="60">
        <v>66.653800000000004</v>
      </c>
    </row>
    <row r="1141" spans="1:8" x14ac:dyDescent="0.15">
      <c r="A1141" s="60" t="s">
        <v>13</v>
      </c>
      <c r="B1141" s="60">
        <v>10005</v>
      </c>
      <c r="C1141" s="60">
        <v>23</v>
      </c>
      <c r="D1141" s="60">
        <v>2.9036</v>
      </c>
      <c r="E1141" s="60">
        <v>689.82529999999997</v>
      </c>
      <c r="F1141" s="60">
        <v>15.420999999999999</v>
      </c>
      <c r="G1141" s="60">
        <v>67.046499999999995</v>
      </c>
      <c r="H1141" s="60">
        <v>66.726799999999997</v>
      </c>
    </row>
    <row r="1142" spans="1:8" x14ac:dyDescent="0.15">
      <c r="A1142" s="60" t="s">
        <v>13</v>
      </c>
      <c r="B1142" s="60">
        <v>10005</v>
      </c>
      <c r="C1142" s="60">
        <v>23</v>
      </c>
      <c r="D1142" s="60">
        <v>2.9039000000000001</v>
      </c>
      <c r="E1142" s="60">
        <v>689.76070000000004</v>
      </c>
      <c r="F1142" s="60">
        <v>15.419</v>
      </c>
      <c r="G1142" s="60">
        <v>67.040199999999999</v>
      </c>
      <c r="H1142" s="60">
        <v>66.733900000000006</v>
      </c>
    </row>
    <row r="1143" spans="1:8" x14ac:dyDescent="0.15">
      <c r="A1143" s="60" t="s">
        <v>13</v>
      </c>
      <c r="B1143" s="60">
        <v>10005</v>
      </c>
      <c r="C1143" s="60">
        <v>23</v>
      </c>
      <c r="D1143" s="60">
        <v>2.9035000000000002</v>
      </c>
      <c r="E1143" s="60">
        <v>689.85910000000001</v>
      </c>
      <c r="F1143" s="60">
        <v>15.420999999999999</v>
      </c>
      <c r="G1143" s="60">
        <v>67.049800000000005</v>
      </c>
      <c r="H1143" s="60">
        <v>66.7239</v>
      </c>
    </row>
    <row r="1144" spans="1:8" x14ac:dyDescent="0.15">
      <c r="A1144" s="60" t="s">
        <v>13</v>
      </c>
      <c r="B1144" s="60">
        <v>10005</v>
      </c>
      <c r="C1144" s="60">
        <v>23</v>
      </c>
      <c r="D1144" s="60">
        <v>2.9041999999999999</v>
      </c>
      <c r="E1144" s="60">
        <v>689.70129999999995</v>
      </c>
      <c r="F1144" s="60">
        <v>15.417999999999999</v>
      </c>
      <c r="G1144" s="60">
        <v>67.034499999999994</v>
      </c>
      <c r="H1144" s="60">
        <v>66.739699999999999</v>
      </c>
    </row>
    <row r="1145" spans="1:8" x14ac:dyDescent="0.15">
      <c r="A1145" s="60" t="s">
        <v>13</v>
      </c>
      <c r="B1145" s="60">
        <v>10005</v>
      </c>
      <c r="C1145" s="60">
        <v>23</v>
      </c>
      <c r="D1145" s="60">
        <v>2.9051999999999998</v>
      </c>
      <c r="E1145" s="60">
        <v>689.46169999999995</v>
      </c>
      <c r="F1145" s="60">
        <v>15.413</v>
      </c>
      <c r="G1145" s="60">
        <v>67.011200000000002</v>
      </c>
      <c r="H1145" s="60">
        <v>66.7517</v>
      </c>
    </row>
    <row r="1146" spans="1:8" x14ac:dyDescent="0.15">
      <c r="A1146" s="60" t="s">
        <v>13</v>
      </c>
      <c r="B1146" s="60">
        <v>10005</v>
      </c>
      <c r="C1146" s="60">
        <v>23</v>
      </c>
      <c r="D1146" s="60">
        <v>2.9058000000000002</v>
      </c>
      <c r="E1146" s="60">
        <v>689.32060000000001</v>
      </c>
      <c r="F1146" s="60">
        <v>15.409000000000001</v>
      </c>
      <c r="G1146" s="60">
        <v>66.997500000000002</v>
      </c>
      <c r="H1146" s="60">
        <v>66.777799999999999</v>
      </c>
    </row>
    <row r="1147" spans="1:8" x14ac:dyDescent="0.15">
      <c r="A1147" s="60" t="s">
        <v>13</v>
      </c>
      <c r="B1147" s="60">
        <v>10005</v>
      </c>
      <c r="C1147" s="60">
        <v>23</v>
      </c>
      <c r="D1147" s="60">
        <v>2.9077999999999999</v>
      </c>
      <c r="E1147" s="60">
        <v>688.83370000000002</v>
      </c>
      <c r="F1147" s="60">
        <v>15.398999999999999</v>
      </c>
      <c r="G1147" s="60">
        <v>66.950100000000006</v>
      </c>
      <c r="H1147" s="60">
        <v>66.825900000000004</v>
      </c>
    </row>
    <row r="1148" spans="1:8" x14ac:dyDescent="0.15">
      <c r="A1148" s="60" t="s">
        <v>13</v>
      </c>
      <c r="B1148" s="60">
        <v>10005</v>
      </c>
      <c r="C1148" s="60">
        <v>24</v>
      </c>
      <c r="D1148" s="60">
        <v>2.9653</v>
      </c>
      <c r="E1148" s="60">
        <v>675.47479999999996</v>
      </c>
      <c r="F1148" s="60">
        <v>15.1</v>
      </c>
      <c r="G1148" s="60">
        <v>62.9163</v>
      </c>
      <c r="H1148" s="60">
        <v>70.676299999999998</v>
      </c>
    </row>
    <row r="1149" spans="1:8" x14ac:dyDescent="0.15">
      <c r="A1149" s="60" t="s">
        <v>13</v>
      </c>
      <c r="B1149" s="60">
        <v>10005</v>
      </c>
      <c r="C1149" s="60">
        <v>24</v>
      </c>
      <c r="D1149" s="60">
        <v>2.7995000000000001</v>
      </c>
      <c r="E1149" s="60">
        <v>715.48440000000005</v>
      </c>
      <c r="F1149" s="60">
        <v>15.994</v>
      </c>
      <c r="G1149" s="60">
        <v>66.642899999999997</v>
      </c>
      <c r="H1149" s="60">
        <v>67.103800000000007</v>
      </c>
    </row>
    <row r="1150" spans="1:8" x14ac:dyDescent="0.15">
      <c r="A1150" s="60" t="s">
        <v>13</v>
      </c>
      <c r="B1150" s="60">
        <v>10005</v>
      </c>
      <c r="C1150" s="60">
        <v>24</v>
      </c>
      <c r="D1150" s="60">
        <v>2.7862</v>
      </c>
      <c r="E1150" s="60">
        <v>718.90009999999995</v>
      </c>
      <c r="F1150" s="60">
        <v>16.071000000000002</v>
      </c>
      <c r="G1150" s="60">
        <v>66.961100000000002</v>
      </c>
      <c r="H1150" s="60">
        <v>66.751000000000005</v>
      </c>
    </row>
    <row r="1151" spans="1:8" x14ac:dyDescent="0.15">
      <c r="A1151" s="60" t="s">
        <v>13</v>
      </c>
      <c r="B1151" s="60">
        <v>10005</v>
      </c>
      <c r="C1151" s="60">
        <v>24</v>
      </c>
      <c r="D1151" s="60">
        <v>2.798</v>
      </c>
      <c r="E1151" s="60">
        <v>715.86080000000004</v>
      </c>
      <c r="F1151" s="60">
        <v>16.003</v>
      </c>
      <c r="G1151" s="60">
        <v>66.677999999999997</v>
      </c>
      <c r="H1151" s="60">
        <v>67.061800000000005</v>
      </c>
    </row>
    <row r="1152" spans="1:8" x14ac:dyDescent="0.15">
      <c r="A1152" s="60" t="s">
        <v>13</v>
      </c>
      <c r="B1152" s="60">
        <v>10005</v>
      </c>
      <c r="C1152" s="60">
        <v>24</v>
      </c>
      <c r="D1152" s="60">
        <v>2.7879999999999998</v>
      </c>
      <c r="E1152" s="60">
        <v>718.42899999999997</v>
      </c>
      <c r="F1152" s="60">
        <v>16.059999999999999</v>
      </c>
      <c r="G1152" s="60">
        <v>66.917199999999994</v>
      </c>
      <c r="H1152" s="60">
        <v>66.8489</v>
      </c>
    </row>
    <row r="1153" spans="1:8" x14ac:dyDescent="0.15">
      <c r="A1153" s="60" t="s">
        <v>13</v>
      </c>
      <c r="B1153" s="60">
        <v>10005</v>
      </c>
      <c r="C1153" s="60">
        <v>24</v>
      </c>
      <c r="D1153" s="60">
        <v>2.7905000000000002</v>
      </c>
      <c r="E1153" s="60">
        <v>717.78099999999995</v>
      </c>
      <c r="F1153" s="60">
        <v>16.045999999999999</v>
      </c>
      <c r="G1153" s="60">
        <v>66.856800000000007</v>
      </c>
      <c r="H1153" s="60">
        <v>66.872799999999998</v>
      </c>
    </row>
    <row r="1154" spans="1:8" x14ac:dyDescent="0.15">
      <c r="A1154" s="60" t="s">
        <v>13</v>
      </c>
      <c r="B1154" s="60">
        <v>10005</v>
      </c>
      <c r="C1154" s="60">
        <v>24</v>
      </c>
      <c r="D1154" s="60">
        <v>2.7867000000000002</v>
      </c>
      <c r="E1154" s="60">
        <v>718.77679999999998</v>
      </c>
      <c r="F1154" s="60">
        <v>16.068000000000001</v>
      </c>
      <c r="G1154" s="60">
        <v>66.949600000000004</v>
      </c>
      <c r="H1154" s="60">
        <v>66.811999999999998</v>
      </c>
    </row>
    <row r="1155" spans="1:8" x14ac:dyDescent="0.15">
      <c r="A1155" s="60" t="s">
        <v>13</v>
      </c>
      <c r="B1155" s="60">
        <v>10005</v>
      </c>
      <c r="C1155" s="60">
        <v>24</v>
      </c>
      <c r="D1155" s="60">
        <v>2.7911999999999999</v>
      </c>
      <c r="E1155" s="60">
        <v>717.60839999999996</v>
      </c>
      <c r="F1155" s="60">
        <v>16.042000000000002</v>
      </c>
      <c r="G1155" s="60">
        <v>66.840699999999998</v>
      </c>
      <c r="H1155" s="60">
        <v>66.897900000000007</v>
      </c>
    </row>
    <row r="1156" spans="1:8" x14ac:dyDescent="0.15">
      <c r="A1156" s="60" t="s">
        <v>13</v>
      </c>
      <c r="B1156" s="60">
        <v>10005</v>
      </c>
      <c r="C1156" s="60">
        <v>24</v>
      </c>
      <c r="D1156" s="60">
        <v>2.7896000000000001</v>
      </c>
      <c r="E1156" s="60">
        <v>718.01199999999994</v>
      </c>
      <c r="F1156" s="60">
        <v>16.050999999999998</v>
      </c>
      <c r="G1156" s="60">
        <v>66.878299999999996</v>
      </c>
      <c r="H1156" s="60">
        <v>66.889600000000002</v>
      </c>
    </row>
    <row r="1157" spans="1:8" x14ac:dyDescent="0.15">
      <c r="A1157" s="60" t="s">
        <v>13</v>
      </c>
      <c r="B1157" s="60">
        <v>10005</v>
      </c>
      <c r="C1157" s="60">
        <v>24</v>
      </c>
      <c r="D1157" s="60">
        <v>2.8079000000000001</v>
      </c>
      <c r="E1157" s="60">
        <v>713.33439999999996</v>
      </c>
      <c r="F1157" s="60">
        <v>15.946</v>
      </c>
      <c r="G1157" s="60">
        <v>66.442599999999999</v>
      </c>
      <c r="H1157" s="60">
        <v>67.251999999999995</v>
      </c>
    </row>
    <row r="1158" spans="1:8" x14ac:dyDescent="0.15">
      <c r="A1158" s="60" t="s">
        <v>13</v>
      </c>
      <c r="B1158" s="60">
        <v>10005</v>
      </c>
      <c r="C1158" s="60">
        <v>24</v>
      </c>
      <c r="D1158" s="60">
        <v>2.7923</v>
      </c>
      <c r="E1158" s="60">
        <v>717.33939999999996</v>
      </c>
      <c r="F1158" s="60">
        <v>16.036000000000001</v>
      </c>
      <c r="G1158" s="60">
        <v>66.815700000000007</v>
      </c>
      <c r="H1158" s="60">
        <v>66.9375</v>
      </c>
    </row>
    <row r="1159" spans="1:8" x14ac:dyDescent="0.15">
      <c r="A1159" s="60" t="s">
        <v>13</v>
      </c>
      <c r="B1159" s="60">
        <v>10005</v>
      </c>
      <c r="C1159" s="60">
        <v>24</v>
      </c>
      <c r="D1159" s="60">
        <v>2.7938000000000001</v>
      </c>
      <c r="E1159" s="60">
        <v>716.94320000000005</v>
      </c>
      <c r="F1159" s="60">
        <v>16.027000000000001</v>
      </c>
      <c r="G1159" s="60">
        <v>66.778800000000004</v>
      </c>
      <c r="H1159" s="60">
        <v>66.968299999999999</v>
      </c>
    </row>
    <row r="1160" spans="1:8" x14ac:dyDescent="0.15">
      <c r="A1160" s="60" t="s">
        <v>13</v>
      </c>
      <c r="B1160" s="60">
        <v>10005</v>
      </c>
      <c r="C1160" s="60">
        <v>24</v>
      </c>
      <c r="D1160" s="60">
        <v>2.798</v>
      </c>
      <c r="E1160" s="60">
        <v>715.86779999999999</v>
      </c>
      <c r="F1160" s="60">
        <v>16.003</v>
      </c>
      <c r="G1160" s="60">
        <v>66.678600000000003</v>
      </c>
      <c r="H1160" s="60">
        <v>67.052700000000002</v>
      </c>
    </row>
    <row r="1161" spans="1:8" x14ac:dyDescent="0.15">
      <c r="A1161" s="60" t="s">
        <v>13</v>
      </c>
      <c r="B1161" s="60">
        <v>10005</v>
      </c>
      <c r="C1161" s="60">
        <v>24</v>
      </c>
      <c r="D1161" s="60">
        <v>2.7928999999999999</v>
      </c>
      <c r="E1161" s="60">
        <v>717.16700000000003</v>
      </c>
      <c r="F1161" s="60">
        <v>16.032</v>
      </c>
      <c r="G1161" s="60">
        <v>66.799599999999998</v>
      </c>
      <c r="H1161" s="60">
        <v>66.967799999999997</v>
      </c>
    </row>
    <row r="1162" spans="1:8" x14ac:dyDescent="0.15">
      <c r="A1162" s="60" t="s">
        <v>13</v>
      </c>
      <c r="B1162" s="60">
        <v>10005</v>
      </c>
      <c r="C1162" s="60">
        <v>24</v>
      </c>
      <c r="D1162" s="60">
        <v>2.7976999999999999</v>
      </c>
      <c r="E1162" s="60">
        <v>715.93889999999999</v>
      </c>
      <c r="F1162" s="60">
        <v>16.004000000000001</v>
      </c>
      <c r="G1162" s="60">
        <v>66.685199999999995</v>
      </c>
      <c r="H1162" s="60">
        <v>67.047899999999998</v>
      </c>
    </row>
    <row r="1163" spans="1:8" x14ac:dyDescent="0.15">
      <c r="A1163" s="60" t="s">
        <v>13</v>
      </c>
      <c r="B1163" s="60">
        <v>10005</v>
      </c>
      <c r="C1163" s="60">
        <v>24</v>
      </c>
      <c r="D1163" s="60">
        <v>2.7951000000000001</v>
      </c>
      <c r="E1163" s="60">
        <v>716.61</v>
      </c>
      <c r="F1163" s="60">
        <v>16.018999999999998</v>
      </c>
      <c r="G1163" s="60">
        <v>66.747699999999995</v>
      </c>
      <c r="H1163" s="60">
        <v>67.020499999999998</v>
      </c>
    </row>
    <row r="1164" spans="1:8" x14ac:dyDescent="0.15">
      <c r="A1164" s="60" t="s">
        <v>13</v>
      </c>
      <c r="B1164" s="60">
        <v>10005</v>
      </c>
      <c r="C1164" s="60">
        <v>24</v>
      </c>
      <c r="D1164" s="60">
        <v>2.8010000000000002</v>
      </c>
      <c r="E1164" s="60">
        <v>715.11249999999995</v>
      </c>
      <c r="F1164" s="60">
        <v>15.986000000000001</v>
      </c>
      <c r="G1164" s="60">
        <v>66.6083</v>
      </c>
      <c r="H1164" s="60">
        <v>67.120599999999996</v>
      </c>
    </row>
    <row r="1165" spans="1:8" x14ac:dyDescent="0.15">
      <c r="A1165" s="60" t="s">
        <v>13</v>
      </c>
      <c r="B1165" s="60">
        <v>10005</v>
      </c>
      <c r="C1165" s="60">
        <v>24</v>
      </c>
      <c r="D1165" s="60">
        <v>2.7949999999999999</v>
      </c>
      <c r="E1165" s="60">
        <v>716.64890000000003</v>
      </c>
      <c r="F1165" s="60">
        <v>16.02</v>
      </c>
      <c r="G1165" s="60">
        <v>66.751400000000004</v>
      </c>
      <c r="H1165" s="60">
        <v>67.004900000000006</v>
      </c>
    </row>
    <row r="1166" spans="1:8" x14ac:dyDescent="0.15">
      <c r="A1166" s="60" t="s">
        <v>13</v>
      </c>
      <c r="B1166" s="60">
        <v>10005</v>
      </c>
      <c r="C1166" s="60">
        <v>24</v>
      </c>
      <c r="D1166" s="60">
        <v>2.8527999999999998</v>
      </c>
      <c r="E1166" s="60">
        <v>702.12049999999999</v>
      </c>
      <c r="F1166" s="60">
        <v>15.696</v>
      </c>
      <c r="G1166" s="60">
        <v>65.398099999999999</v>
      </c>
      <c r="H1166" s="60">
        <v>68.256299999999996</v>
      </c>
    </row>
    <row r="1167" spans="1:8" x14ac:dyDescent="0.15">
      <c r="A1167" s="60" t="s">
        <v>13</v>
      </c>
      <c r="B1167" s="60">
        <v>10005</v>
      </c>
      <c r="C1167" s="60">
        <v>24</v>
      </c>
      <c r="D1167" s="60">
        <v>2.802</v>
      </c>
      <c r="E1167" s="60">
        <v>714.84469999999999</v>
      </c>
      <c r="F1167" s="60">
        <v>15.98</v>
      </c>
      <c r="G1167" s="60">
        <v>66.583299999999994</v>
      </c>
      <c r="H1167" s="60">
        <v>67.145499999999998</v>
      </c>
    </row>
    <row r="1168" spans="1:8" x14ac:dyDescent="0.15">
      <c r="A1168" s="60" t="s">
        <v>13</v>
      </c>
      <c r="B1168" s="60">
        <v>10005</v>
      </c>
      <c r="C1168" s="60">
        <v>24</v>
      </c>
      <c r="D1168" s="60">
        <v>2.7982999999999998</v>
      </c>
      <c r="E1168" s="60">
        <v>715.79229999999995</v>
      </c>
      <c r="F1168" s="60">
        <v>16.001000000000001</v>
      </c>
      <c r="G1168" s="60">
        <v>66.671599999999998</v>
      </c>
      <c r="H1168" s="60">
        <v>67.080100000000002</v>
      </c>
    </row>
    <row r="1169" spans="1:8" x14ac:dyDescent="0.15">
      <c r="A1169" s="60" t="s">
        <v>13</v>
      </c>
      <c r="B1169" s="60">
        <v>10005</v>
      </c>
      <c r="C1169" s="60">
        <v>24</v>
      </c>
      <c r="D1169" s="60">
        <v>2.8010999999999999</v>
      </c>
      <c r="E1169" s="60">
        <v>715.07759999999996</v>
      </c>
      <c r="F1169" s="60">
        <v>15.984999999999999</v>
      </c>
      <c r="G1169" s="60">
        <v>66.605000000000004</v>
      </c>
      <c r="H1169" s="60">
        <v>67.128399999999999</v>
      </c>
    </row>
    <row r="1170" spans="1:8" x14ac:dyDescent="0.15">
      <c r="A1170" s="60" t="s">
        <v>13</v>
      </c>
      <c r="B1170" s="60">
        <v>10005</v>
      </c>
      <c r="C1170" s="60">
        <v>24</v>
      </c>
      <c r="D1170" s="60">
        <v>2.7991000000000001</v>
      </c>
      <c r="E1170" s="60">
        <v>715.57489999999996</v>
      </c>
      <c r="F1170" s="60">
        <v>15.996</v>
      </c>
      <c r="G1170" s="60">
        <v>66.651300000000006</v>
      </c>
      <c r="H1170" s="60">
        <v>67.116699999999994</v>
      </c>
    </row>
    <row r="1171" spans="1:8" x14ac:dyDescent="0.15">
      <c r="A1171" s="60" t="s">
        <v>13</v>
      </c>
      <c r="B1171" s="60">
        <v>10005</v>
      </c>
      <c r="C1171" s="60">
        <v>24</v>
      </c>
      <c r="D1171" s="60">
        <v>2.8043</v>
      </c>
      <c r="E1171" s="60">
        <v>714.26229999999998</v>
      </c>
      <c r="F1171" s="60">
        <v>15.967000000000001</v>
      </c>
      <c r="G1171" s="60">
        <v>66.5291</v>
      </c>
      <c r="H1171" s="60">
        <v>67.200699999999998</v>
      </c>
    </row>
    <row r="1172" spans="1:8" x14ac:dyDescent="0.15">
      <c r="A1172" s="60" t="s">
        <v>13</v>
      </c>
      <c r="B1172" s="60">
        <v>10005</v>
      </c>
      <c r="C1172" s="60">
        <v>24</v>
      </c>
      <c r="D1172" s="60">
        <v>2.8007</v>
      </c>
      <c r="E1172" s="60">
        <v>715.18709999999999</v>
      </c>
      <c r="F1172" s="60">
        <v>15.988</v>
      </c>
      <c r="G1172" s="60">
        <v>66.615200000000002</v>
      </c>
      <c r="H1172" s="60">
        <v>67.155799999999999</v>
      </c>
    </row>
    <row r="1173" spans="1:8" x14ac:dyDescent="0.15">
      <c r="A1173" s="60" t="s">
        <v>13</v>
      </c>
      <c r="B1173" s="60">
        <v>10005</v>
      </c>
      <c r="C1173" s="60">
        <v>24</v>
      </c>
      <c r="D1173" s="60">
        <v>2.8109999999999999</v>
      </c>
      <c r="E1173" s="60">
        <v>712.55330000000004</v>
      </c>
      <c r="F1173" s="60">
        <v>15.929</v>
      </c>
      <c r="G1173" s="60">
        <v>66.369900000000001</v>
      </c>
      <c r="H1173" s="60">
        <v>67.356899999999996</v>
      </c>
    </row>
    <row r="1174" spans="1:8" x14ac:dyDescent="0.15">
      <c r="A1174" s="60" t="s">
        <v>13</v>
      </c>
      <c r="B1174" s="60">
        <v>10005</v>
      </c>
      <c r="C1174" s="60">
        <v>24</v>
      </c>
      <c r="D1174" s="60">
        <v>2.8027000000000002</v>
      </c>
      <c r="E1174" s="60">
        <v>714.67899999999997</v>
      </c>
      <c r="F1174" s="60">
        <v>15.976000000000001</v>
      </c>
      <c r="G1174" s="60">
        <v>66.567899999999995</v>
      </c>
      <c r="H1174" s="60">
        <v>67.199700000000007</v>
      </c>
    </row>
    <row r="1175" spans="1:8" x14ac:dyDescent="0.15">
      <c r="A1175" s="60" t="s">
        <v>13</v>
      </c>
      <c r="B1175" s="60">
        <v>10005</v>
      </c>
      <c r="C1175" s="60">
        <v>24</v>
      </c>
      <c r="D1175" s="60">
        <v>2.8067000000000002</v>
      </c>
      <c r="E1175" s="60">
        <v>713.65430000000003</v>
      </c>
      <c r="F1175" s="60">
        <v>15.952999999999999</v>
      </c>
      <c r="G1175" s="60">
        <v>66.472399999999993</v>
      </c>
      <c r="H1175" s="60">
        <v>67.261700000000005</v>
      </c>
    </row>
    <row r="1176" spans="1:8" x14ac:dyDescent="0.15">
      <c r="A1176" s="60" t="s">
        <v>13</v>
      </c>
      <c r="B1176" s="60">
        <v>10005</v>
      </c>
      <c r="C1176" s="60">
        <v>24</v>
      </c>
      <c r="D1176" s="60">
        <v>2.8071999999999999</v>
      </c>
      <c r="E1176" s="60">
        <v>713.52189999999996</v>
      </c>
      <c r="F1176" s="60">
        <v>15.95</v>
      </c>
      <c r="G1176" s="60">
        <v>66.460099999999997</v>
      </c>
      <c r="H1176" s="60">
        <v>67.2607</v>
      </c>
    </row>
    <row r="1177" spans="1:8" x14ac:dyDescent="0.15">
      <c r="A1177" s="60" t="s">
        <v>13</v>
      </c>
      <c r="B1177" s="60">
        <v>10005</v>
      </c>
      <c r="C1177" s="60">
        <v>24</v>
      </c>
      <c r="D1177" s="60">
        <v>2.8041999999999998</v>
      </c>
      <c r="E1177" s="60">
        <v>714.28650000000005</v>
      </c>
      <c r="F1177" s="60">
        <v>15.968</v>
      </c>
      <c r="G1177" s="60">
        <v>66.531300000000002</v>
      </c>
      <c r="H1177" s="60">
        <v>67.254900000000006</v>
      </c>
    </row>
    <row r="1178" spans="1:8" x14ac:dyDescent="0.15">
      <c r="A1178" s="60" t="s">
        <v>13</v>
      </c>
      <c r="B1178" s="60">
        <v>10005</v>
      </c>
      <c r="C1178" s="60">
        <v>24</v>
      </c>
      <c r="D1178" s="60">
        <v>2.8096999999999999</v>
      </c>
      <c r="E1178" s="60">
        <v>712.89139999999998</v>
      </c>
      <c r="F1178" s="60">
        <v>15.936</v>
      </c>
      <c r="G1178" s="60">
        <v>66.401399999999995</v>
      </c>
      <c r="H1178" s="60">
        <v>67.317899999999995</v>
      </c>
    </row>
    <row r="1179" spans="1:8" x14ac:dyDescent="0.15">
      <c r="A1179" s="60" t="s">
        <v>13</v>
      </c>
      <c r="B1179" s="60">
        <v>10005</v>
      </c>
      <c r="C1179" s="60">
        <v>24</v>
      </c>
      <c r="D1179" s="60">
        <v>2.8024</v>
      </c>
      <c r="E1179" s="60">
        <v>714.74530000000004</v>
      </c>
      <c r="F1179" s="60">
        <v>15.978</v>
      </c>
      <c r="G1179" s="60">
        <v>66.574100000000001</v>
      </c>
      <c r="H1179" s="60">
        <v>67.196799999999996</v>
      </c>
    </row>
    <row r="1180" spans="1:8" x14ac:dyDescent="0.15">
      <c r="A1180" s="60" t="s">
        <v>13</v>
      </c>
      <c r="B1180" s="60">
        <v>10005</v>
      </c>
      <c r="C1180" s="60">
        <v>24</v>
      </c>
      <c r="D1180" s="60">
        <v>2.8060999999999998</v>
      </c>
      <c r="E1180" s="60">
        <v>713.81529999999998</v>
      </c>
      <c r="F1180" s="60">
        <v>15.957000000000001</v>
      </c>
      <c r="G1180" s="60">
        <v>66.487399999999994</v>
      </c>
      <c r="H1180" s="60">
        <v>67.245599999999996</v>
      </c>
    </row>
    <row r="1181" spans="1:8" x14ac:dyDescent="0.15">
      <c r="A1181" s="60" t="s">
        <v>13</v>
      </c>
      <c r="B1181" s="60">
        <v>10005</v>
      </c>
      <c r="C1181" s="60">
        <v>24</v>
      </c>
      <c r="D1181" s="60">
        <v>2.8046000000000002</v>
      </c>
      <c r="E1181" s="60">
        <v>714.17439999999999</v>
      </c>
      <c r="F1181" s="60">
        <v>15.965</v>
      </c>
      <c r="G1181" s="60">
        <v>66.520899999999997</v>
      </c>
      <c r="H1181" s="60">
        <v>67.25</v>
      </c>
    </row>
    <row r="1182" spans="1:8" x14ac:dyDescent="0.15">
      <c r="A1182" s="60" t="s">
        <v>13</v>
      </c>
      <c r="B1182" s="60">
        <v>10005</v>
      </c>
      <c r="C1182" s="60">
        <v>24</v>
      </c>
      <c r="D1182" s="60">
        <v>2.8087</v>
      </c>
      <c r="E1182" s="60">
        <v>713.15459999999996</v>
      </c>
      <c r="F1182" s="60">
        <v>15.942</v>
      </c>
      <c r="G1182" s="60">
        <v>66.425899999999999</v>
      </c>
      <c r="H1182" s="60">
        <v>67.300799999999995</v>
      </c>
    </row>
    <row r="1183" spans="1:8" x14ac:dyDescent="0.15">
      <c r="A1183" s="60" t="s">
        <v>13</v>
      </c>
      <c r="B1183" s="60">
        <v>10005</v>
      </c>
      <c r="C1183" s="60">
        <v>24</v>
      </c>
      <c r="D1183" s="60">
        <v>2.8260999999999998</v>
      </c>
      <c r="E1183" s="60">
        <v>708.74080000000004</v>
      </c>
      <c r="F1183" s="60">
        <v>15.843999999999999</v>
      </c>
      <c r="G1183" s="60">
        <v>66.014799999999994</v>
      </c>
      <c r="H1183" s="60">
        <v>67.6738</v>
      </c>
    </row>
    <row r="1184" spans="1:8" x14ac:dyDescent="0.15">
      <c r="A1184" s="60" t="s">
        <v>13</v>
      </c>
      <c r="B1184" s="60">
        <v>10005</v>
      </c>
      <c r="C1184" s="60">
        <v>24</v>
      </c>
      <c r="D1184" s="60">
        <v>2.8227000000000002</v>
      </c>
      <c r="E1184" s="60">
        <v>709.60109999999997</v>
      </c>
      <c r="F1184" s="60">
        <v>15.863</v>
      </c>
      <c r="G1184" s="60">
        <v>66.094899999999996</v>
      </c>
      <c r="H1184" s="60">
        <v>67.656700000000001</v>
      </c>
    </row>
    <row r="1185" spans="1:8" x14ac:dyDescent="0.15">
      <c r="A1185" s="60" t="s">
        <v>13</v>
      </c>
      <c r="B1185" s="60">
        <v>10005</v>
      </c>
      <c r="C1185" s="60">
        <v>24</v>
      </c>
      <c r="D1185" s="60">
        <v>2.8075999999999999</v>
      </c>
      <c r="E1185" s="60">
        <v>713.42460000000005</v>
      </c>
      <c r="F1185" s="60">
        <v>15.948</v>
      </c>
      <c r="G1185" s="60">
        <v>66.450999999999993</v>
      </c>
      <c r="H1185" s="60">
        <v>67.279799999999994</v>
      </c>
    </row>
    <row r="1186" spans="1:8" x14ac:dyDescent="0.15">
      <c r="A1186" s="60" t="s">
        <v>13</v>
      </c>
      <c r="B1186" s="60">
        <v>10005</v>
      </c>
      <c r="C1186" s="60">
        <v>24</v>
      </c>
      <c r="D1186" s="60">
        <v>2.8029000000000002</v>
      </c>
      <c r="E1186" s="60">
        <v>714.62289999999996</v>
      </c>
      <c r="F1186" s="60">
        <v>15.975</v>
      </c>
      <c r="G1186" s="60">
        <v>66.562700000000007</v>
      </c>
      <c r="H1186" s="60">
        <v>67.205600000000004</v>
      </c>
    </row>
    <row r="1187" spans="1:8" x14ac:dyDescent="0.15">
      <c r="A1187" s="60" t="s">
        <v>13</v>
      </c>
      <c r="B1187" s="60">
        <v>10005</v>
      </c>
      <c r="C1187" s="60">
        <v>24</v>
      </c>
      <c r="D1187" s="60">
        <v>2.8715999999999999</v>
      </c>
      <c r="E1187" s="60">
        <v>697.52380000000005</v>
      </c>
      <c r="F1187" s="60">
        <v>15.593</v>
      </c>
      <c r="G1187" s="60">
        <v>64.97</v>
      </c>
      <c r="H1187" s="60">
        <v>68.679699999999997</v>
      </c>
    </row>
    <row r="1188" spans="1:8" x14ac:dyDescent="0.15">
      <c r="A1188" s="60" t="s">
        <v>13</v>
      </c>
      <c r="B1188" s="60">
        <v>10005</v>
      </c>
      <c r="C1188" s="60">
        <v>24</v>
      </c>
      <c r="D1188" s="60">
        <v>2.8037999999999998</v>
      </c>
      <c r="E1188" s="60">
        <v>714.38310000000001</v>
      </c>
      <c r="F1188" s="60">
        <v>15.97</v>
      </c>
      <c r="G1188" s="60">
        <v>66.540300000000002</v>
      </c>
      <c r="H1188" s="60">
        <v>67.224599999999995</v>
      </c>
    </row>
    <row r="1189" spans="1:8" x14ac:dyDescent="0.15">
      <c r="A1189" s="60" t="s">
        <v>13</v>
      </c>
      <c r="B1189" s="60">
        <v>10005</v>
      </c>
      <c r="C1189" s="60">
        <v>24</v>
      </c>
      <c r="D1189" s="60">
        <v>2.8094000000000001</v>
      </c>
      <c r="E1189" s="60">
        <v>712.95500000000004</v>
      </c>
      <c r="F1189" s="60">
        <v>15.938000000000001</v>
      </c>
      <c r="G1189" s="60">
        <v>66.407300000000006</v>
      </c>
      <c r="H1189" s="60">
        <v>67.316900000000004</v>
      </c>
    </row>
    <row r="1190" spans="1:8" x14ac:dyDescent="0.15">
      <c r="A1190" s="60" t="s">
        <v>13</v>
      </c>
      <c r="B1190" s="60">
        <v>10005</v>
      </c>
      <c r="C1190" s="60">
        <v>24</v>
      </c>
      <c r="D1190" s="60">
        <v>2.8041999999999998</v>
      </c>
      <c r="E1190" s="60">
        <v>714.28650000000005</v>
      </c>
      <c r="F1190" s="60">
        <v>15.968</v>
      </c>
      <c r="G1190" s="60">
        <v>66.531300000000002</v>
      </c>
      <c r="H1190" s="60">
        <v>67.239699999999999</v>
      </c>
    </row>
    <row r="1191" spans="1:8" x14ac:dyDescent="0.15">
      <c r="A1191" s="60" t="s">
        <v>13</v>
      </c>
      <c r="B1191" s="60">
        <v>10005</v>
      </c>
      <c r="C1191" s="60">
        <v>24</v>
      </c>
      <c r="D1191" s="60">
        <v>2.8113999999999999</v>
      </c>
      <c r="E1191" s="60">
        <v>712.4674</v>
      </c>
      <c r="F1191" s="60">
        <v>15.927</v>
      </c>
      <c r="G1191" s="60">
        <v>66.361900000000006</v>
      </c>
      <c r="H1191" s="60">
        <v>67.373000000000005</v>
      </c>
    </row>
    <row r="1192" spans="1:8" x14ac:dyDescent="0.15">
      <c r="A1192" s="60" t="s">
        <v>13</v>
      </c>
      <c r="B1192" s="60">
        <v>10005</v>
      </c>
      <c r="C1192" s="60">
        <v>24</v>
      </c>
      <c r="D1192" s="60">
        <v>2.8098000000000001</v>
      </c>
      <c r="E1192" s="60">
        <v>712.86670000000004</v>
      </c>
      <c r="F1192" s="60">
        <v>15.936</v>
      </c>
      <c r="G1192" s="60">
        <v>66.399100000000004</v>
      </c>
      <c r="H1192" s="60">
        <v>67.333500000000001</v>
      </c>
    </row>
    <row r="1193" spans="1:8" x14ac:dyDescent="0.15">
      <c r="A1193" s="60" t="s">
        <v>13</v>
      </c>
      <c r="B1193" s="60">
        <v>10005</v>
      </c>
      <c r="C1193" s="60">
        <v>24</v>
      </c>
      <c r="D1193" s="60">
        <v>2.8050000000000002</v>
      </c>
      <c r="E1193" s="60">
        <v>714.08709999999996</v>
      </c>
      <c r="F1193" s="60">
        <v>15.962999999999999</v>
      </c>
      <c r="G1193" s="60">
        <v>66.512799999999999</v>
      </c>
      <c r="H1193" s="60">
        <v>67.258799999999994</v>
      </c>
    </row>
    <row r="1194" spans="1:8" x14ac:dyDescent="0.15">
      <c r="A1194" s="60" t="s">
        <v>13</v>
      </c>
      <c r="B1194" s="60">
        <v>10005</v>
      </c>
      <c r="C1194" s="60">
        <v>24</v>
      </c>
      <c r="D1194" s="60">
        <v>2.8140999999999998</v>
      </c>
      <c r="E1194" s="60">
        <v>711.77819999999997</v>
      </c>
      <c r="F1194" s="60">
        <v>15.911</v>
      </c>
      <c r="G1194" s="60">
        <v>66.297700000000006</v>
      </c>
      <c r="H1194" s="60">
        <v>67.425799999999995</v>
      </c>
    </row>
    <row r="1195" spans="1:8" x14ac:dyDescent="0.15">
      <c r="A1195" s="60" t="s">
        <v>13</v>
      </c>
      <c r="B1195" s="60">
        <v>10005</v>
      </c>
      <c r="C1195" s="60">
        <v>24</v>
      </c>
      <c r="D1195" s="60">
        <v>2.8065000000000002</v>
      </c>
      <c r="E1195" s="60">
        <v>713.69960000000003</v>
      </c>
      <c r="F1195" s="60">
        <v>15.954000000000001</v>
      </c>
      <c r="G1195" s="60">
        <v>66.476699999999994</v>
      </c>
      <c r="H1195" s="60">
        <v>67.300799999999995</v>
      </c>
    </row>
    <row r="1196" spans="1:8" x14ac:dyDescent="0.15">
      <c r="A1196" s="60" t="s">
        <v>13</v>
      </c>
      <c r="B1196" s="60">
        <v>10005</v>
      </c>
      <c r="C1196" s="60">
        <v>24</v>
      </c>
      <c r="D1196" s="60">
        <v>2.8094000000000001</v>
      </c>
      <c r="E1196" s="60">
        <v>712.96090000000004</v>
      </c>
      <c r="F1196" s="60">
        <v>15.938000000000001</v>
      </c>
      <c r="G1196" s="60">
        <v>66.407799999999995</v>
      </c>
      <c r="H1196" s="60">
        <v>67.324700000000007</v>
      </c>
    </row>
    <row r="1197" spans="1:8" x14ac:dyDescent="0.15">
      <c r="A1197" s="60" t="s">
        <v>13</v>
      </c>
      <c r="B1197" s="60">
        <v>10005</v>
      </c>
      <c r="C1197" s="60">
        <v>24</v>
      </c>
      <c r="D1197" s="60">
        <v>2.8048000000000002</v>
      </c>
      <c r="E1197" s="60">
        <v>714.14419999999996</v>
      </c>
      <c r="F1197" s="60">
        <v>15.964</v>
      </c>
      <c r="G1197" s="60">
        <v>66.518100000000004</v>
      </c>
      <c r="H1197" s="60">
        <v>67.253900000000002</v>
      </c>
    </row>
    <row r="1198" spans="1:8" x14ac:dyDescent="0.15">
      <c r="A1198" s="60" t="s">
        <v>13</v>
      </c>
      <c r="B1198" s="60">
        <v>10005</v>
      </c>
      <c r="C1198" s="60">
        <v>24</v>
      </c>
      <c r="D1198" s="60">
        <v>2.8126000000000002</v>
      </c>
      <c r="E1198" s="60">
        <v>712.15120000000002</v>
      </c>
      <c r="F1198" s="60">
        <v>15.92</v>
      </c>
      <c r="G1198" s="60">
        <v>66.332400000000007</v>
      </c>
      <c r="H1198" s="60">
        <v>67.393100000000004</v>
      </c>
    </row>
    <row r="1199" spans="1:8" x14ac:dyDescent="0.15">
      <c r="A1199" s="60" t="s">
        <v>13</v>
      </c>
      <c r="B1199" s="60">
        <v>10010</v>
      </c>
      <c r="C1199" s="60">
        <v>1</v>
      </c>
      <c r="D1199" s="60">
        <v>44.445700000000002</v>
      </c>
      <c r="E1199" s="60">
        <v>45.133800000000001</v>
      </c>
      <c r="F1199" s="60">
        <v>1</v>
      </c>
      <c r="G1199" s="60">
        <v>100</v>
      </c>
      <c r="H1199" s="60">
        <v>49.173499999999997</v>
      </c>
    </row>
    <row r="1200" spans="1:8" x14ac:dyDescent="0.15">
      <c r="A1200" s="60" t="s">
        <v>13</v>
      </c>
      <c r="B1200" s="60">
        <v>10010</v>
      </c>
      <c r="C1200" s="60">
        <v>1</v>
      </c>
      <c r="D1200" s="60">
        <v>43.944000000000003</v>
      </c>
      <c r="E1200" s="60">
        <v>45.649099999999997</v>
      </c>
      <c r="F1200" s="60">
        <v>1.0109999999999999</v>
      </c>
      <c r="G1200" s="60">
        <v>101.1416</v>
      </c>
      <c r="H1200" s="60">
        <v>43.915300000000002</v>
      </c>
    </row>
    <row r="1201" spans="1:8" x14ac:dyDescent="0.15">
      <c r="A1201" s="60" t="s">
        <v>13</v>
      </c>
      <c r="B1201" s="60">
        <v>10010</v>
      </c>
      <c r="C1201" s="60">
        <v>1</v>
      </c>
      <c r="D1201" s="60">
        <v>43.969900000000003</v>
      </c>
      <c r="E1201" s="60">
        <v>45.622300000000003</v>
      </c>
      <c r="F1201" s="60">
        <v>1.0109999999999999</v>
      </c>
      <c r="G1201" s="60">
        <v>101.0822</v>
      </c>
      <c r="H1201" s="60">
        <v>43.942300000000003</v>
      </c>
    </row>
    <row r="1202" spans="1:8" x14ac:dyDescent="0.15">
      <c r="A1202" s="60" t="s">
        <v>13</v>
      </c>
      <c r="B1202" s="60">
        <v>10010</v>
      </c>
      <c r="C1202" s="60">
        <v>1</v>
      </c>
      <c r="D1202" s="60">
        <v>43.946599999999997</v>
      </c>
      <c r="E1202" s="60">
        <v>45.646500000000003</v>
      </c>
      <c r="F1202" s="60">
        <v>1.0109999999999999</v>
      </c>
      <c r="G1202" s="60">
        <v>101.1358</v>
      </c>
      <c r="H1202" s="60">
        <v>43.918300000000002</v>
      </c>
    </row>
    <row r="1203" spans="1:8" x14ac:dyDescent="0.15">
      <c r="A1203" s="60" t="s">
        <v>13</v>
      </c>
      <c r="B1203" s="60">
        <v>10010</v>
      </c>
      <c r="C1203" s="60">
        <v>1</v>
      </c>
      <c r="D1203" s="60">
        <v>43.976300000000002</v>
      </c>
      <c r="E1203" s="60">
        <v>45.615600000000001</v>
      </c>
      <c r="F1203" s="60">
        <v>1.0109999999999999</v>
      </c>
      <c r="G1203" s="60">
        <v>101.0673</v>
      </c>
      <c r="H1203" s="60">
        <v>43.946300000000001</v>
      </c>
    </row>
    <row r="1204" spans="1:8" x14ac:dyDescent="0.15">
      <c r="A1204" s="60" t="s">
        <v>13</v>
      </c>
      <c r="B1204" s="60">
        <v>10010</v>
      </c>
      <c r="C1204" s="60">
        <v>1</v>
      </c>
      <c r="D1204" s="60">
        <v>43.936700000000002</v>
      </c>
      <c r="E1204" s="60">
        <v>45.656700000000001</v>
      </c>
      <c r="F1204" s="60">
        <v>1.012</v>
      </c>
      <c r="G1204" s="60">
        <v>101.15860000000001</v>
      </c>
      <c r="H1204" s="60">
        <v>43.908299999999997</v>
      </c>
    </row>
    <row r="1205" spans="1:8" x14ac:dyDescent="0.15">
      <c r="A1205" s="60" t="s">
        <v>13</v>
      </c>
      <c r="B1205" s="60">
        <v>10010</v>
      </c>
      <c r="C1205" s="60">
        <v>23</v>
      </c>
      <c r="D1205" s="60">
        <v>2.6621999999999999</v>
      </c>
      <c r="E1205" s="60">
        <v>753.51940000000002</v>
      </c>
      <c r="F1205" s="60">
        <v>16.695</v>
      </c>
      <c r="G1205" s="60">
        <v>72.587900000000005</v>
      </c>
      <c r="H1205" s="60">
        <v>61.145699999999998</v>
      </c>
    </row>
    <row r="1206" spans="1:8" x14ac:dyDescent="0.15">
      <c r="A1206" s="60" t="s">
        <v>13</v>
      </c>
      <c r="B1206" s="60">
        <v>10010</v>
      </c>
      <c r="C1206" s="60">
        <v>23</v>
      </c>
      <c r="D1206" s="60">
        <v>2.7374000000000001</v>
      </c>
      <c r="E1206" s="60">
        <v>732.81219999999996</v>
      </c>
      <c r="F1206" s="60">
        <v>16.236000000000001</v>
      </c>
      <c r="G1206" s="60">
        <v>70.593100000000007</v>
      </c>
      <c r="H1206" s="60">
        <v>62.904400000000003</v>
      </c>
    </row>
    <row r="1207" spans="1:8" x14ac:dyDescent="0.15">
      <c r="A1207" s="60" t="s">
        <v>13</v>
      </c>
      <c r="B1207" s="60">
        <v>10010</v>
      </c>
      <c r="C1207" s="60">
        <v>23</v>
      </c>
      <c r="D1207" s="60">
        <v>2.7416</v>
      </c>
      <c r="E1207" s="60">
        <v>731.69780000000003</v>
      </c>
      <c r="F1207" s="60">
        <v>16.212</v>
      </c>
      <c r="G1207" s="60">
        <v>70.485799999999998</v>
      </c>
      <c r="H1207" s="60">
        <v>63.002400000000002</v>
      </c>
    </row>
    <row r="1208" spans="1:8" x14ac:dyDescent="0.15">
      <c r="A1208" s="60" t="s">
        <v>13</v>
      </c>
      <c r="B1208" s="60">
        <v>10010</v>
      </c>
      <c r="C1208" s="60">
        <v>23</v>
      </c>
      <c r="D1208" s="60">
        <v>2.7423000000000002</v>
      </c>
      <c r="E1208" s="60">
        <v>731.50360000000001</v>
      </c>
      <c r="F1208" s="60">
        <v>16.207000000000001</v>
      </c>
      <c r="G1208" s="60">
        <v>70.467100000000002</v>
      </c>
      <c r="H1208" s="60">
        <v>63.009500000000003</v>
      </c>
    </row>
    <row r="1209" spans="1:8" x14ac:dyDescent="0.15">
      <c r="A1209" s="60" t="s">
        <v>13</v>
      </c>
      <c r="B1209" s="60">
        <v>10010</v>
      </c>
      <c r="C1209" s="60">
        <v>23</v>
      </c>
      <c r="D1209" s="60">
        <v>2.7448999999999999</v>
      </c>
      <c r="E1209" s="60">
        <v>730.80349999999999</v>
      </c>
      <c r="F1209" s="60">
        <v>16.192</v>
      </c>
      <c r="G1209" s="60">
        <v>70.399600000000007</v>
      </c>
      <c r="H1209" s="60">
        <v>63.093400000000003</v>
      </c>
    </row>
    <row r="1210" spans="1:8" x14ac:dyDescent="0.15">
      <c r="A1210" s="60" t="s">
        <v>13</v>
      </c>
      <c r="B1210" s="60">
        <v>10010</v>
      </c>
      <c r="C1210" s="60">
        <v>23</v>
      </c>
      <c r="D1210" s="60">
        <v>2.7480000000000002</v>
      </c>
      <c r="E1210" s="60">
        <v>729.99239999999998</v>
      </c>
      <c r="F1210" s="60">
        <v>16.173999999999999</v>
      </c>
      <c r="G1210" s="60">
        <v>70.3215</v>
      </c>
      <c r="H1210" s="60">
        <v>63.1494</v>
      </c>
    </row>
    <row r="1211" spans="1:8" x14ac:dyDescent="0.15">
      <c r="A1211" s="60" t="s">
        <v>13</v>
      </c>
      <c r="B1211" s="60">
        <v>10010</v>
      </c>
      <c r="C1211" s="60">
        <v>23</v>
      </c>
      <c r="D1211" s="60">
        <v>2.7507000000000001</v>
      </c>
      <c r="E1211" s="60">
        <v>729.26819999999998</v>
      </c>
      <c r="F1211" s="60">
        <v>16.158000000000001</v>
      </c>
      <c r="G1211" s="60">
        <v>70.2517</v>
      </c>
      <c r="H1211" s="60">
        <v>63.214399999999998</v>
      </c>
    </row>
    <row r="1212" spans="1:8" x14ac:dyDescent="0.15">
      <c r="A1212" s="60" t="s">
        <v>13</v>
      </c>
      <c r="B1212" s="60">
        <v>10010</v>
      </c>
      <c r="C1212" s="60">
        <v>23</v>
      </c>
      <c r="D1212" s="60">
        <v>2.7557</v>
      </c>
      <c r="E1212" s="60">
        <v>727.94389999999999</v>
      </c>
      <c r="F1212" s="60">
        <v>16.129000000000001</v>
      </c>
      <c r="G1212" s="60">
        <v>70.124200000000002</v>
      </c>
      <c r="H1212" s="60">
        <v>63.322299999999998</v>
      </c>
    </row>
    <row r="1213" spans="1:8" x14ac:dyDescent="0.15">
      <c r="A1213" s="60" t="s">
        <v>13</v>
      </c>
      <c r="B1213" s="60">
        <v>10010</v>
      </c>
      <c r="C1213" s="60">
        <v>23</v>
      </c>
      <c r="D1213" s="60">
        <v>2.7679999999999998</v>
      </c>
      <c r="E1213" s="60">
        <v>724.71209999999996</v>
      </c>
      <c r="F1213" s="60">
        <v>16.056999999999999</v>
      </c>
      <c r="G1213" s="60">
        <v>69.812799999999996</v>
      </c>
      <c r="H1213" s="60">
        <v>63.609400000000001</v>
      </c>
    </row>
    <row r="1214" spans="1:8" x14ac:dyDescent="0.15">
      <c r="A1214" s="60" t="s">
        <v>13</v>
      </c>
      <c r="B1214" s="60">
        <v>10010</v>
      </c>
      <c r="C1214" s="60">
        <v>23</v>
      </c>
      <c r="D1214" s="60">
        <v>2.7663000000000002</v>
      </c>
      <c r="E1214" s="60">
        <v>725.14880000000005</v>
      </c>
      <c r="F1214" s="60">
        <v>16.067</v>
      </c>
      <c r="G1214" s="60">
        <v>69.854900000000001</v>
      </c>
      <c r="H1214" s="60">
        <v>63.571399999999997</v>
      </c>
    </row>
    <row r="1215" spans="1:8" x14ac:dyDescent="0.15">
      <c r="A1215" s="60" t="s">
        <v>13</v>
      </c>
      <c r="B1215" s="60">
        <v>10010</v>
      </c>
      <c r="C1215" s="60">
        <v>23</v>
      </c>
      <c r="D1215" s="60">
        <v>2.77</v>
      </c>
      <c r="E1215" s="60">
        <v>724.20219999999995</v>
      </c>
      <c r="F1215" s="60">
        <v>16.045999999999999</v>
      </c>
      <c r="G1215" s="60">
        <v>69.7637</v>
      </c>
      <c r="H1215" s="60">
        <v>63.655299999999997</v>
      </c>
    </row>
    <row r="1216" spans="1:8" x14ac:dyDescent="0.15">
      <c r="A1216" s="60" t="s">
        <v>13</v>
      </c>
      <c r="B1216" s="60">
        <v>10010</v>
      </c>
      <c r="C1216" s="60">
        <v>23</v>
      </c>
      <c r="D1216" s="60">
        <v>2.7707999999999999</v>
      </c>
      <c r="E1216" s="60">
        <v>723.9855</v>
      </c>
      <c r="F1216" s="60">
        <v>16.041</v>
      </c>
      <c r="G1216" s="60">
        <v>69.742800000000003</v>
      </c>
      <c r="H1216" s="60">
        <v>63.665399999999998</v>
      </c>
    </row>
    <row r="1217" spans="1:8" x14ac:dyDescent="0.15">
      <c r="A1217" s="60" t="s">
        <v>13</v>
      </c>
      <c r="B1217" s="60">
        <v>10010</v>
      </c>
      <c r="C1217" s="60">
        <v>23</v>
      </c>
      <c r="D1217" s="60">
        <v>2.7759999999999998</v>
      </c>
      <c r="E1217" s="60">
        <v>722.62440000000004</v>
      </c>
      <c r="F1217" s="60">
        <v>16.010999999999999</v>
      </c>
      <c r="G1217" s="60">
        <v>69.611699999999999</v>
      </c>
      <c r="H1217" s="60">
        <v>63.804200000000002</v>
      </c>
    </row>
    <row r="1218" spans="1:8" x14ac:dyDescent="0.15">
      <c r="A1218" s="60" t="s">
        <v>13</v>
      </c>
      <c r="B1218" s="60">
        <v>10010</v>
      </c>
      <c r="C1218" s="60">
        <v>23</v>
      </c>
      <c r="D1218" s="60">
        <v>2.7806999999999999</v>
      </c>
      <c r="E1218" s="60">
        <v>721.39520000000005</v>
      </c>
      <c r="F1218" s="60">
        <v>15.983000000000001</v>
      </c>
      <c r="G1218" s="60">
        <v>69.493300000000005</v>
      </c>
      <c r="H1218" s="60">
        <v>63.901200000000003</v>
      </c>
    </row>
    <row r="1219" spans="1:8" x14ac:dyDescent="0.15">
      <c r="A1219" s="60" t="s">
        <v>13</v>
      </c>
      <c r="B1219" s="60">
        <v>10010</v>
      </c>
      <c r="C1219" s="60">
        <v>23</v>
      </c>
      <c r="D1219" s="60">
        <v>2.7818000000000001</v>
      </c>
      <c r="E1219" s="60">
        <v>721.12390000000005</v>
      </c>
      <c r="F1219" s="60">
        <v>15.977</v>
      </c>
      <c r="G1219" s="60">
        <v>69.467200000000005</v>
      </c>
      <c r="H1219" s="60">
        <v>63.926299999999998</v>
      </c>
    </row>
    <row r="1220" spans="1:8" x14ac:dyDescent="0.15">
      <c r="A1220" s="60" t="s">
        <v>13</v>
      </c>
      <c r="B1220" s="60">
        <v>10010</v>
      </c>
      <c r="C1220" s="60">
        <v>23</v>
      </c>
      <c r="D1220" s="60">
        <v>2.7850000000000001</v>
      </c>
      <c r="E1220" s="60">
        <v>720.28129999999999</v>
      </c>
      <c r="F1220" s="60">
        <v>15.959</v>
      </c>
      <c r="G1220" s="60">
        <v>69.385999999999996</v>
      </c>
      <c r="H1220" s="60">
        <v>64.003299999999996</v>
      </c>
    </row>
    <row r="1221" spans="1:8" x14ac:dyDescent="0.15">
      <c r="A1221" s="60" t="s">
        <v>13</v>
      </c>
      <c r="B1221" s="60">
        <v>10010</v>
      </c>
      <c r="C1221" s="60">
        <v>23</v>
      </c>
      <c r="D1221" s="60">
        <v>2.7896999999999998</v>
      </c>
      <c r="E1221" s="60">
        <v>719.07100000000003</v>
      </c>
      <c r="F1221" s="60">
        <v>15.932</v>
      </c>
      <c r="G1221" s="60">
        <v>69.269400000000005</v>
      </c>
      <c r="H1221" s="60">
        <v>64.106300000000005</v>
      </c>
    </row>
    <row r="1222" spans="1:8" x14ac:dyDescent="0.15">
      <c r="A1222" s="60" t="s">
        <v>13</v>
      </c>
      <c r="B1222" s="60">
        <v>10010</v>
      </c>
      <c r="C1222" s="60">
        <v>23</v>
      </c>
      <c r="D1222" s="60">
        <v>2.7917999999999998</v>
      </c>
      <c r="E1222" s="60">
        <v>718.54219999999998</v>
      </c>
      <c r="F1222" s="60">
        <v>15.92</v>
      </c>
      <c r="G1222" s="60">
        <v>69.218500000000006</v>
      </c>
      <c r="H1222" s="60">
        <v>64.153199999999998</v>
      </c>
    </row>
    <row r="1223" spans="1:8" x14ac:dyDescent="0.15">
      <c r="A1223" s="60" t="s">
        <v>13</v>
      </c>
      <c r="B1223" s="60">
        <v>10010</v>
      </c>
      <c r="C1223" s="60">
        <v>23</v>
      </c>
      <c r="D1223" s="60">
        <v>2.7915000000000001</v>
      </c>
      <c r="E1223" s="60">
        <v>718.62329999999997</v>
      </c>
      <c r="F1223" s="60">
        <v>15.922000000000001</v>
      </c>
      <c r="G1223" s="60">
        <v>69.226299999999995</v>
      </c>
      <c r="H1223" s="60">
        <v>64.151200000000003</v>
      </c>
    </row>
    <row r="1224" spans="1:8" x14ac:dyDescent="0.15">
      <c r="A1224" s="60" t="s">
        <v>13</v>
      </c>
      <c r="B1224" s="60">
        <v>10010</v>
      </c>
      <c r="C1224" s="60">
        <v>23</v>
      </c>
      <c r="D1224" s="60">
        <v>2.7928999999999999</v>
      </c>
      <c r="E1224" s="60">
        <v>718.26220000000001</v>
      </c>
      <c r="F1224" s="60">
        <v>15.914</v>
      </c>
      <c r="G1224" s="60">
        <v>69.191500000000005</v>
      </c>
      <c r="H1224" s="60">
        <v>64.182299999999998</v>
      </c>
    </row>
    <row r="1225" spans="1:8" x14ac:dyDescent="0.15">
      <c r="A1225" s="60" t="s">
        <v>13</v>
      </c>
      <c r="B1225" s="60">
        <v>10010</v>
      </c>
      <c r="C1225" s="60">
        <v>23</v>
      </c>
      <c r="D1225" s="60">
        <v>2.7955999999999999</v>
      </c>
      <c r="E1225" s="60">
        <v>717.5711</v>
      </c>
      <c r="F1225" s="60">
        <v>15.898999999999999</v>
      </c>
      <c r="G1225" s="60">
        <v>69.124899999999997</v>
      </c>
      <c r="H1225" s="60">
        <v>64.242199999999997</v>
      </c>
    </row>
    <row r="1226" spans="1:8" x14ac:dyDescent="0.15">
      <c r="A1226" s="60" t="s">
        <v>13</v>
      </c>
      <c r="B1226" s="60">
        <v>10010</v>
      </c>
      <c r="C1226" s="60">
        <v>23</v>
      </c>
      <c r="D1226" s="60">
        <v>2.7953999999999999</v>
      </c>
      <c r="E1226" s="60">
        <v>717.61760000000004</v>
      </c>
      <c r="F1226" s="60">
        <v>15.9</v>
      </c>
      <c r="G1226" s="60">
        <v>69.129400000000004</v>
      </c>
      <c r="H1226" s="60">
        <v>64.2393</v>
      </c>
    </row>
    <row r="1227" spans="1:8" x14ac:dyDescent="0.15">
      <c r="A1227" s="60" t="s">
        <v>13</v>
      </c>
      <c r="B1227" s="60">
        <v>10010</v>
      </c>
      <c r="C1227" s="60">
        <v>23</v>
      </c>
      <c r="D1227" s="60">
        <v>2.7953000000000001</v>
      </c>
      <c r="E1227" s="60">
        <v>717.64170000000001</v>
      </c>
      <c r="F1227" s="60">
        <v>15.9</v>
      </c>
      <c r="G1227" s="60">
        <v>69.131699999999995</v>
      </c>
      <c r="H1227" s="60">
        <v>64.231300000000005</v>
      </c>
    </row>
    <row r="1228" spans="1:8" x14ac:dyDescent="0.15">
      <c r="A1228" s="60" t="s">
        <v>13</v>
      </c>
      <c r="B1228" s="60">
        <v>10010</v>
      </c>
      <c r="C1228" s="60">
        <v>23</v>
      </c>
      <c r="D1228" s="60">
        <v>2.8012999999999999</v>
      </c>
      <c r="E1228" s="60">
        <v>716.08900000000006</v>
      </c>
      <c r="F1228" s="60">
        <v>15.866</v>
      </c>
      <c r="G1228" s="60">
        <v>68.982200000000006</v>
      </c>
      <c r="H1228" s="60">
        <v>64.370199999999997</v>
      </c>
    </row>
    <row r="1229" spans="1:8" x14ac:dyDescent="0.15">
      <c r="A1229" s="60" t="s">
        <v>13</v>
      </c>
      <c r="B1229" s="60">
        <v>10010</v>
      </c>
      <c r="C1229" s="60">
        <v>23</v>
      </c>
      <c r="D1229" s="60">
        <v>2.8005</v>
      </c>
      <c r="E1229" s="60">
        <v>716.29430000000002</v>
      </c>
      <c r="F1229" s="60">
        <v>15.87</v>
      </c>
      <c r="G1229" s="60">
        <v>69.001900000000006</v>
      </c>
      <c r="H1229" s="60">
        <v>64.358199999999997</v>
      </c>
    </row>
    <row r="1230" spans="1:8" x14ac:dyDescent="0.15">
      <c r="A1230" s="60" t="s">
        <v>13</v>
      </c>
      <c r="B1230" s="60">
        <v>10010</v>
      </c>
      <c r="C1230" s="60">
        <v>23</v>
      </c>
      <c r="D1230" s="60">
        <v>2.802</v>
      </c>
      <c r="E1230" s="60">
        <v>715.91189999999995</v>
      </c>
      <c r="F1230" s="60">
        <v>15.862</v>
      </c>
      <c r="G1230" s="60">
        <v>68.965100000000007</v>
      </c>
      <c r="H1230" s="60">
        <v>64.390100000000004</v>
      </c>
    </row>
    <row r="1231" spans="1:8" x14ac:dyDescent="0.15">
      <c r="A1231" s="60" t="s">
        <v>13</v>
      </c>
      <c r="B1231" s="60">
        <v>10010</v>
      </c>
      <c r="C1231" s="60">
        <v>23</v>
      </c>
      <c r="D1231" s="60">
        <v>2.8039999999999998</v>
      </c>
      <c r="E1231" s="60">
        <v>715.41610000000003</v>
      </c>
      <c r="F1231" s="60">
        <v>15.851000000000001</v>
      </c>
      <c r="G1231" s="60">
        <v>68.917299999999997</v>
      </c>
      <c r="H1231" s="60">
        <v>64.437299999999993</v>
      </c>
    </row>
    <row r="1232" spans="1:8" x14ac:dyDescent="0.15">
      <c r="A1232" s="60" t="s">
        <v>13</v>
      </c>
      <c r="B1232" s="60">
        <v>10010</v>
      </c>
      <c r="C1232" s="60">
        <v>23</v>
      </c>
      <c r="D1232" s="60">
        <v>2.8071000000000002</v>
      </c>
      <c r="E1232" s="60">
        <v>714.62450000000001</v>
      </c>
      <c r="F1232" s="60">
        <v>15.833</v>
      </c>
      <c r="G1232" s="60">
        <v>68.841099999999997</v>
      </c>
      <c r="H1232" s="60">
        <v>64.508300000000006</v>
      </c>
    </row>
    <row r="1233" spans="1:8" x14ac:dyDescent="0.15">
      <c r="A1233" s="60" t="s">
        <v>13</v>
      </c>
      <c r="B1233" s="60">
        <v>10010</v>
      </c>
      <c r="C1233" s="60">
        <v>23</v>
      </c>
      <c r="D1233" s="60">
        <v>2.8073999999999999</v>
      </c>
      <c r="E1233" s="60">
        <v>714.53390000000002</v>
      </c>
      <c r="F1233" s="60">
        <v>15.831</v>
      </c>
      <c r="G1233" s="60">
        <v>68.832400000000007</v>
      </c>
      <c r="H1233" s="60">
        <v>64.516099999999994</v>
      </c>
    </row>
    <row r="1234" spans="1:8" x14ac:dyDescent="0.15">
      <c r="A1234" s="60" t="s">
        <v>13</v>
      </c>
      <c r="B1234" s="60">
        <v>10010</v>
      </c>
      <c r="C1234" s="60">
        <v>23</v>
      </c>
      <c r="D1234" s="60">
        <v>2.8069000000000002</v>
      </c>
      <c r="E1234" s="60">
        <v>714.67870000000005</v>
      </c>
      <c r="F1234" s="60">
        <v>15.835000000000001</v>
      </c>
      <c r="G1234" s="60">
        <v>68.846299999999999</v>
      </c>
      <c r="H1234" s="60">
        <v>64.504199999999997</v>
      </c>
    </row>
    <row r="1235" spans="1:8" x14ac:dyDescent="0.15">
      <c r="A1235" s="60" t="s">
        <v>13</v>
      </c>
      <c r="B1235" s="60">
        <v>10010</v>
      </c>
      <c r="C1235" s="60">
        <v>23</v>
      </c>
      <c r="D1235" s="60">
        <v>2.8157999999999999</v>
      </c>
      <c r="E1235" s="60">
        <v>712.40329999999994</v>
      </c>
      <c r="F1235" s="60">
        <v>15.784000000000001</v>
      </c>
      <c r="G1235" s="60">
        <v>68.627099999999999</v>
      </c>
      <c r="H1235" s="60">
        <v>64.704300000000003</v>
      </c>
    </row>
    <row r="1236" spans="1:8" x14ac:dyDescent="0.15">
      <c r="A1236" s="60" t="s">
        <v>13</v>
      </c>
      <c r="B1236" s="60">
        <v>10010</v>
      </c>
      <c r="C1236" s="60">
        <v>23</v>
      </c>
      <c r="D1236" s="60">
        <v>2.8132999999999999</v>
      </c>
      <c r="E1236" s="60">
        <v>713.03790000000004</v>
      </c>
      <c r="F1236" s="60">
        <v>15.798</v>
      </c>
      <c r="G1236" s="60">
        <v>68.688199999999995</v>
      </c>
      <c r="H1236" s="60">
        <v>64.650099999999995</v>
      </c>
    </row>
    <row r="1237" spans="1:8" x14ac:dyDescent="0.15">
      <c r="A1237" s="60" t="s">
        <v>13</v>
      </c>
      <c r="B1237" s="60">
        <v>10010</v>
      </c>
      <c r="C1237" s="60">
        <v>23</v>
      </c>
      <c r="D1237" s="60">
        <v>2.8123</v>
      </c>
      <c r="E1237" s="60">
        <v>713.29020000000003</v>
      </c>
      <c r="F1237" s="60">
        <v>15.804</v>
      </c>
      <c r="G1237" s="60">
        <v>68.712500000000006</v>
      </c>
      <c r="H1237" s="60">
        <v>64.629199999999997</v>
      </c>
    </row>
    <row r="1238" spans="1:8" x14ac:dyDescent="0.15">
      <c r="A1238" s="60" t="s">
        <v>13</v>
      </c>
      <c r="B1238" s="60">
        <v>10010</v>
      </c>
      <c r="C1238" s="60">
        <v>23</v>
      </c>
      <c r="D1238" s="60">
        <v>2.8138000000000001</v>
      </c>
      <c r="E1238" s="60">
        <v>712.92110000000002</v>
      </c>
      <c r="F1238" s="60">
        <v>15.795999999999999</v>
      </c>
      <c r="G1238" s="60">
        <v>68.677000000000007</v>
      </c>
      <c r="H1238" s="60">
        <v>64.642300000000006</v>
      </c>
    </row>
    <row r="1239" spans="1:8" x14ac:dyDescent="0.15">
      <c r="A1239" s="60" t="s">
        <v>13</v>
      </c>
      <c r="B1239" s="60">
        <v>10010</v>
      </c>
      <c r="C1239" s="60">
        <v>23</v>
      </c>
      <c r="D1239" s="60">
        <v>2.8168000000000002</v>
      </c>
      <c r="E1239" s="60">
        <v>712.14620000000002</v>
      </c>
      <c r="F1239" s="60">
        <v>15.779</v>
      </c>
      <c r="G1239" s="60">
        <v>68.6023</v>
      </c>
      <c r="H1239" s="60">
        <v>64.748000000000005</v>
      </c>
    </row>
    <row r="1240" spans="1:8" x14ac:dyDescent="0.15">
      <c r="A1240" s="60" t="s">
        <v>13</v>
      </c>
      <c r="B1240" s="60">
        <v>10010</v>
      </c>
      <c r="C1240" s="60">
        <v>23</v>
      </c>
      <c r="D1240" s="60">
        <v>2.8197000000000001</v>
      </c>
      <c r="E1240" s="60">
        <v>711.42510000000004</v>
      </c>
      <c r="F1240" s="60">
        <v>15.763</v>
      </c>
      <c r="G1240" s="60">
        <v>68.532899999999998</v>
      </c>
      <c r="H1240" s="60">
        <v>64.7971</v>
      </c>
    </row>
    <row r="1241" spans="1:8" x14ac:dyDescent="0.15">
      <c r="A1241" s="60" t="s">
        <v>13</v>
      </c>
      <c r="B1241" s="60">
        <v>10010</v>
      </c>
      <c r="C1241" s="60">
        <v>23</v>
      </c>
      <c r="D1241" s="60">
        <v>2.8174000000000001</v>
      </c>
      <c r="E1241" s="60">
        <v>712.00509999999997</v>
      </c>
      <c r="F1241" s="60">
        <v>15.775</v>
      </c>
      <c r="G1241" s="60">
        <v>68.588800000000006</v>
      </c>
      <c r="H1241" s="60">
        <v>64.747299999999996</v>
      </c>
    </row>
    <row r="1242" spans="1:8" x14ac:dyDescent="0.15">
      <c r="A1242" s="60" t="s">
        <v>13</v>
      </c>
      <c r="B1242" s="60">
        <v>10010</v>
      </c>
      <c r="C1242" s="60">
        <v>23</v>
      </c>
      <c r="D1242" s="60">
        <v>2.8188</v>
      </c>
      <c r="E1242" s="60">
        <v>711.6558</v>
      </c>
      <c r="F1242" s="60">
        <v>15.768000000000001</v>
      </c>
      <c r="G1242" s="60">
        <v>68.555099999999996</v>
      </c>
      <c r="H1242" s="60">
        <v>64.778099999999995</v>
      </c>
    </row>
    <row r="1243" spans="1:8" x14ac:dyDescent="0.15">
      <c r="A1243" s="60" t="s">
        <v>13</v>
      </c>
      <c r="B1243" s="60">
        <v>10010</v>
      </c>
      <c r="C1243" s="60">
        <v>23</v>
      </c>
      <c r="D1243" s="60">
        <v>2.8210999999999999</v>
      </c>
      <c r="E1243" s="60">
        <v>711.072</v>
      </c>
      <c r="F1243" s="60">
        <v>15.755000000000001</v>
      </c>
      <c r="G1243" s="60">
        <v>68.498900000000006</v>
      </c>
      <c r="H1243" s="60">
        <v>64.829099999999997</v>
      </c>
    </row>
    <row r="1244" spans="1:8" x14ac:dyDescent="0.15">
      <c r="A1244" s="60" t="s">
        <v>13</v>
      </c>
      <c r="B1244" s="60">
        <v>10010</v>
      </c>
      <c r="C1244" s="60">
        <v>23</v>
      </c>
      <c r="D1244" s="60">
        <v>2.82</v>
      </c>
      <c r="E1244" s="60">
        <v>711.36</v>
      </c>
      <c r="F1244" s="60">
        <v>15.760999999999999</v>
      </c>
      <c r="G1244" s="60">
        <v>68.526600000000002</v>
      </c>
      <c r="H1244" s="60">
        <v>64.806200000000004</v>
      </c>
    </row>
    <row r="1245" spans="1:8" x14ac:dyDescent="0.15">
      <c r="A1245" s="60" t="s">
        <v>13</v>
      </c>
      <c r="B1245" s="60">
        <v>10010</v>
      </c>
      <c r="C1245" s="60">
        <v>23</v>
      </c>
      <c r="D1245" s="60">
        <v>2.8207</v>
      </c>
      <c r="E1245" s="60">
        <v>711.16480000000001</v>
      </c>
      <c r="F1245" s="60">
        <v>15.757</v>
      </c>
      <c r="G1245" s="60">
        <v>68.507800000000003</v>
      </c>
      <c r="H1245" s="60">
        <v>64.818100000000001</v>
      </c>
    </row>
    <row r="1246" spans="1:8" x14ac:dyDescent="0.15">
      <c r="A1246" s="60" t="s">
        <v>13</v>
      </c>
      <c r="B1246" s="60">
        <v>10010</v>
      </c>
      <c r="C1246" s="60">
        <v>23</v>
      </c>
      <c r="D1246" s="60">
        <v>2.8250999999999999</v>
      </c>
      <c r="E1246" s="60">
        <v>710.05769999999995</v>
      </c>
      <c r="F1246" s="60">
        <v>15.731999999999999</v>
      </c>
      <c r="G1246" s="60">
        <v>68.401200000000003</v>
      </c>
      <c r="H1246" s="60">
        <v>64.928200000000004</v>
      </c>
    </row>
    <row r="1247" spans="1:8" x14ac:dyDescent="0.15">
      <c r="A1247" s="60" t="s">
        <v>13</v>
      </c>
      <c r="B1247" s="60">
        <v>10010</v>
      </c>
      <c r="C1247" s="60">
        <v>23</v>
      </c>
      <c r="D1247" s="60">
        <v>2.8220999999999998</v>
      </c>
      <c r="E1247" s="60">
        <v>710.82709999999997</v>
      </c>
      <c r="F1247" s="60">
        <v>15.749000000000001</v>
      </c>
      <c r="G1247" s="60">
        <v>68.475300000000004</v>
      </c>
      <c r="H1247" s="60">
        <v>64.852099999999993</v>
      </c>
    </row>
    <row r="1248" spans="1:8" x14ac:dyDescent="0.15">
      <c r="A1248" s="60" t="s">
        <v>13</v>
      </c>
      <c r="B1248" s="60">
        <v>10010</v>
      </c>
      <c r="C1248" s="60">
        <v>23</v>
      </c>
      <c r="D1248" s="60">
        <v>2.8237000000000001</v>
      </c>
      <c r="E1248" s="60">
        <v>710.42830000000004</v>
      </c>
      <c r="F1248" s="60">
        <v>15.74</v>
      </c>
      <c r="G1248" s="60">
        <v>68.436899999999994</v>
      </c>
      <c r="H1248" s="60">
        <v>64.891099999999994</v>
      </c>
    </row>
    <row r="1249" spans="1:8" x14ac:dyDescent="0.15">
      <c r="A1249" s="60" t="s">
        <v>13</v>
      </c>
      <c r="B1249" s="60">
        <v>10010</v>
      </c>
      <c r="C1249" s="60">
        <v>23</v>
      </c>
      <c r="D1249" s="60">
        <v>2.8317000000000001</v>
      </c>
      <c r="E1249" s="60">
        <v>708.41750000000002</v>
      </c>
      <c r="F1249" s="60">
        <v>15.696</v>
      </c>
      <c r="G1249" s="60">
        <v>68.243200000000002</v>
      </c>
      <c r="H1249" s="60">
        <v>65.063000000000002</v>
      </c>
    </row>
    <row r="1250" spans="1:8" x14ac:dyDescent="0.15">
      <c r="A1250" s="60" t="s">
        <v>13</v>
      </c>
      <c r="B1250" s="60">
        <v>10010</v>
      </c>
      <c r="C1250" s="60">
        <v>23</v>
      </c>
      <c r="D1250" s="60">
        <v>2.8277000000000001</v>
      </c>
      <c r="E1250" s="60">
        <v>709.41510000000005</v>
      </c>
      <c r="F1250" s="60">
        <v>15.718</v>
      </c>
      <c r="G1250" s="60">
        <v>68.339299999999994</v>
      </c>
      <c r="H1250" s="60">
        <v>64.980199999999996</v>
      </c>
    </row>
    <row r="1251" spans="1:8" x14ac:dyDescent="0.15">
      <c r="A1251" s="60" t="s">
        <v>13</v>
      </c>
      <c r="B1251" s="60">
        <v>10010</v>
      </c>
      <c r="C1251" s="60">
        <v>23</v>
      </c>
      <c r="D1251" s="60">
        <v>2.8271999999999999</v>
      </c>
      <c r="E1251" s="60">
        <v>709.53750000000002</v>
      </c>
      <c r="F1251" s="60">
        <v>15.721</v>
      </c>
      <c r="G1251" s="60">
        <v>68.350999999999999</v>
      </c>
      <c r="H1251" s="60">
        <v>64.971199999999996</v>
      </c>
    </row>
    <row r="1252" spans="1:8" x14ac:dyDescent="0.15">
      <c r="A1252" s="60" t="s">
        <v>13</v>
      </c>
      <c r="B1252" s="60">
        <v>10010</v>
      </c>
      <c r="C1252" s="60">
        <v>23</v>
      </c>
      <c r="D1252" s="60">
        <v>2.8287</v>
      </c>
      <c r="E1252" s="60">
        <v>709.17179999999996</v>
      </c>
      <c r="F1252" s="60">
        <v>15.712999999999999</v>
      </c>
      <c r="G1252" s="60">
        <v>68.315799999999996</v>
      </c>
      <c r="H1252" s="60">
        <v>64.994100000000003</v>
      </c>
    </row>
    <row r="1253" spans="1:8" x14ac:dyDescent="0.15">
      <c r="A1253" s="60" t="s">
        <v>13</v>
      </c>
      <c r="B1253" s="60">
        <v>10010</v>
      </c>
      <c r="C1253" s="60">
        <v>23</v>
      </c>
      <c r="D1253" s="60">
        <v>2.8307000000000002</v>
      </c>
      <c r="E1253" s="60">
        <v>708.66949999999997</v>
      </c>
      <c r="F1253" s="60">
        <v>15.702</v>
      </c>
      <c r="G1253" s="60">
        <v>68.267399999999995</v>
      </c>
      <c r="H1253" s="60">
        <v>65.060100000000006</v>
      </c>
    </row>
    <row r="1254" spans="1:8" x14ac:dyDescent="0.15">
      <c r="A1254" s="60" t="s">
        <v>13</v>
      </c>
      <c r="B1254" s="60">
        <v>10010</v>
      </c>
      <c r="C1254" s="60">
        <v>23</v>
      </c>
      <c r="D1254" s="60">
        <v>2.8323</v>
      </c>
      <c r="E1254" s="60">
        <v>708.25059999999996</v>
      </c>
      <c r="F1254" s="60">
        <v>15.692</v>
      </c>
      <c r="G1254" s="60">
        <v>68.227099999999993</v>
      </c>
      <c r="H1254" s="60">
        <v>65.084999999999994</v>
      </c>
    </row>
    <row r="1255" spans="1:8" x14ac:dyDescent="0.15">
      <c r="A1255" s="60" t="s">
        <v>13</v>
      </c>
      <c r="B1255" s="60">
        <v>10010</v>
      </c>
      <c r="C1255" s="60">
        <v>23</v>
      </c>
      <c r="D1255" s="60">
        <v>2.8302</v>
      </c>
      <c r="E1255" s="60">
        <v>708.79650000000004</v>
      </c>
      <c r="F1255" s="60">
        <v>15.704000000000001</v>
      </c>
      <c r="G1255" s="60">
        <v>68.279700000000005</v>
      </c>
      <c r="H1255" s="60">
        <v>65.040000000000006</v>
      </c>
    </row>
    <row r="1256" spans="1:8" x14ac:dyDescent="0.15">
      <c r="A1256" s="60" t="s">
        <v>13</v>
      </c>
      <c r="B1256" s="60">
        <v>10010</v>
      </c>
      <c r="C1256" s="60">
        <v>24</v>
      </c>
      <c r="D1256" s="60">
        <v>4.7342000000000004</v>
      </c>
      <c r="E1256" s="60">
        <v>423.72590000000002</v>
      </c>
      <c r="F1256" s="60">
        <v>9.3879999999999999</v>
      </c>
      <c r="G1256" s="60">
        <v>39.1175</v>
      </c>
      <c r="H1256" s="60">
        <v>108.8193</v>
      </c>
    </row>
    <row r="1257" spans="1:8" x14ac:dyDescent="0.15">
      <c r="A1257" s="60" t="s">
        <v>13</v>
      </c>
      <c r="B1257" s="60">
        <v>10010</v>
      </c>
      <c r="C1257" s="60">
        <v>24</v>
      </c>
      <c r="D1257" s="60">
        <v>2.7999000000000001</v>
      </c>
      <c r="E1257" s="60">
        <v>716.45519999999999</v>
      </c>
      <c r="F1257" s="60">
        <v>15.874000000000001</v>
      </c>
      <c r="G1257" s="60">
        <v>66.1417</v>
      </c>
      <c r="H1257" s="60">
        <v>67.105999999999995</v>
      </c>
    </row>
    <row r="1258" spans="1:8" x14ac:dyDescent="0.15">
      <c r="A1258" s="60" t="s">
        <v>13</v>
      </c>
      <c r="B1258" s="60">
        <v>10010</v>
      </c>
      <c r="C1258" s="60">
        <v>24</v>
      </c>
      <c r="D1258" s="60">
        <v>2.7980999999999998</v>
      </c>
      <c r="E1258" s="60">
        <v>716.92179999999996</v>
      </c>
      <c r="F1258" s="60">
        <v>15.884</v>
      </c>
      <c r="G1258" s="60">
        <v>66.184799999999996</v>
      </c>
      <c r="H1258" s="60">
        <v>67.085700000000003</v>
      </c>
    </row>
    <row r="1259" spans="1:8" x14ac:dyDescent="0.15">
      <c r="A1259" s="60" t="s">
        <v>13</v>
      </c>
      <c r="B1259" s="60">
        <v>10010</v>
      </c>
      <c r="C1259" s="60">
        <v>24</v>
      </c>
      <c r="D1259" s="60">
        <v>2.8031000000000001</v>
      </c>
      <c r="E1259" s="60">
        <v>715.64430000000004</v>
      </c>
      <c r="F1259" s="60">
        <v>15.856</v>
      </c>
      <c r="G1259" s="60">
        <v>66.066800000000001</v>
      </c>
      <c r="H1259" s="60">
        <v>67.1738</v>
      </c>
    </row>
    <row r="1260" spans="1:8" x14ac:dyDescent="0.15">
      <c r="A1260" s="60" t="s">
        <v>13</v>
      </c>
      <c r="B1260" s="60">
        <v>10010</v>
      </c>
      <c r="C1260" s="60">
        <v>24</v>
      </c>
      <c r="D1260" s="60">
        <v>2.802</v>
      </c>
      <c r="E1260" s="60">
        <v>715.90729999999996</v>
      </c>
      <c r="F1260" s="60">
        <v>15.862</v>
      </c>
      <c r="G1260" s="60">
        <v>66.091099999999997</v>
      </c>
      <c r="H1260" s="60">
        <v>67.149900000000002</v>
      </c>
    </row>
    <row r="1261" spans="1:8" x14ac:dyDescent="0.15">
      <c r="A1261" s="60" t="s">
        <v>13</v>
      </c>
      <c r="B1261" s="60">
        <v>10010</v>
      </c>
      <c r="C1261" s="60">
        <v>24</v>
      </c>
      <c r="D1261" s="60">
        <v>2.8006000000000002</v>
      </c>
      <c r="E1261" s="60">
        <v>716.26499999999999</v>
      </c>
      <c r="F1261" s="60">
        <v>15.87</v>
      </c>
      <c r="G1261" s="60">
        <v>66.124099999999999</v>
      </c>
      <c r="H1261" s="60">
        <v>67.134799999999998</v>
      </c>
    </row>
    <row r="1262" spans="1:8" x14ac:dyDescent="0.15">
      <c r="A1262" s="60" t="s">
        <v>13</v>
      </c>
      <c r="B1262" s="60">
        <v>10010</v>
      </c>
      <c r="C1262" s="60">
        <v>24</v>
      </c>
      <c r="D1262" s="60">
        <v>2.8012000000000001</v>
      </c>
      <c r="E1262" s="60">
        <v>716.13149999999996</v>
      </c>
      <c r="F1262" s="60">
        <v>15.867000000000001</v>
      </c>
      <c r="G1262" s="60">
        <v>66.111800000000002</v>
      </c>
      <c r="H1262" s="60">
        <v>67.130899999999997</v>
      </c>
    </row>
    <row r="1263" spans="1:8" x14ac:dyDescent="0.15">
      <c r="A1263" s="60" t="s">
        <v>13</v>
      </c>
      <c r="B1263" s="60">
        <v>10010</v>
      </c>
      <c r="C1263" s="60">
        <v>24</v>
      </c>
      <c r="D1263" s="60">
        <v>2.8022</v>
      </c>
      <c r="E1263" s="60">
        <v>715.87310000000002</v>
      </c>
      <c r="F1263" s="60">
        <v>15.861000000000001</v>
      </c>
      <c r="G1263" s="60">
        <v>66.087999999999994</v>
      </c>
      <c r="H1263" s="60">
        <v>67.188500000000005</v>
      </c>
    </row>
    <row r="1264" spans="1:8" x14ac:dyDescent="0.15">
      <c r="A1264" s="60" t="s">
        <v>13</v>
      </c>
      <c r="B1264" s="60">
        <v>10010</v>
      </c>
      <c r="C1264" s="60">
        <v>24</v>
      </c>
      <c r="D1264" s="60">
        <v>2.8016000000000001</v>
      </c>
      <c r="E1264" s="60">
        <v>716.02739999999994</v>
      </c>
      <c r="F1264" s="60">
        <v>15.865</v>
      </c>
      <c r="G1264" s="60">
        <v>66.102199999999996</v>
      </c>
      <c r="H1264" s="60">
        <v>67.1387</v>
      </c>
    </row>
    <row r="1265" spans="1:8" x14ac:dyDescent="0.15">
      <c r="A1265" s="60" t="s">
        <v>13</v>
      </c>
      <c r="B1265" s="60">
        <v>10010</v>
      </c>
      <c r="C1265" s="60">
        <v>24</v>
      </c>
      <c r="D1265" s="60">
        <v>2.8005</v>
      </c>
      <c r="E1265" s="60">
        <v>716.30119999999999</v>
      </c>
      <c r="F1265" s="60">
        <v>15.871</v>
      </c>
      <c r="G1265" s="60">
        <v>66.127499999999998</v>
      </c>
      <c r="H1265" s="60">
        <v>67.150899999999993</v>
      </c>
    </row>
    <row r="1266" spans="1:8" x14ac:dyDescent="0.15">
      <c r="A1266" s="60" t="s">
        <v>13</v>
      </c>
      <c r="B1266" s="60">
        <v>10010</v>
      </c>
      <c r="C1266" s="60">
        <v>24</v>
      </c>
      <c r="D1266" s="60">
        <v>2.8014999999999999</v>
      </c>
      <c r="E1266" s="60">
        <v>716.04920000000004</v>
      </c>
      <c r="F1266" s="60">
        <v>15.865</v>
      </c>
      <c r="G1266" s="60">
        <v>66.104200000000006</v>
      </c>
      <c r="H1266" s="60">
        <v>67.1387</v>
      </c>
    </row>
    <row r="1267" spans="1:8" x14ac:dyDescent="0.15">
      <c r="A1267" s="60" t="s">
        <v>13</v>
      </c>
      <c r="B1267" s="60">
        <v>10010</v>
      </c>
      <c r="C1267" s="60">
        <v>24</v>
      </c>
      <c r="D1267" s="60">
        <v>2.8016999999999999</v>
      </c>
      <c r="E1267" s="60">
        <v>715.99369999999999</v>
      </c>
      <c r="F1267" s="60">
        <v>15.864000000000001</v>
      </c>
      <c r="G1267" s="60">
        <v>66.099100000000007</v>
      </c>
      <c r="H1267" s="60">
        <v>67.170900000000003</v>
      </c>
    </row>
    <row r="1268" spans="1:8" x14ac:dyDescent="0.15">
      <c r="A1268" s="60" t="s">
        <v>13</v>
      </c>
      <c r="B1268" s="60">
        <v>10010</v>
      </c>
      <c r="C1268" s="60">
        <v>24</v>
      </c>
      <c r="D1268" s="60">
        <v>2.8014999999999999</v>
      </c>
      <c r="E1268" s="60">
        <v>716.05499999999995</v>
      </c>
      <c r="F1268" s="60">
        <v>15.865</v>
      </c>
      <c r="G1268" s="60">
        <v>66.104799999999997</v>
      </c>
      <c r="H1268" s="60">
        <v>67.143600000000006</v>
      </c>
    </row>
    <row r="1269" spans="1:8" x14ac:dyDescent="0.15">
      <c r="A1269" s="60" t="s">
        <v>13</v>
      </c>
      <c r="B1269" s="60">
        <v>10010</v>
      </c>
      <c r="C1269" s="60">
        <v>24</v>
      </c>
      <c r="D1269" s="60">
        <v>2.8029000000000002</v>
      </c>
      <c r="E1269" s="60">
        <v>715.69889999999998</v>
      </c>
      <c r="F1269" s="60">
        <v>15.856999999999999</v>
      </c>
      <c r="G1269" s="60">
        <v>66.071899999999999</v>
      </c>
      <c r="H1269" s="60">
        <v>67.168899999999994</v>
      </c>
    </row>
    <row r="1270" spans="1:8" x14ac:dyDescent="0.15">
      <c r="A1270" s="60" t="s">
        <v>13</v>
      </c>
      <c r="B1270" s="60">
        <v>10010</v>
      </c>
      <c r="C1270" s="60">
        <v>24</v>
      </c>
      <c r="D1270" s="60">
        <v>2.8603999999999998</v>
      </c>
      <c r="E1270" s="60">
        <v>701.29409999999996</v>
      </c>
      <c r="F1270" s="60">
        <v>15.538</v>
      </c>
      <c r="G1270" s="60">
        <v>64.742099999999994</v>
      </c>
      <c r="H1270" s="60">
        <v>68.432599999999994</v>
      </c>
    </row>
    <row r="1271" spans="1:8" x14ac:dyDescent="0.15">
      <c r="A1271" s="60" t="s">
        <v>13</v>
      </c>
      <c r="B1271" s="60">
        <v>10010</v>
      </c>
      <c r="C1271" s="60">
        <v>24</v>
      </c>
      <c r="D1271" s="60">
        <v>2.8027000000000002</v>
      </c>
      <c r="E1271" s="60">
        <v>715.74329999999998</v>
      </c>
      <c r="F1271" s="60">
        <v>15.858000000000001</v>
      </c>
      <c r="G1271" s="60">
        <v>66.075999999999993</v>
      </c>
      <c r="H1271" s="60">
        <v>67.165000000000006</v>
      </c>
    </row>
    <row r="1272" spans="1:8" x14ac:dyDescent="0.15">
      <c r="A1272" s="60" t="s">
        <v>13</v>
      </c>
      <c r="B1272" s="60">
        <v>10010</v>
      </c>
      <c r="C1272" s="60">
        <v>24</v>
      </c>
      <c r="D1272" s="60">
        <v>2.8029999999999999</v>
      </c>
      <c r="E1272" s="60">
        <v>715.65599999999995</v>
      </c>
      <c r="F1272" s="60">
        <v>15.856</v>
      </c>
      <c r="G1272" s="60">
        <v>66.067899999999995</v>
      </c>
      <c r="H1272" s="60">
        <v>67.212400000000002</v>
      </c>
    </row>
    <row r="1273" spans="1:8" x14ac:dyDescent="0.15">
      <c r="A1273" s="60" t="s">
        <v>13</v>
      </c>
      <c r="B1273" s="60">
        <v>10010</v>
      </c>
      <c r="C1273" s="60">
        <v>24</v>
      </c>
      <c r="D1273" s="60">
        <v>2.8054000000000001</v>
      </c>
      <c r="E1273" s="60">
        <v>715.04250000000002</v>
      </c>
      <c r="F1273" s="60">
        <v>15.843</v>
      </c>
      <c r="G1273" s="60">
        <v>66.011300000000006</v>
      </c>
      <c r="H1273" s="60">
        <v>67.231899999999996</v>
      </c>
    </row>
    <row r="1274" spans="1:8" x14ac:dyDescent="0.15">
      <c r="A1274" s="60" t="s">
        <v>13</v>
      </c>
      <c r="B1274" s="60">
        <v>10010</v>
      </c>
      <c r="C1274" s="60">
        <v>24</v>
      </c>
      <c r="D1274" s="60">
        <v>2.8052999999999999</v>
      </c>
      <c r="E1274" s="60">
        <v>715.07100000000003</v>
      </c>
      <c r="F1274" s="60">
        <v>15.843</v>
      </c>
      <c r="G1274" s="60">
        <v>66.013900000000007</v>
      </c>
      <c r="H1274" s="60">
        <v>67.261700000000005</v>
      </c>
    </row>
    <row r="1275" spans="1:8" x14ac:dyDescent="0.15">
      <c r="A1275" s="60" t="s">
        <v>13</v>
      </c>
      <c r="B1275" s="60">
        <v>10010</v>
      </c>
      <c r="C1275" s="60">
        <v>24</v>
      </c>
      <c r="D1275" s="60">
        <v>2.8052999999999999</v>
      </c>
      <c r="E1275" s="60">
        <v>715.07100000000003</v>
      </c>
      <c r="F1275" s="60">
        <v>15.843</v>
      </c>
      <c r="G1275" s="60">
        <v>66.013900000000007</v>
      </c>
      <c r="H1275" s="60">
        <v>67.232900000000001</v>
      </c>
    </row>
    <row r="1276" spans="1:8" x14ac:dyDescent="0.15">
      <c r="A1276" s="60" t="s">
        <v>13</v>
      </c>
      <c r="B1276" s="60">
        <v>10010</v>
      </c>
      <c r="C1276" s="60">
        <v>24</v>
      </c>
      <c r="D1276" s="60">
        <v>2.8056000000000001</v>
      </c>
      <c r="E1276" s="60">
        <v>715.00630000000001</v>
      </c>
      <c r="F1276" s="60">
        <v>15.842000000000001</v>
      </c>
      <c r="G1276" s="60">
        <v>66.007999999999996</v>
      </c>
      <c r="H1276" s="60">
        <v>67.240700000000004</v>
      </c>
    </row>
    <row r="1277" spans="1:8" x14ac:dyDescent="0.15">
      <c r="A1277" s="60" t="s">
        <v>13</v>
      </c>
      <c r="B1277" s="60">
        <v>10010</v>
      </c>
      <c r="C1277" s="60">
        <v>24</v>
      </c>
      <c r="D1277" s="60">
        <v>2.8155000000000001</v>
      </c>
      <c r="E1277" s="60">
        <v>712.47500000000002</v>
      </c>
      <c r="F1277" s="60">
        <v>15.786</v>
      </c>
      <c r="G1277" s="60">
        <v>65.774299999999997</v>
      </c>
      <c r="H1277" s="60">
        <v>67.428700000000006</v>
      </c>
    </row>
    <row r="1278" spans="1:8" x14ac:dyDescent="0.15">
      <c r="A1278" s="60" t="s">
        <v>13</v>
      </c>
      <c r="B1278" s="60">
        <v>10010</v>
      </c>
      <c r="C1278" s="60">
        <v>24</v>
      </c>
      <c r="D1278" s="60">
        <v>2.8045</v>
      </c>
      <c r="E1278" s="60">
        <v>715.27430000000004</v>
      </c>
      <c r="F1278" s="60">
        <v>15.848000000000001</v>
      </c>
      <c r="G1278" s="60">
        <v>66.032700000000006</v>
      </c>
      <c r="H1278" s="60">
        <v>67.190899999999999</v>
      </c>
    </row>
    <row r="1279" spans="1:8" x14ac:dyDescent="0.15">
      <c r="A1279" s="60" t="s">
        <v>13</v>
      </c>
      <c r="B1279" s="60">
        <v>10010</v>
      </c>
      <c r="C1279" s="60">
        <v>24</v>
      </c>
      <c r="D1279" s="60">
        <v>2.8058000000000001</v>
      </c>
      <c r="E1279" s="60">
        <v>714.95050000000003</v>
      </c>
      <c r="F1279" s="60">
        <v>15.840999999999999</v>
      </c>
      <c r="G1279" s="60">
        <v>66.002799999999993</v>
      </c>
      <c r="H1279" s="60">
        <v>67.293000000000006</v>
      </c>
    </row>
    <row r="1280" spans="1:8" x14ac:dyDescent="0.15">
      <c r="A1280" s="60" t="s">
        <v>13</v>
      </c>
      <c r="B1280" s="60">
        <v>10010</v>
      </c>
      <c r="C1280" s="60">
        <v>24</v>
      </c>
      <c r="D1280" s="60">
        <v>2.806</v>
      </c>
      <c r="E1280" s="60">
        <v>714.89800000000002</v>
      </c>
      <c r="F1280" s="60">
        <v>15.84</v>
      </c>
      <c r="G1280" s="60">
        <v>65.998000000000005</v>
      </c>
      <c r="H1280" s="60">
        <v>67.247600000000006</v>
      </c>
    </row>
    <row r="1281" spans="1:8" x14ac:dyDescent="0.15">
      <c r="A1281" s="60" t="s">
        <v>13</v>
      </c>
      <c r="B1281" s="60">
        <v>10010</v>
      </c>
      <c r="C1281" s="60">
        <v>24</v>
      </c>
      <c r="D1281" s="60">
        <v>2.8056999999999999</v>
      </c>
      <c r="E1281" s="60">
        <v>714.976</v>
      </c>
      <c r="F1281" s="60">
        <v>15.840999999999999</v>
      </c>
      <c r="G1281" s="60">
        <v>66.005200000000002</v>
      </c>
      <c r="H1281" s="60">
        <v>67.274900000000002</v>
      </c>
    </row>
    <row r="1282" spans="1:8" x14ac:dyDescent="0.15">
      <c r="A1282" s="60" t="s">
        <v>13</v>
      </c>
      <c r="B1282" s="60">
        <v>10010</v>
      </c>
      <c r="C1282" s="60">
        <v>24</v>
      </c>
      <c r="D1282" s="60">
        <v>2.8157000000000001</v>
      </c>
      <c r="E1282" s="60">
        <v>712.43089999999995</v>
      </c>
      <c r="F1282" s="60">
        <v>15.785</v>
      </c>
      <c r="G1282" s="60">
        <v>65.770200000000003</v>
      </c>
      <c r="H1282" s="60">
        <v>67.436499999999995</v>
      </c>
    </row>
    <row r="1283" spans="1:8" x14ac:dyDescent="0.15">
      <c r="A1283" s="60" t="s">
        <v>13</v>
      </c>
      <c r="B1283" s="60">
        <v>10010</v>
      </c>
      <c r="C1283" s="60">
        <v>24</v>
      </c>
      <c r="D1283" s="60">
        <v>2.8054000000000001</v>
      </c>
      <c r="E1283" s="60">
        <v>715.06290000000001</v>
      </c>
      <c r="F1283" s="60">
        <v>15.843</v>
      </c>
      <c r="G1283" s="60">
        <v>66.013199999999998</v>
      </c>
      <c r="H1283" s="60">
        <v>67.268100000000004</v>
      </c>
    </row>
    <row r="1284" spans="1:8" x14ac:dyDescent="0.15">
      <c r="A1284" s="60" t="s">
        <v>13</v>
      </c>
      <c r="B1284" s="60">
        <v>10010</v>
      </c>
      <c r="C1284" s="60">
        <v>24</v>
      </c>
      <c r="D1284" s="60">
        <v>2.8056000000000001</v>
      </c>
      <c r="E1284" s="60">
        <v>714.99440000000004</v>
      </c>
      <c r="F1284" s="60">
        <v>15.842000000000001</v>
      </c>
      <c r="G1284" s="60">
        <v>66.006900000000002</v>
      </c>
      <c r="H1284" s="60">
        <v>67.235799999999998</v>
      </c>
    </row>
    <row r="1285" spans="1:8" x14ac:dyDescent="0.15">
      <c r="A1285" s="60" t="s">
        <v>13</v>
      </c>
      <c r="B1285" s="60">
        <v>10010</v>
      </c>
      <c r="C1285" s="60">
        <v>24</v>
      </c>
      <c r="D1285" s="60">
        <v>2.8073000000000001</v>
      </c>
      <c r="E1285" s="60">
        <v>714.5652</v>
      </c>
      <c r="F1285" s="60">
        <v>15.832000000000001</v>
      </c>
      <c r="G1285" s="60">
        <v>65.967200000000005</v>
      </c>
      <c r="H1285" s="60">
        <v>67.275899999999993</v>
      </c>
    </row>
    <row r="1286" spans="1:8" x14ac:dyDescent="0.15">
      <c r="A1286" s="60" t="s">
        <v>13</v>
      </c>
      <c r="B1286" s="60">
        <v>10010</v>
      </c>
      <c r="C1286" s="60">
        <v>24</v>
      </c>
      <c r="D1286" s="60">
        <v>2.8088000000000002</v>
      </c>
      <c r="E1286" s="60">
        <v>714.18259999999998</v>
      </c>
      <c r="F1286" s="60">
        <v>15.824</v>
      </c>
      <c r="G1286" s="60">
        <v>65.931899999999999</v>
      </c>
      <c r="H1286" s="60">
        <v>67.343800000000002</v>
      </c>
    </row>
    <row r="1287" spans="1:8" x14ac:dyDescent="0.15">
      <c r="A1287" s="60" t="s">
        <v>13</v>
      </c>
      <c r="B1287" s="60">
        <v>10010</v>
      </c>
      <c r="C1287" s="60">
        <v>24</v>
      </c>
      <c r="D1287" s="60">
        <v>2.8075999999999999</v>
      </c>
      <c r="E1287" s="60">
        <v>714.49649999999997</v>
      </c>
      <c r="F1287" s="60">
        <v>15.831</v>
      </c>
      <c r="G1287" s="60">
        <v>65.960899999999995</v>
      </c>
      <c r="H1287" s="60">
        <v>67.283699999999996</v>
      </c>
    </row>
    <row r="1288" spans="1:8" x14ac:dyDescent="0.15">
      <c r="A1288" s="60" t="s">
        <v>13</v>
      </c>
      <c r="B1288" s="60">
        <v>10010</v>
      </c>
      <c r="C1288" s="60">
        <v>24</v>
      </c>
      <c r="D1288" s="60">
        <v>2.8071000000000002</v>
      </c>
      <c r="E1288" s="60">
        <v>714.61710000000005</v>
      </c>
      <c r="F1288" s="60">
        <v>15.833</v>
      </c>
      <c r="G1288" s="60">
        <v>65.971999999999994</v>
      </c>
      <c r="H1288" s="60">
        <v>67.310500000000005</v>
      </c>
    </row>
    <row r="1289" spans="1:8" x14ac:dyDescent="0.15">
      <c r="A1289" s="60" t="s">
        <v>13</v>
      </c>
      <c r="B1289" s="60">
        <v>10010</v>
      </c>
      <c r="C1289" s="60">
        <v>24</v>
      </c>
      <c r="D1289" s="60">
        <v>2.806</v>
      </c>
      <c r="E1289" s="60">
        <v>714.9</v>
      </c>
      <c r="F1289" s="60">
        <v>15.84</v>
      </c>
      <c r="G1289" s="60">
        <v>65.998099999999994</v>
      </c>
      <c r="H1289" s="60">
        <v>67.245099999999994</v>
      </c>
    </row>
    <row r="1290" spans="1:8" x14ac:dyDescent="0.15">
      <c r="A1290" s="60" t="s">
        <v>13</v>
      </c>
      <c r="B1290" s="60">
        <v>10010</v>
      </c>
      <c r="C1290" s="60">
        <v>24</v>
      </c>
      <c r="D1290" s="60">
        <v>2.806</v>
      </c>
      <c r="E1290" s="60">
        <v>714.88959999999997</v>
      </c>
      <c r="F1290" s="60">
        <v>15.839</v>
      </c>
      <c r="G1290" s="60">
        <v>65.997200000000007</v>
      </c>
      <c r="H1290" s="60">
        <v>67.284700000000001</v>
      </c>
    </row>
    <row r="1291" spans="1:8" x14ac:dyDescent="0.15">
      <c r="A1291" s="60" t="s">
        <v>13</v>
      </c>
      <c r="B1291" s="60">
        <v>10010</v>
      </c>
      <c r="C1291" s="60">
        <v>24</v>
      </c>
      <c r="D1291" s="60">
        <v>2.8050000000000002</v>
      </c>
      <c r="E1291" s="60">
        <v>715.15210000000002</v>
      </c>
      <c r="F1291" s="60">
        <v>15.845000000000001</v>
      </c>
      <c r="G1291" s="60">
        <v>66.0214</v>
      </c>
      <c r="H1291" s="60">
        <v>67.220699999999994</v>
      </c>
    </row>
    <row r="1292" spans="1:8" x14ac:dyDescent="0.15">
      <c r="A1292" s="60" t="s">
        <v>13</v>
      </c>
      <c r="B1292" s="60">
        <v>10010</v>
      </c>
      <c r="C1292" s="60">
        <v>24</v>
      </c>
      <c r="D1292" s="60">
        <v>2.8092999999999999</v>
      </c>
      <c r="E1292" s="60">
        <v>714.05669999999998</v>
      </c>
      <c r="F1292" s="60">
        <v>15.821</v>
      </c>
      <c r="G1292" s="60">
        <v>65.920299999999997</v>
      </c>
      <c r="H1292" s="60">
        <v>67.338899999999995</v>
      </c>
    </row>
    <row r="1293" spans="1:8" x14ac:dyDescent="0.15">
      <c r="A1293" s="60" t="s">
        <v>13</v>
      </c>
      <c r="B1293" s="60">
        <v>10010</v>
      </c>
      <c r="C1293" s="60">
        <v>24</v>
      </c>
      <c r="D1293" s="60">
        <v>2.8075999999999999</v>
      </c>
      <c r="E1293" s="60">
        <v>714.50390000000004</v>
      </c>
      <c r="F1293" s="60">
        <v>15.831</v>
      </c>
      <c r="G1293" s="60">
        <v>65.961600000000004</v>
      </c>
      <c r="H1293" s="60">
        <v>67.3018</v>
      </c>
    </row>
    <row r="1294" spans="1:8" x14ac:dyDescent="0.15">
      <c r="A1294" s="60" t="s">
        <v>13</v>
      </c>
      <c r="B1294" s="60">
        <v>10010</v>
      </c>
      <c r="C1294" s="60">
        <v>24</v>
      </c>
      <c r="D1294" s="60">
        <v>2.806</v>
      </c>
      <c r="E1294" s="60">
        <v>714.90920000000006</v>
      </c>
      <c r="F1294" s="60">
        <v>15.84</v>
      </c>
      <c r="G1294" s="60">
        <v>65.998999999999995</v>
      </c>
      <c r="H1294" s="60">
        <v>67.241699999999994</v>
      </c>
    </row>
    <row r="1295" spans="1:8" x14ac:dyDescent="0.15">
      <c r="A1295" s="60" t="s">
        <v>13</v>
      </c>
      <c r="B1295" s="60">
        <v>10010</v>
      </c>
      <c r="C1295" s="60">
        <v>24</v>
      </c>
      <c r="D1295" s="60">
        <v>2.8734000000000002</v>
      </c>
      <c r="E1295" s="60">
        <v>698.13099999999997</v>
      </c>
      <c r="F1295" s="60">
        <v>15.468</v>
      </c>
      <c r="G1295" s="60">
        <v>64.450100000000006</v>
      </c>
      <c r="H1295" s="60">
        <v>68.706500000000005</v>
      </c>
    </row>
    <row r="1296" spans="1:8" x14ac:dyDescent="0.15">
      <c r="A1296" s="60" t="s">
        <v>13</v>
      </c>
      <c r="B1296" s="60">
        <v>10010</v>
      </c>
      <c r="C1296" s="60">
        <v>24</v>
      </c>
      <c r="D1296" s="60">
        <v>2.8073999999999999</v>
      </c>
      <c r="E1296" s="60">
        <v>714.5385</v>
      </c>
      <c r="F1296" s="60">
        <v>15.832000000000001</v>
      </c>
      <c r="G1296" s="60">
        <v>65.964799999999997</v>
      </c>
      <c r="H1296" s="60">
        <v>67.265100000000004</v>
      </c>
    </row>
    <row r="1297" spans="1:8" x14ac:dyDescent="0.15">
      <c r="A1297" s="60" t="s">
        <v>13</v>
      </c>
      <c r="B1297" s="60">
        <v>10010</v>
      </c>
      <c r="C1297" s="60">
        <v>24</v>
      </c>
      <c r="D1297" s="60">
        <v>2.8054999999999999</v>
      </c>
      <c r="E1297" s="60">
        <v>715.03049999999996</v>
      </c>
      <c r="F1297" s="60">
        <v>15.842000000000001</v>
      </c>
      <c r="G1297" s="60">
        <v>66.010199999999998</v>
      </c>
      <c r="H1297" s="60">
        <v>67.283699999999996</v>
      </c>
    </row>
    <row r="1298" spans="1:8" x14ac:dyDescent="0.15">
      <c r="A1298" s="60" t="s">
        <v>13</v>
      </c>
      <c r="B1298" s="60">
        <v>10010</v>
      </c>
      <c r="C1298" s="60">
        <v>24</v>
      </c>
      <c r="D1298" s="60">
        <v>2.8140999999999998</v>
      </c>
      <c r="E1298" s="60">
        <v>712.84739999999999</v>
      </c>
      <c r="F1298" s="60">
        <v>15.794</v>
      </c>
      <c r="G1298" s="60">
        <v>65.808700000000002</v>
      </c>
      <c r="H1298" s="60">
        <v>67.430700000000002</v>
      </c>
    </row>
    <row r="1299" spans="1:8" x14ac:dyDescent="0.15">
      <c r="A1299" s="60" t="s">
        <v>13</v>
      </c>
      <c r="B1299" s="60">
        <v>10010</v>
      </c>
      <c r="C1299" s="60">
        <v>24</v>
      </c>
      <c r="D1299" s="60">
        <v>2.8062999999999998</v>
      </c>
      <c r="E1299" s="60">
        <v>714.82640000000004</v>
      </c>
      <c r="F1299" s="60">
        <v>15.837999999999999</v>
      </c>
      <c r="G1299" s="60">
        <v>65.991399999999999</v>
      </c>
      <c r="H1299" s="60">
        <v>67.289599999999993</v>
      </c>
    </row>
    <row r="1300" spans="1:8" x14ac:dyDescent="0.15">
      <c r="A1300" s="60" t="s">
        <v>13</v>
      </c>
      <c r="B1300" s="60">
        <v>10010</v>
      </c>
      <c r="C1300" s="60">
        <v>24</v>
      </c>
      <c r="D1300" s="60">
        <v>2.8052999999999999</v>
      </c>
      <c r="E1300" s="60">
        <v>715.08199999999999</v>
      </c>
      <c r="F1300" s="60">
        <v>15.843999999999999</v>
      </c>
      <c r="G1300" s="60">
        <v>66.014899999999997</v>
      </c>
      <c r="H1300" s="60">
        <v>67.228999999999999</v>
      </c>
    </row>
    <row r="1301" spans="1:8" x14ac:dyDescent="0.15">
      <c r="A1301" s="60" t="s">
        <v>13</v>
      </c>
      <c r="B1301" s="60">
        <v>10010</v>
      </c>
      <c r="C1301" s="60">
        <v>24</v>
      </c>
      <c r="D1301" s="60">
        <v>2.8071999999999999</v>
      </c>
      <c r="E1301" s="60">
        <v>714.60310000000004</v>
      </c>
      <c r="F1301" s="60">
        <v>15.833</v>
      </c>
      <c r="G1301" s="60">
        <v>65.970699999999994</v>
      </c>
      <c r="H1301" s="60">
        <v>67.272900000000007</v>
      </c>
    </row>
    <row r="1302" spans="1:8" x14ac:dyDescent="0.15">
      <c r="A1302" s="60" t="s">
        <v>13</v>
      </c>
      <c r="B1302" s="60">
        <v>10010</v>
      </c>
      <c r="C1302" s="60">
        <v>24</v>
      </c>
      <c r="D1302" s="60">
        <v>2.8071999999999999</v>
      </c>
      <c r="E1302" s="60">
        <v>714.60260000000005</v>
      </c>
      <c r="F1302" s="60">
        <v>15.833</v>
      </c>
      <c r="G1302" s="60">
        <v>65.970699999999994</v>
      </c>
      <c r="H1302" s="60">
        <v>67.302700000000002</v>
      </c>
    </row>
    <row r="1303" spans="1:8" x14ac:dyDescent="0.15">
      <c r="A1303" s="60" t="s">
        <v>13</v>
      </c>
      <c r="B1303" s="60">
        <v>10010</v>
      </c>
      <c r="C1303" s="60">
        <v>24</v>
      </c>
      <c r="D1303" s="60">
        <v>2.8064</v>
      </c>
      <c r="E1303" s="60">
        <v>714.80039999999997</v>
      </c>
      <c r="F1303" s="60">
        <v>15.837</v>
      </c>
      <c r="G1303" s="60">
        <v>65.989000000000004</v>
      </c>
      <c r="H1303" s="60">
        <v>67.234899999999996</v>
      </c>
    </row>
    <row r="1304" spans="1:8" x14ac:dyDescent="0.15">
      <c r="A1304" s="60" t="s">
        <v>13</v>
      </c>
      <c r="B1304" s="60">
        <v>10010</v>
      </c>
      <c r="C1304" s="60">
        <v>24</v>
      </c>
      <c r="D1304" s="60">
        <v>2.8054000000000001</v>
      </c>
      <c r="E1304" s="60">
        <v>715.04510000000005</v>
      </c>
      <c r="F1304" s="60">
        <v>15.843</v>
      </c>
      <c r="G1304" s="60">
        <v>66.011499999999998</v>
      </c>
      <c r="H1304" s="60">
        <v>67.267600000000002</v>
      </c>
    </row>
    <row r="1305" spans="1:8" x14ac:dyDescent="0.15">
      <c r="A1305" s="60" t="s">
        <v>13</v>
      </c>
      <c r="B1305" s="60">
        <v>10010</v>
      </c>
      <c r="C1305" s="60">
        <v>24</v>
      </c>
      <c r="D1305" s="60">
        <v>2.8089</v>
      </c>
      <c r="E1305" s="60">
        <v>714.16959999999995</v>
      </c>
      <c r="F1305" s="60">
        <v>15.823</v>
      </c>
      <c r="G1305" s="60">
        <v>65.930700000000002</v>
      </c>
      <c r="H1305" s="60">
        <v>67.313000000000002</v>
      </c>
    </row>
    <row r="1306" spans="1:8" x14ac:dyDescent="0.15">
      <c r="A1306" s="60" t="s">
        <v>13</v>
      </c>
      <c r="B1306" s="60">
        <v>10010</v>
      </c>
      <c r="C1306" s="60">
        <v>24</v>
      </c>
      <c r="D1306" s="60">
        <v>2.8058999999999998</v>
      </c>
      <c r="E1306" s="60">
        <v>714.92859999999996</v>
      </c>
      <c r="F1306" s="60">
        <v>15.84</v>
      </c>
      <c r="G1306" s="60">
        <v>66.000799999999998</v>
      </c>
      <c r="H1306" s="60">
        <v>67.276899999999998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Roman,Standaard"&amp;12&amp;A</oddHeader>
    <oddFooter>&amp;C&amp;"Times New Roman,Standaard"&amp;12Pagina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8"/>
  <sheetViews>
    <sheetView tabSelected="1" topLeftCell="A97" zoomScale="130" zoomScaleNormal="130" zoomScalePageLayoutView="130" workbookViewId="0">
      <selection activeCell="D107" sqref="D107"/>
    </sheetView>
  </sheetViews>
  <sheetFormatPr baseColWidth="10" defaultRowHeight="13" x14ac:dyDescent="0.15"/>
  <cols>
    <col min="1" max="1" width="22.83203125" style="1" customWidth="1"/>
    <col min="2" max="2" width="8.83203125" customWidth="1"/>
    <col min="3" max="3" width="8.1640625" customWidth="1"/>
    <col min="4" max="4" width="8.6640625" customWidth="1"/>
    <col min="12" max="12" width="10.83203125" style="1"/>
    <col min="13" max="13" width="22.1640625" customWidth="1"/>
    <col min="14" max="14" width="18.83203125" customWidth="1"/>
  </cols>
  <sheetData>
    <row r="1" spans="1:20" x14ac:dyDescent="0.15">
      <c r="B1" t="s">
        <v>25</v>
      </c>
      <c r="D1" t="str">
        <f>data!C1</f>
        <v>r4i2n2</v>
      </c>
    </row>
    <row r="2" spans="1:20" ht="14" thickBot="1" x14ac:dyDescent="0.2"/>
    <row r="3" spans="1:20" ht="14" thickBot="1" x14ac:dyDescent="0.2">
      <c r="E3" s="61" t="s">
        <v>20</v>
      </c>
      <c r="F3" s="62"/>
      <c r="G3" s="62"/>
      <c r="H3" s="63"/>
      <c r="I3" s="61" t="s">
        <v>7</v>
      </c>
      <c r="J3" s="62"/>
      <c r="K3" s="63"/>
      <c r="L3" s="26"/>
    </row>
    <row r="4" spans="1:20" ht="14" thickBot="1" x14ac:dyDescent="0.2">
      <c r="A4" s="29" t="s">
        <v>27</v>
      </c>
      <c r="B4" s="12" t="s">
        <v>3</v>
      </c>
      <c r="C4" s="13" t="s">
        <v>17</v>
      </c>
      <c r="D4" s="14" t="s">
        <v>14</v>
      </c>
      <c r="E4" s="15" t="s">
        <v>21</v>
      </c>
      <c r="F4" s="16" t="s">
        <v>23</v>
      </c>
      <c r="G4" s="16" t="s">
        <v>22</v>
      </c>
      <c r="H4" s="17" t="s">
        <v>24</v>
      </c>
      <c r="I4" s="15" t="s">
        <v>21</v>
      </c>
      <c r="J4" s="16" t="s">
        <v>23</v>
      </c>
      <c r="K4" s="17" t="s">
        <v>22</v>
      </c>
      <c r="L4" s="27"/>
      <c r="N4" t="s">
        <v>3</v>
      </c>
      <c r="O4" s="2" t="s">
        <v>17</v>
      </c>
      <c r="P4" s="2" t="s">
        <v>14</v>
      </c>
      <c r="Q4" s="2" t="s">
        <v>15</v>
      </c>
      <c r="R4" s="2" t="s">
        <v>16</v>
      </c>
      <c r="S4" s="2" t="s">
        <v>18</v>
      </c>
      <c r="T4" s="2" t="s">
        <v>19</v>
      </c>
    </row>
    <row r="5" spans="1:20" x14ac:dyDescent="0.15">
      <c r="A5" s="1" t="str">
        <f t="shared" ref="A5:A40" ca="1" si="0">N5 &amp; TEXT($O5,"000000") &amp; TEXT($P5, "000")</f>
        <v>OpenBLAS002500001</v>
      </c>
      <c r="B5" s="11" t="str">
        <f t="shared" ref="B5:B40" ca="1" si="1">N5</f>
        <v>OpenBLAS</v>
      </c>
      <c r="C5" s="22">
        <f t="shared" ref="C5:C40" ca="1" si="2">O5</f>
        <v>2500</v>
      </c>
      <c r="D5" s="23">
        <f t="shared" ref="D5:D40" ca="1" si="3">P5</f>
        <v>1</v>
      </c>
      <c r="E5" s="11">
        <f ca="1">AVERAGE(OFFSET(data!$A$1,$Q5-1,3,$R5,1))</f>
        <v>1.32562</v>
      </c>
      <c r="F5" s="22">
        <f ca="1">MIN(OFFSET(data!$A$1,$Q5-1,3,$R5,1))</f>
        <v>1.3248</v>
      </c>
      <c r="G5" s="22">
        <f ca="1">MAX(OFFSET(data!$A$1,$Q5-1,3,$R5,1))</f>
        <v>1.3269</v>
      </c>
      <c r="H5" s="24">
        <f t="shared" ref="H5:H40" ca="1" si="4">(G5-F5)/E5</f>
        <v>1.5841643910019393E-3</v>
      </c>
      <c r="I5" s="11">
        <f ca="1">AVERAGE(OFFSET(data!$A$1,$Q5-1,4,$R5,1))</f>
        <v>23.574080000000002</v>
      </c>
      <c r="J5" s="22">
        <f ca="1">MIN(OFFSET(data!$A$1,$Q5-1,4,$R5,1))</f>
        <v>23.551300000000001</v>
      </c>
      <c r="K5" s="23">
        <f ca="1">MAX(OFFSET(data!$A$1,$Q5-1,4,$R5,1))</f>
        <v>23.587900000000001</v>
      </c>
      <c r="L5" s="28"/>
      <c r="N5" t="str">
        <f ca="1">OFFSET(data!$A$1,$Q5-1,0)</f>
        <v>OpenBLAS</v>
      </c>
      <c r="O5">
        <f ca="1">OFFSET(data!$A$1,$Q5-1,1)</f>
        <v>2500</v>
      </c>
      <c r="P5">
        <f ca="1">OFFSET(data!$A$1,$Q5-1,2)</f>
        <v>1</v>
      </c>
      <c r="Q5">
        <v>8</v>
      </c>
      <c r="R5">
        <v>5</v>
      </c>
      <c r="S5">
        <f ca="1">IF(AVERAGE(OFFSET(data!$A$1,$Q5,1,$R5-1,1))=O5,1,0)</f>
        <v>1</v>
      </c>
      <c r="T5">
        <f ca="1">IF(AVERAGE(OFFSET(data!$A$1,$Q5,2,$R5-1,1))=P5,1,0)</f>
        <v>1</v>
      </c>
    </row>
    <row r="6" spans="1:20" x14ac:dyDescent="0.15">
      <c r="A6" s="1" t="str">
        <f t="shared" ca="1" si="0"/>
        <v>OpenBLAS002500023</v>
      </c>
      <c r="B6" s="4" t="str">
        <f t="shared" ca="1" si="1"/>
        <v>OpenBLAS</v>
      </c>
      <c r="C6" s="3">
        <f t="shared" ca="1" si="2"/>
        <v>2500</v>
      </c>
      <c r="D6" s="9">
        <f t="shared" ca="1" si="3"/>
        <v>23</v>
      </c>
      <c r="E6" s="4">
        <f ca="1">AVERAGE(OFFSET(data!$A$1,$Q6-1,3,$R6,1))</f>
        <v>7.7671999999999991E-2</v>
      </c>
      <c r="F6" s="3">
        <f ca="1">MIN(OFFSET(data!$A$1,$Q6-1,3,$R6,1))</f>
        <v>7.3999999999999996E-2</v>
      </c>
      <c r="G6" s="3">
        <f ca="1">MAX(OFFSET(data!$A$1,$Q6-1,3,$R6,1))</f>
        <v>8.2500000000000004E-2</v>
      </c>
      <c r="H6" s="5">
        <f t="shared" ca="1" si="4"/>
        <v>0.10943454526727789</v>
      </c>
      <c r="I6" s="4">
        <f ca="1">AVERAGE(OFFSET(data!$A$1,$Q6-1,4,$R6,1))</f>
        <v>402.915144</v>
      </c>
      <c r="J6" s="3">
        <f ca="1">MIN(OFFSET(data!$A$1,$Q6-1,4,$R6,1))</f>
        <v>378.8537</v>
      </c>
      <c r="K6" s="9">
        <f ca="1">MAX(OFFSET(data!$A$1,$Q6-1,4,$R6,1))</f>
        <v>422.17180000000002</v>
      </c>
      <c r="L6" s="28"/>
      <c r="N6" t="str">
        <f ca="1">OFFSET(data!$A$1,$Q6-1,0)</f>
        <v>OpenBLAS</v>
      </c>
      <c r="O6">
        <f ca="1">OFFSET(data!$A$1,$Q6-1,1)</f>
        <v>2500</v>
      </c>
      <c r="P6">
        <f ca="1">OFFSET(data!$A$1,$Q6-1,2)</f>
        <v>23</v>
      </c>
      <c r="Q6">
        <f t="shared" ref="Q6:Q22" si="5">Q5+R5+1</f>
        <v>14</v>
      </c>
      <c r="R6">
        <v>50</v>
      </c>
      <c r="S6">
        <f ca="1">IF(AVERAGE(OFFSET(data!$A$1,$Q6,1,$R6-1,1))=O6,1,0)</f>
        <v>1</v>
      </c>
      <c r="T6">
        <f ca="1">IF(AVERAGE(OFFSET(data!$A$1,$Q6,2,$R6-1,1))=P6,1,0)</f>
        <v>1</v>
      </c>
    </row>
    <row r="7" spans="1:20" x14ac:dyDescent="0.15">
      <c r="A7" s="1" t="str">
        <f t="shared" ca="1" si="0"/>
        <v>OpenBLAS002500024</v>
      </c>
      <c r="B7" s="4" t="str">
        <f t="shared" ca="1" si="1"/>
        <v>OpenBLAS</v>
      </c>
      <c r="C7" s="3">
        <f t="shared" ca="1" si="2"/>
        <v>2500</v>
      </c>
      <c r="D7" s="9">
        <f t="shared" ca="1" si="3"/>
        <v>24</v>
      </c>
      <c r="E7" s="4">
        <f ca="1">AVERAGE(OFFSET(data!$A$1,$Q7-1,3,$R7,1))</f>
        <v>0.12670199999999998</v>
      </c>
      <c r="F7" s="3">
        <f ca="1">MIN(OFFSET(data!$A$1,$Q7-1,3,$R7,1))</f>
        <v>0.1202</v>
      </c>
      <c r="G7" s="3">
        <f ca="1">MAX(OFFSET(data!$A$1,$Q7-1,3,$R7,1))</f>
        <v>0.13420000000000001</v>
      </c>
      <c r="H7" s="5">
        <f t="shared" ca="1" si="4"/>
        <v>0.11049549336237798</v>
      </c>
      <c r="I7" s="4">
        <f ca="1">AVERAGE(OFFSET(data!$A$1,$Q7-1,4,$R7,1))</f>
        <v>246.75911199999999</v>
      </c>
      <c r="J7" s="3">
        <f ca="1">MIN(OFFSET(data!$A$1,$Q7-1,4,$R7,1))</f>
        <v>232.8794</v>
      </c>
      <c r="K7" s="9">
        <f ca="1">MAX(OFFSET(data!$A$1,$Q7-1,4,$R7,1))</f>
        <v>260.03109999999998</v>
      </c>
      <c r="L7" s="28"/>
      <c r="N7" t="str">
        <f ca="1">OFFSET(data!$A$1,$Q7-1,0)</f>
        <v>OpenBLAS</v>
      </c>
      <c r="O7">
        <f ca="1">OFFSET(data!$A$1,$Q7-1,1)</f>
        <v>2500</v>
      </c>
      <c r="P7">
        <f ca="1">OFFSET(data!$A$1,$Q7-1,2)</f>
        <v>24</v>
      </c>
      <c r="Q7">
        <f t="shared" si="5"/>
        <v>65</v>
      </c>
      <c r="R7">
        <v>50</v>
      </c>
      <c r="S7">
        <f ca="1">IF(AVERAGE(OFFSET(data!$A$1,$Q7,1,$R7-1,1))=O7,1,0)</f>
        <v>1</v>
      </c>
      <c r="T7">
        <f ca="1">IF(AVERAGE(OFFSET(data!$A$1,$Q7,2,$R7-1,1))=P7,1,0)</f>
        <v>1</v>
      </c>
    </row>
    <row r="8" spans="1:20" x14ac:dyDescent="0.15">
      <c r="A8" s="1" t="str">
        <f t="shared" ca="1" si="0"/>
        <v>OpenBLAS002505001</v>
      </c>
      <c r="B8" s="4" t="str">
        <f t="shared" ca="1" si="1"/>
        <v>OpenBLAS</v>
      </c>
      <c r="C8" s="3">
        <f t="shared" ca="1" si="2"/>
        <v>2505</v>
      </c>
      <c r="D8" s="9">
        <f t="shared" ca="1" si="3"/>
        <v>1</v>
      </c>
      <c r="E8" s="4">
        <f ca="1">AVERAGE(OFFSET(data!$A$1,$Q8-1,3,$R8,1))</f>
        <v>1.34714</v>
      </c>
      <c r="F8" s="3">
        <f ca="1">MIN(OFFSET(data!$A$1,$Q8-1,3,$R8,1))</f>
        <v>1.3459000000000001</v>
      </c>
      <c r="G8" s="3">
        <f ca="1">MAX(OFFSET(data!$A$1,$Q8-1,3,$R8,1))</f>
        <v>1.3511</v>
      </c>
      <c r="H8" s="5">
        <f t="shared" ca="1" si="4"/>
        <v>3.8600293956083786E-3</v>
      </c>
      <c r="I8" s="4">
        <f ca="1">AVERAGE(OFFSET(data!$A$1,$Q8-1,4,$R8,1))</f>
        <v>23.336819999999999</v>
      </c>
      <c r="J8" s="3">
        <f ca="1">MIN(OFFSET(data!$A$1,$Q8-1,4,$R8,1))</f>
        <v>23.2684</v>
      </c>
      <c r="K8" s="9">
        <f ca="1">MAX(OFFSET(data!$A$1,$Q8-1,4,$R8,1))</f>
        <v>23.358000000000001</v>
      </c>
      <c r="L8" s="28"/>
      <c r="N8" t="str">
        <f ca="1">OFFSET(data!$A$1,$Q8-1,0)</f>
        <v>OpenBLAS</v>
      </c>
      <c r="O8">
        <f ca="1">OFFSET(data!$A$1,$Q8-1,1)</f>
        <v>2505</v>
      </c>
      <c r="P8">
        <f ca="1">OFFSET(data!$A$1,$Q8-1,2)</f>
        <v>1</v>
      </c>
      <c r="Q8">
        <f t="shared" si="5"/>
        <v>116</v>
      </c>
      <c r="R8">
        <v>5</v>
      </c>
      <c r="S8">
        <f ca="1">IF(AVERAGE(OFFSET(data!$A$1,$Q8,1,$R8-1,1))=O8,1,0)</f>
        <v>1</v>
      </c>
      <c r="T8">
        <f ca="1">IF(AVERAGE(OFFSET(data!$A$1,$Q8,2,$R8-1,1))=P8,1,0)</f>
        <v>1</v>
      </c>
    </row>
    <row r="9" spans="1:20" x14ac:dyDescent="0.15">
      <c r="A9" s="1" t="str">
        <f t="shared" ca="1" si="0"/>
        <v>OpenBLAS002505023</v>
      </c>
      <c r="B9" s="4" t="str">
        <f t="shared" ca="1" si="1"/>
        <v>OpenBLAS</v>
      </c>
      <c r="C9" s="3">
        <f t="shared" ca="1" si="2"/>
        <v>2505</v>
      </c>
      <c r="D9" s="9">
        <f t="shared" ca="1" si="3"/>
        <v>23</v>
      </c>
      <c r="E9" s="4">
        <f ca="1">AVERAGE(OFFSET(data!$A$1,$Q9-1,3,$R9,1))</f>
        <v>7.8702000000000022E-2</v>
      </c>
      <c r="F9" s="3">
        <f ca="1">MIN(OFFSET(data!$A$1,$Q9-1,3,$R9,1))</f>
        <v>7.51E-2</v>
      </c>
      <c r="G9" s="3">
        <f ca="1">MAX(OFFSET(data!$A$1,$Q9-1,3,$R9,1))</f>
        <v>8.1900000000000001E-2</v>
      </c>
      <c r="H9" s="5">
        <f t="shared" ca="1" si="4"/>
        <v>8.6401870346369827E-2</v>
      </c>
      <c r="I9" s="4">
        <f ca="1">AVERAGE(OFFSET(data!$A$1,$Q9-1,4,$R9,1))</f>
        <v>400.04002000000008</v>
      </c>
      <c r="J9" s="3">
        <f ca="1">MIN(OFFSET(data!$A$1,$Q9-1,4,$R9,1))</f>
        <v>383.89879999999999</v>
      </c>
      <c r="K9" s="9">
        <f ca="1">MAX(OFFSET(data!$A$1,$Q9-1,4,$R9,1))</f>
        <v>418.82470000000001</v>
      </c>
      <c r="L9" s="28"/>
      <c r="N9" t="str">
        <f ca="1">OFFSET(data!$A$1,$Q9-1,0)</f>
        <v>OpenBLAS</v>
      </c>
      <c r="O9">
        <f ca="1">OFFSET(data!$A$1,$Q9-1,1)</f>
        <v>2505</v>
      </c>
      <c r="P9">
        <f ca="1">OFFSET(data!$A$1,$Q9-1,2)</f>
        <v>23</v>
      </c>
      <c r="Q9">
        <f t="shared" si="5"/>
        <v>122</v>
      </c>
      <c r="R9">
        <v>50</v>
      </c>
      <c r="S9">
        <f ca="1">IF(AVERAGE(OFFSET(data!$A$1,$Q9,1,$R9-1,1))=O9,1,0)</f>
        <v>1</v>
      </c>
      <c r="T9">
        <f ca="1">IF(AVERAGE(OFFSET(data!$A$1,$Q9,2,$R9-1,1))=P9,1,0)</f>
        <v>1</v>
      </c>
    </row>
    <row r="10" spans="1:20" x14ac:dyDescent="0.15">
      <c r="A10" s="1" t="str">
        <f t="shared" ca="1" si="0"/>
        <v>OpenBLAS002505024</v>
      </c>
      <c r="B10" s="4" t="str">
        <f t="shared" ca="1" si="1"/>
        <v>OpenBLAS</v>
      </c>
      <c r="C10" s="3">
        <f t="shared" ca="1" si="2"/>
        <v>2505</v>
      </c>
      <c r="D10" s="9">
        <f t="shared" ca="1" si="3"/>
        <v>24</v>
      </c>
      <c r="E10" s="4">
        <f ca="1">AVERAGE(OFFSET(data!$A$1,$Q10-1,3,$R10,1))</f>
        <v>7.4538000000000007E-2</v>
      </c>
      <c r="F10" s="3">
        <f ca="1">MIN(OFFSET(data!$A$1,$Q10-1,3,$R10,1))</f>
        <v>7.3700000000000002E-2</v>
      </c>
      <c r="G10" s="3">
        <f ca="1">MAX(OFFSET(data!$A$1,$Q10-1,3,$R10,1))</f>
        <v>7.7399999999999997E-2</v>
      </c>
      <c r="H10" s="5">
        <f t="shared" ca="1" si="4"/>
        <v>4.9639110252488593E-2</v>
      </c>
      <c r="I10" s="4">
        <f ca="1">AVERAGE(OFFSET(data!$A$1,$Q10-1,4,$R10,1))</f>
        <v>421.76911199999989</v>
      </c>
      <c r="J10" s="3">
        <f ca="1">MIN(OFFSET(data!$A$1,$Q10-1,4,$R10,1))</f>
        <v>406.07670000000002</v>
      </c>
      <c r="K10" s="9">
        <f ca="1">MAX(OFFSET(data!$A$1,$Q10-1,4,$R10,1))</f>
        <v>426.38150000000002</v>
      </c>
      <c r="L10" s="28"/>
      <c r="N10" t="str">
        <f ca="1">OFFSET(data!$A$1,$Q10-1,0)</f>
        <v>OpenBLAS</v>
      </c>
      <c r="O10">
        <f ca="1">OFFSET(data!$A$1,$Q10-1,1)</f>
        <v>2505</v>
      </c>
      <c r="P10">
        <f ca="1">OFFSET(data!$A$1,$Q10-1,2)</f>
        <v>24</v>
      </c>
      <c r="Q10">
        <f t="shared" si="5"/>
        <v>173</v>
      </c>
      <c r="R10">
        <v>50</v>
      </c>
      <c r="S10">
        <f ca="1">IF(AVERAGE(OFFSET(data!$A$1,$Q10,1,$R10-1,1))=O10,1,0)</f>
        <v>1</v>
      </c>
      <c r="T10">
        <f ca="1">IF(AVERAGE(OFFSET(data!$A$1,$Q10,2,$R10-1,1))=P10,1,0)</f>
        <v>1</v>
      </c>
    </row>
    <row r="11" spans="1:20" x14ac:dyDescent="0.15">
      <c r="A11" s="1" t="str">
        <f t="shared" ca="1" si="0"/>
        <v>OpenBLAS002510001</v>
      </c>
      <c r="B11" s="4" t="str">
        <f t="shared" ca="1" si="1"/>
        <v>OpenBLAS</v>
      </c>
      <c r="C11" s="3">
        <f t="shared" ca="1" si="2"/>
        <v>2510</v>
      </c>
      <c r="D11" s="9">
        <f t="shared" ca="1" si="3"/>
        <v>1</v>
      </c>
      <c r="E11" s="4">
        <f ca="1">AVERAGE(OFFSET(data!$A$1,$Q11-1,3,$R11,1))</f>
        <v>1.33928</v>
      </c>
      <c r="F11" s="3">
        <f ca="1">MIN(OFFSET(data!$A$1,$Q11-1,3,$R11,1))</f>
        <v>1.3384</v>
      </c>
      <c r="G11" s="3">
        <f ca="1">MAX(OFFSET(data!$A$1,$Q11-1,3,$R11,1))</f>
        <v>1.3399000000000001</v>
      </c>
      <c r="H11" s="5">
        <f t="shared" ca="1" si="4"/>
        <v>1.1200047786870981E-3</v>
      </c>
      <c r="I11" s="4">
        <f ca="1">AVERAGE(OFFSET(data!$A$1,$Q11-1,4,$R11,1))</f>
        <v>23.614640000000001</v>
      </c>
      <c r="J11" s="3">
        <f ca="1">MIN(OFFSET(data!$A$1,$Q11-1,4,$R11,1))</f>
        <v>23.603400000000001</v>
      </c>
      <c r="K11" s="9">
        <f ca="1">MAX(OFFSET(data!$A$1,$Q11-1,4,$R11,1))</f>
        <v>23.630700000000001</v>
      </c>
      <c r="L11" s="28"/>
      <c r="N11" t="str">
        <f ca="1">OFFSET(data!$A$1,$Q11-1,0)</f>
        <v>OpenBLAS</v>
      </c>
      <c r="O11">
        <f ca="1">OFFSET(data!$A$1,$Q11-1,1)</f>
        <v>2510</v>
      </c>
      <c r="P11">
        <f ca="1">OFFSET(data!$A$1,$Q11-1,2)</f>
        <v>1</v>
      </c>
      <c r="Q11">
        <f t="shared" si="5"/>
        <v>224</v>
      </c>
      <c r="R11">
        <v>5</v>
      </c>
      <c r="S11">
        <f ca="1">IF(AVERAGE(OFFSET(data!$A$1,$Q11,1,$R11-1,1))=O11,1,0)</f>
        <v>1</v>
      </c>
      <c r="T11">
        <f ca="1">IF(AVERAGE(OFFSET(data!$A$1,$Q11,2,$R11-1,1))=P11,1,0)</f>
        <v>1</v>
      </c>
    </row>
    <row r="12" spans="1:20" x14ac:dyDescent="0.15">
      <c r="A12" s="1" t="str">
        <f t="shared" ca="1" si="0"/>
        <v>OpenBLAS002510023</v>
      </c>
      <c r="B12" s="4" t="str">
        <f t="shared" ca="1" si="1"/>
        <v>OpenBLAS</v>
      </c>
      <c r="C12" s="3">
        <f t="shared" ca="1" si="2"/>
        <v>2510</v>
      </c>
      <c r="D12" s="9">
        <f t="shared" ca="1" si="3"/>
        <v>23</v>
      </c>
      <c r="E12" s="4">
        <f ca="1">AVERAGE(OFFSET(data!$A$1,$Q12-1,3,$R12,1))</f>
        <v>8.0331999999999931E-2</v>
      </c>
      <c r="F12" s="3">
        <f ca="1">MIN(OFFSET(data!$A$1,$Q12-1,3,$R12,1))</f>
        <v>7.6799999999999993E-2</v>
      </c>
      <c r="G12" s="3">
        <f ca="1">MAX(OFFSET(data!$A$1,$Q12-1,3,$R12,1))</f>
        <v>8.3699999999999997E-2</v>
      </c>
      <c r="H12" s="5">
        <f t="shared" ca="1" si="4"/>
        <v>8.5893541801523796E-2</v>
      </c>
      <c r="I12" s="4">
        <f ca="1">AVERAGE(OFFSET(data!$A$1,$Q12-1,4,$R12,1))</f>
        <v>394.11319200000003</v>
      </c>
      <c r="J12" s="3">
        <f ca="1">MIN(OFFSET(data!$A$1,$Q12-1,4,$R12,1))</f>
        <v>378.03460000000001</v>
      </c>
      <c r="K12" s="9">
        <f ca="1">MAX(OFFSET(data!$A$1,$Q12-1,4,$R12,1))</f>
        <v>411.80270000000002</v>
      </c>
      <c r="L12" s="28"/>
      <c r="N12" t="str">
        <f ca="1">OFFSET(data!$A$1,$Q12-1,0)</f>
        <v>OpenBLAS</v>
      </c>
      <c r="O12">
        <f ca="1">OFFSET(data!$A$1,$Q12-1,1)</f>
        <v>2510</v>
      </c>
      <c r="P12">
        <f ca="1">OFFSET(data!$A$1,$Q12-1,2)</f>
        <v>23</v>
      </c>
      <c r="Q12">
        <f t="shared" si="5"/>
        <v>230</v>
      </c>
      <c r="R12">
        <v>50</v>
      </c>
      <c r="S12">
        <f ca="1">IF(AVERAGE(OFFSET(data!$A$1,$Q12,1,$R12-1,1))=O12,1,0)</f>
        <v>1</v>
      </c>
      <c r="T12">
        <f ca="1">IF(AVERAGE(OFFSET(data!$A$1,$Q12,2,$R12-1,1))=P12,1,0)</f>
        <v>1</v>
      </c>
    </row>
    <row r="13" spans="1:20" x14ac:dyDescent="0.15">
      <c r="A13" s="1" t="str">
        <f t="shared" ca="1" si="0"/>
        <v>OpenBLAS002510024</v>
      </c>
      <c r="B13" s="4" t="str">
        <f t="shared" ca="1" si="1"/>
        <v>OpenBLAS</v>
      </c>
      <c r="C13" s="3">
        <f t="shared" ca="1" si="2"/>
        <v>2510</v>
      </c>
      <c r="D13" s="9">
        <f t="shared" ca="1" si="3"/>
        <v>24</v>
      </c>
      <c r="E13" s="4">
        <f ca="1">AVERAGE(OFFSET(data!$A$1,$Q13-1,3,$R13,1))</f>
        <v>0.13071599999999997</v>
      </c>
      <c r="F13" s="3">
        <f ca="1">MIN(OFFSET(data!$A$1,$Q13-1,3,$R13,1))</f>
        <v>0.1227</v>
      </c>
      <c r="G13" s="3">
        <f ca="1">MAX(OFFSET(data!$A$1,$Q13-1,3,$R13,1))</f>
        <v>0.13600000000000001</v>
      </c>
      <c r="H13" s="5">
        <f t="shared" ca="1" si="4"/>
        <v>0.10174729948896852</v>
      </c>
      <c r="I13" s="4">
        <f ca="1">AVERAGE(OFFSET(data!$A$1,$Q13-1,4,$R13,1))</f>
        <v>242.04777199999998</v>
      </c>
      <c r="J13" s="3">
        <f ca="1">MIN(OFFSET(data!$A$1,$Q13-1,4,$R13,1))</f>
        <v>232.49959999999999</v>
      </c>
      <c r="K13" s="9">
        <f ca="1">MAX(OFFSET(data!$A$1,$Q13-1,4,$R13,1))</f>
        <v>257.66180000000003</v>
      </c>
      <c r="L13" s="28"/>
      <c r="N13" t="str">
        <f ca="1">OFFSET(data!$A$1,$Q13-1,0)</f>
        <v>OpenBLAS</v>
      </c>
      <c r="O13">
        <f ca="1">OFFSET(data!$A$1,$Q13-1,1)</f>
        <v>2510</v>
      </c>
      <c r="P13">
        <f ca="1">OFFSET(data!$A$1,$Q13-1,2)</f>
        <v>24</v>
      </c>
      <c r="Q13">
        <f t="shared" si="5"/>
        <v>281</v>
      </c>
      <c r="R13">
        <v>50</v>
      </c>
      <c r="S13">
        <f ca="1">IF(AVERAGE(OFFSET(data!$A$1,$Q13,1,$R13-1,1))=O13,1,0)</f>
        <v>1</v>
      </c>
      <c r="T13">
        <f ca="1">IF(AVERAGE(OFFSET(data!$A$1,$Q13,2,$R13-1,1))=P13,1,0)</f>
        <v>1</v>
      </c>
    </row>
    <row r="14" spans="1:20" x14ac:dyDescent="0.15">
      <c r="A14" s="1" t="str">
        <f t="shared" ca="1" si="0"/>
        <v>OpenBLAS010000001</v>
      </c>
      <c r="B14" s="4" t="str">
        <f t="shared" ca="1" si="1"/>
        <v>OpenBLAS</v>
      </c>
      <c r="C14" s="3">
        <f t="shared" ca="1" si="2"/>
        <v>10000</v>
      </c>
      <c r="D14" s="9">
        <f t="shared" ca="1" si="3"/>
        <v>1</v>
      </c>
      <c r="E14" s="4">
        <f ca="1">AVERAGE(OFFSET(data!$A$1,$Q14-1,3,$R14,1))</f>
        <v>84.985559999999992</v>
      </c>
      <c r="F14" s="3">
        <f ca="1">MIN(OFFSET(data!$A$1,$Q14-1,3,$R14,1))</f>
        <v>84.969499999999996</v>
      </c>
      <c r="G14" s="3">
        <f ca="1">MAX(OFFSET(data!$A$1,$Q14-1,3,$R14,1))</f>
        <v>85.003900000000002</v>
      </c>
      <c r="H14" s="5">
        <f t="shared" ca="1" si="4"/>
        <v>4.0477464642234631E-4</v>
      </c>
      <c r="I14" s="4">
        <f ca="1">AVERAGE(OFFSET(data!$A$1,$Q14-1,4,$R14,1))</f>
        <v>23.533380000000001</v>
      </c>
      <c r="J14" s="3">
        <f ca="1">MIN(OFFSET(data!$A$1,$Q14-1,4,$R14,1))</f>
        <v>23.528300000000002</v>
      </c>
      <c r="K14" s="9">
        <f ca="1">MAX(OFFSET(data!$A$1,$Q14-1,4,$R14,1))</f>
        <v>23.537800000000001</v>
      </c>
      <c r="L14" s="28"/>
      <c r="N14" t="str">
        <f ca="1">OFFSET(data!$A$1,$Q14-1,0)</f>
        <v>OpenBLAS</v>
      </c>
      <c r="O14">
        <f ca="1">OFFSET(data!$A$1,$Q14-1,1)</f>
        <v>10000</v>
      </c>
      <c r="P14">
        <f ca="1">OFFSET(data!$A$1,$Q14-1,2)</f>
        <v>1</v>
      </c>
      <c r="Q14">
        <f t="shared" si="5"/>
        <v>332</v>
      </c>
      <c r="R14">
        <v>5</v>
      </c>
      <c r="S14">
        <f ca="1">IF(AVERAGE(OFFSET(data!$A$1,$Q14,1,$R14-1,1))=O14,1,0)</f>
        <v>1</v>
      </c>
      <c r="T14">
        <f ca="1">IF(AVERAGE(OFFSET(data!$A$1,$Q14,2,$R14-1,1))=P14,1,0)</f>
        <v>1</v>
      </c>
    </row>
    <row r="15" spans="1:20" x14ac:dyDescent="0.15">
      <c r="A15" s="1" t="str">
        <f t="shared" ca="1" si="0"/>
        <v>OpenBLAS010000023</v>
      </c>
      <c r="B15" s="4" t="str">
        <f t="shared" ca="1" si="1"/>
        <v>OpenBLAS</v>
      </c>
      <c r="C15" s="3">
        <f t="shared" ca="1" si="2"/>
        <v>10000</v>
      </c>
      <c r="D15" s="9">
        <f t="shared" ca="1" si="3"/>
        <v>23</v>
      </c>
      <c r="E15" s="4">
        <f ca="1">AVERAGE(OFFSET(data!$A$1,$Q15-1,3,$R15,1))</f>
        <v>5.0771439999999997</v>
      </c>
      <c r="F15" s="3">
        <f ca="1">MIN(OFFSET(data!$A$1,$Q15-1,3,$R15,1))</f>
        <v>4.9273999999999996</v>
      </c>
      <c r="G15" s="3">
        <f ca="1">MAX(OFFSET(data!$A$1,$Q15-1,3,$R15,1))</f>
        <v>5.1203000000000003</v>
      </c>
      <c r="H15" s="5">
        <f t="shared" ca="1" si="4"/>
        <v>3.7993801239437124E-2</v>
      </c>
      <c r="I15" s="4">
        <f ca="1">AVERAGE(OFFSET(data!$A$1,$Q15-1,4,$R15,1))</f>
        <v>393.97004600000002</v>
      </c>
      <c r="J15" s="3">
        <f ca="1">MIN(OFFSET(data!$A$1,$Q15-1,4,$R15,1))</f>
        <v>390.6044</v>
      </c>
      <c r="K15" s="9">
        <f ca="1">MAX(OFFSET(data!$A$1,$Q15-1,4,$R15,1))</f>
        <v>405.89519999999999</v>
      </c>
      <c r="L15" s="28"/>
      <c r="N15" t="str">
        <f ca="1">OFFSET(data!$A$1,$Q15-1,0)</f>
        <v>OpenBLAS</v>
      </c>
      <c r="O15">
        <f ca="1">OFFSET(data!$A$1,$Q15-1,1)</f>
        <v>10000</v>
      </c>
      <c r="P15">
        <f ca="1">OFFSET(data!$A$1,$Q15-1,2)</f>
        <v>23</v>
      </c>
      <c r="Q15">
        <f t="shared" si="5"/>
        <v>338</v>
      </c>
      <c r="R15">
        <v>50</v>
      </c>
      <c r="S15">
        <f ca="1">IF(AVERAGE(OFFSET(data!$A$1,$Q15,1,$R15-1,1))=O15,1,0)</f>
        <v>1</v>
      </c>
      <c r="T15">
        <f ca="1">IF(AVERAGE(OFFSET(data!$A$1,$Q15,2,$R15-1,1))=P15,1,0)</f>
        <v>1</v>
      </c>
    </row>
    <row r="16" spans="1:20" x14ac:dyDescent="0.15">
      <c r="A16" s="1" t="str">
        <f t="shared" ca="1" si="0"/>
        <v>OpenBLAS010000024</v>
      </c>
      <c r="B16" s="4" t="str">
        <f t="shared" ca="1" si="1"/>
        <v>OpenBLAS</v>
      </c>
      <c r="C16" s="3">
        <f t="shared" ca="1" si="2"/>
        <v>10000</v>
      </c>
      <c r="D16" s="9">
        <f t="shared" ca="1" si="3"/>
        <v>24</v>
      </c>
      <c r="E16" s="4">
        <f ca="1">AVERAGE(OFFSET(data!$A$1,$Q16-1,3,$R16,1))</f>
        <v>4.8846979999999993</v>
      </c>
      <c r="F16" s="3">
        <f ca="1">MIN(OFFSET(data!$A$1,$Q16-1,3,$R16,1))</f>
        <v>4.8715000000000002</v>
      </c>
      <c r="G16" s="3">
        <f ca="1">MAX(OFFSET(data!$A$1,$Q16-1,3,$R16,1))</f>
        <v>4.9185999999999996</v>
      </c>
      <c r="H16" s="5">
        <f t="shared" ca="1" si="4"/>
        <v>9.6423566001418073E-3</v>
      </c>
      <c r="I16" s="4">
        <f ca="1">AVERAGE(OFFSET(data!$A$1,$Q16-1,4,$R16,1))</f>
        <v>409.443352</v>
      </c>
      <c r="J16" s="3">
        <f ca="1">MIN(OFFSET(data!$A$1,$Q16-1,4,$R16,1))</f>
        <v>406.62079999999997</v>
      </c>
      <c r="K16" s="9">
        <f ca="1">MAX(OFFSET(data!$A$1,$Q16-1,4,$R16,1))</f>
        <v>410.55529999999999</v>
      </c>
      <c r="L16" s="28"/>
      <c r="N16" t="str">
        <f ca="1">OFFSET(data!$A$1,$Q16-1,0)</f>
        <v>OpenBLAS</v>
      </c>
      <c r="O16">
        <f ca="1">OFFSET(data!$A$1,$Q16-1,1)</f>
        <v>10000</v>
      </c>
      <c r="P16">
        <f ca="1">OFFSET(data!$A$1,$Q16-1,2)</f>
        <v>24</v>
      </c>
      <c r="Q16">
        <f t="shared" si="5"/>
        <v>389</v>
      </c>
      <c r="R16">
        <v>50</v>
      </c>
      <c r="S16">
        <f ca="1">IF(AVERAGE(OFFSET(data!$A$1,$Q16,1,$R16-1,1))=O16,1,0)</f>
        <v>1</v>
      </c>
      <c r="T16">
        <f ca="1">IF(AVERAGE(OFFSET(data!$A$1,$Q16,2,$R16-1,1))=P16,1,0)</f>
        <v>1</v>
      </c>
    </row>
    <row r="17" spans="1:20" x14ac:dyDescent="0.15">
      <c r="A17" s="1" t="str">
        <f t="shared" ca="1" si="0"/>
        <v>OpenBLAS010005001</v>
      </c>
      <c r="B17" s="4" t="str">
        <f t="shared" ca="1" si="1"/>
        <v>OpenBLAS</v>
      </c>
      <c r="C17" s="3">
        <f t="shared" ca="1" si="2"/>
        <v>10005</v>
      </c>
      <c r="D17" s="9">
        <f t="shared" ca="1" si="3"/>
        <v>1</v>
      </c>
      <c r="E17" s="4">
        <f ca="1">AVERAGE(OFFSET(data!$A$1,$Q17-1,3,$R17,1))</f>
        <v>85.285319999999999</v>
      </c>
      <c r="F17" s="3">
        <f ca="1">MIN(OFFSET(data!$A$1,$Q17-1,3,$R17,1))</f>
        <v>85.278400000000005</v>
      </c>
      <c r="G17" s="3">
        <f ca="1">MAX(OFFSET(data!$A$1,$Q17-1,3,$R17,1))</f>
        <v>85.3005</v>
      </c>
      <c r="H17" s="5">
        <f t="shared" ca="1" si="4"/>
        <v>2.5913017621314758E-4</v>
      </c>
      <c r="I17" s="4">
        <f ca="1">AVERAGE(OFFSET(data!$A$1,$Q17-1,4,$R17,1))</f>
        <v>23.485880000000002</v>
      </c>
      <c r="J17" s="3">
        <f ca="1">MIN(OFFSET(data!$A$1,$Q17-1,4,$R17,1))</f>
        <v>23.4817</v>
      </c>
      <c r="K17" s="9">
        <f ca="1">MAX(OFFSET(data!$A$1,$Q17-1,4,$R17,1))</f>
        <v>23.4878</v>
      </c>
      <c r="L17" s="28"/>
      <c r="N17" t="str">
        <f ca="1">OFFSET(data!$A$1,$Q17-1,0)</f>
        <v>OpenBLAS</v>
      </c>
      <c r="O17">
        <f ca="1">OFFSET(data!$A$1,$Q17-1,1)</f>
        <v>10005</v>
      </c>
      <c r="P17">
        <f ca="1">OFFSET(data!$A$1,$Q17-1,2)</f>
        <v>1</v>
      </c>
      <c r="Q17">
        <f t="shared" si="5"/>
        <v>440</v>
      </c>
      <c r="R17">
        <v>5</v>
      </c>
      <c r="S17">
        <f ca="1">IF(AVERAGE(OFFSET(data!$A$1,$Q17,1,$R17-1,1))=O17,1,0)</f>
        <v>1</v>
      </c>
      <c r="T17">
        <f ca="1">IF(AVERAGE(OFFSET(data!$A$1,$Q17,2,$R17-1,1))=P17,1,0)</f>
        <v>1</v>
      </c>
    </row>
    <row r="18" spans="1:20" x14ac:dyDescent="0.15">
      <c r="A18" s="1" t="str">
        <f t="shared" ca="1" si="0"/>
        <v>OpenBLAS010005023</v>
      </c>
      <c r="B18" s="4" t="str">
        <f t="shared" ca="1" si="1"/>
        <v>OpenBLAS</v>
      </c>
      <c r="C18" s="3">
        <f t="shared" ca="1" si="2"/>
        <v>10005</v>
      </c>
      <c r="D18" s="9">
        <f t="shared" ca="1" si="3"/>
        <v>23</v>
      </c>
      <c r="E18" s="4">
        <f ca="1">AVERAGE(OFFSET(data!$A$1,$Q18-1,3,$R18,1))</f>
        <v>5.1241699999999994</v>
      </c>
      <c r="F18" s="3">
        <f ca="1">MIN(OFFSET(data!$A$1,$Q18-1,3,$R18,1))</f>
        <v>4.9333</v>
      </c>
      <c r="G18" s="3">
        <f ca="1">MAX(OFFSET(data!$A$1,$Q18-1,3,$R18,1))</f>
        <v>5.2159000000000004</v>
      </c>
      <c r="H18" s="5">
        <f t="shared" ca="1" si="4"/>
        <v>5.5150395088375374E-2</v>
      </c>
      <c r="I18" s="4">
        <f ca="1">AVERAGE(OFFSET(data!$A$1,$Q18-1,4,$R18,1))</f>
        <v>391.01192600000002</v>
      </c>
      <c r="J18" s="3">
        <f ca="1">MIN(OFFSET(data!$A$1,$Q18-1,4,$R18,1))</f>
        <v>384.01650000000001</v>
      </c>
      <c r="K18" s="9">
        <f ca="1">MAX(OFFSET(data!$A$1,$Q18-1,4,$R18,1))</f>
        <v>406.01609999999999</v>
      </c>
      <c r="L18" s="28"/>
      <c r="N18" t="str">
        <f ca="1">OFFSET(data!$A$1,$Q18-1,0)</f>
        <v>OpenBLAS</v>
      </c>
      <c r="O18">
        <f ca="1">OFFSET(data!$A$1,$Q18-1,1)</f>
        <v>10005</v>
      </c>
      <c r="P18">
        <f ca="1">OFFSET(data!$A$1,$Q18-1,2)</f>
        <v>23</v>
      </c>
      <c r="Q18">
        <f t="shared" si="5"/>
        <v>446</v>
      </c>
      <c r="R18">
        <v>50</v>
      </c>
      <c r="S18">
        <f ca="1">IF(AVERAGE(OFFSET(data!$A$1,$Q18,1,$R18-1,1))=O18,1,0)</f>
        <v>1</v>
      </c>
      <c r="T18">
        <f ca="1">IF(AVERAGE(OFFSET(data!$A$1,$Q18,2,$R18-1,1))=P18,1,0)</f>
        <v>1</v>
      </c>
    </row>
    <row r="19" spans="1:20" x14ac:dyDescent="0.15">
      <c r="A19" s="1" t="str">
        <f t="shared" ca="1" si="0"/>
        <v>OpenBLAS010005024</v>
      </c>
      <c r="B19" s="4" t="str">
        <f t="shared" ca="1" si="1"/>
        <v>OpenBLAS</v>
      </c>
      <c r="C19" s="3">
        <f t="shared" ca="1" si="2"/>
        <v>10005</v>
      </c>
      <c r="D19" s="9">
        <f t="shared" ca="1" si="3"/>
        <v>24</v>
      </c>
      <c r="E19" s="4">
        <f ca="1">AVERAGE(OFFSET(data!$A$1,$Q19-1,3,$R19,1))</f>
        <v>4.9262580000000007</v>
      </c>
      <c r="F19" s="3">
        <f ca="1">MIN(OFFSET(data!$A$1,$Q19-1,3,$R19,1))</f>
        <v>4.9034000000000004</v>
      </c>
      <c r="G19" s="3">
        <f ca="1">MAX(OFFSET(data!$A$1,$Q19-1,3,$R19,1))</f>
        <v>4.9673999999999996</v>
      </c>
      <c r="H19" s="5">
        <f t="shared" ca="1" si="4"/>
        <v>1.2991605392977622E-2</v>
      </c>
      <c r="I19" s="4">
        <f ca="1">AVERAGE(OFFSET(data!$A$1,$Q19-1,4,$R19,1))</f>
        <v>406.60159000000004</v>
      </c>
      <c r="J19" s="3">
        <f ca="1">MIN(OFFSET(data!$A$1,$Q19-1,4,$R19,1))</f>
        <v>403.23129999999998</v>
      </c>
      <c r="K19" s="9">
        <f ca="1">MAX(OFFSET(data!$A$1,$Q19-1,4,$R19,1))</f>
        <v>408.48899999999998</v>
      </c>
      <c r="L19" s="28"/>
      <c r="N19" t="str">
        <f ca="1">OFFSET(data!$A$1,$Q19-1,0)</f>
        <v>OpenBLAS</v>
      </c>
      <c r="O19">
        <f ca="1">OFFSET(data!$A$1,$Q19-1,1)</f>
        <v>10005</v>
      </c>
      <c r="P19">
        <f ca="1">OFFSET(data!$A$1,$Q19-1,2)</f>
        <v>24</v>
      </c>
      <c r="Q19">
        <f t="shared" si="5"/>
        <v>497</v>
      </c>
      <c r="R19">
        <v>50</v>
      </c>
      <c r="S19">
        <f ca="1">IF(AVERAGE(OFFSET(data!$A$1,$Q19,1,$R19-1,1))=O19,1,0)</f>
        <v>1</v>
      </c>
      <c r="T19">
        <f ca="1">IF(AVERAGE(OFFSET(data!$A$1,$Q19,2,$R19-1,1))=P19,1,0)</f>
        <v>1</v>
      </c>
    </row>
    <row r="20" spans="1:20" x14ac:dyDescent="0.15">
      <c r="A20" s="1" t="str">
        <f t="shared" ca="1" si="0"/>
        <v>OpenBLAS010010001</v>
      </c>
      <c r="B20" s="4" t="str">
        <f t="shared" ca="1" si="1"/>
        <v>OpenBLAS</v>
      </c>
      <c r="C20" s="3">
        <f t="shared" ca="1" si="2"/>
        <v>10010</v>
      </c>
      <c r="D20" s="9">
        <f t="shared" ca="1" si="3"/>
        <v>1</v>
      </c>
      <c r="E20" s="4">
        <f ca="1">AVERAGE(OFFSET(data!$A$1,$Q20-1,3,$R20,1))</f>
        <v>85.093040000000002</v>
      </c>
      <c r="F20" s="3">
        <f ca="1">MIN(OFFSET(data!$A$1,$Q20-1,3,$R20,1))</f>
        <v>85.078000000000003</v>
      </c>
      <c r="G20" s="3">
        <f ca="1">MAX(OFFSET(data!$A$1,$Q20-1,3,$R20,1))</f>
        <v>85.119100000000003</v>
      </c>
      <c r="H20" s="5">
        <f t="shared" ca="1" si="4"/>
        <v>4.8300072485364415E-4</v>
      </c>
      <c r="I20" s="4">
        <f ca="1">AVERAGE(OFFSET(data!$A$1,$Q20-1,4,$R20,1))</f>
        <v>23.574260000000002</v>
      </c>
      <c r="J20" s="3">
        <f ca="1">MIN(OFFSET(data!$A$1,$Q20-1,4,$R20,1))</f>
        <v>23.567</v>
      </c>
      <c r="K20" s="9">
        <f ca="1">MAX(OFFSET(data!$A$1,$Q20-1,4,$R20,1))</f>
        <v>23.578399999999998</v>
      </c>
      <c r="L20" s="28"/>
      <c r="N20" t="str">
        <f ca="1">OFFSET(data!$A$1,$Q20-1,0)</f>
        <v>OpenBLAS</v>
      </c>
      <c r="O20">
        <f ca="1">OFFSET(data!$A$1,$Q20-1,1)</f>
        <v>10010</v>
      </c>
      <c r="P20">
        <f ca="1">OFFSET(data!$A$1,$Q20-1,2)</f>
        <v>1</v>
      </c>
      <c r="Q20">
        <f t="shared" si="5"/>
        <v>548</v>
      </c>
      <c r="R20">
        <v>5</v>
      </c>
      <c r="S20">
        <f ca="1">IF(AVERAGE(OFFSET(data!$A$1,$Q20,1,$R20-1,1))=O20,1,0)</f>
        <v>1</v>
      </c>
      <c r="T20">
        <f ca="1">IF(AVERAGE(OFFSET(data!$A$1,$Q20,2,$R20-1,1))=P20,1,0)</f>
        <v>1</v>
      </c>
    </row>
    <row r="21" spans="1:20" x14ac:dyDescent="0.15">
      <c r="A21" s="1" t="str">
        <f t="shared" ca="1" si="0"/>
        <v>OpenBLAS010010023</v>
      </c>
      <c r="B21" s="4" t="str">
        <f t="shared" ca="1" si="1"/>
        <v>OpenBLAS</v>
      </c>
      <c r="C21" s="3">
        <f t="shared" ca="1" si="2"/>
        <v>10010</v>
      </c>
      <c r="D21" s="9">
        <f t="shared" ca="1" si="3"/>
        <v>23</v>
      </c>
      <c r="E21" s="4">
        <f ca="1">AVERAGE(OFFSET(data!$A$1,$Q21-1,3,$R21,1))</f>
        <v>5.1119660000000007</v>
      </c>
      <c r="F21" s="3">
        <f ca="1">MIN(OFFSET(data!$A$1,$Q21-1,3,$R21,1))</f>
        <v>4.9573</v>
      </c>
      <c r="G21" s="3">
        <f ca="1">MAX(OFFSET(data!$A$1,$Q21-1,3,$R21,1))</f>
        <v>5.1570999999999998</v>
      </c>
      <c r="H21" s="5">
        <f t="shared" ca="1" si="4"/>
        <v>3.9084766995711576E-2</v>
      </c>
      <c r="I21" s="4">
        <f ca="1">AVERAGE(OFFSET(data!$A$1,$Q21-1,4,$R21,1))</f>
        <v>392.46322800000002</v>
      </c>
      <c r="J21" s="3">
        <f ca="1">MIN(OFFSET(data!$A$1,$Q21-1,4,$R21,1))</f>
        <v>388.97719999999998</v>
      </c>
      <c r="K21" s="9">
        <f ca="1">MAX(OFFSET(data!$A$1,$Q21-1,4,$R21,1))</f>
        <v>404.65820000000002</v>
      </c>
      <c r="L21" s="28"/>
      <c r="N21" t="str">
        <f ca="1">OFFSET(data!$A$1,$Q21-1,0)</f>
        <v>OpenBLAS</v>
      </c>
      <c r="O21">
        <f ca="1">OFFSET(data!$A$1,$Q21-1,1)</f>
        <v>10010</v>
      </c>
      <c r="P21">
        <f ca="1">OFFSET(data!$A$1,$Q21-1,2)</f>
        <v>23</v>
      </c>
      <c r="Q21">
        <f t="shared" si="5"/>
        <v>554</v>
      </c>
      <c r="R21">
        <v>50</v>
      </c>
      <c r="S21">
        <f ca="1">IF(AVERAGE(OFFSET(data!$A$1,$Q21,1,$R21-1,1))=O21,1,0)</f>
        <v>1</v>
      </c>
      <c r="T21">
        <f ca="1">IF(AVERAGE(OFFSET(data!$A$1,$Q21,2,$R21-1,1))=P21,1,0)</f>
        <v>1</v>
      </c>
    </row>
    <row r="22" spans="1:20" ht="14" thickBot="1" x14ac:dyDescent="0.2">
      <c r="A22" s="1" t="str">
        <f t="shared" ca="1" si="0"/>
        <v>OpenBLAS010010024</v>
      </c>
      <c r="B22" s="6" t="str">
        <f t="shared" ca="1" si="1"/>
        <v>OpenBLAS</v>
      </c>
      <c r="C22" s="7">
        <f t="shared" ca="1" si="2"/>
        <v>10010</v>
      </c>
      <c r="D22" s="10">
        <f t="shared" ca="1" si="3"/>
        <v>24</v>
      </c>
      <c r="E22" s="6">
        <f ca="1">AVERAGE(OFFSET(data!$A$1,$Q22-1,3,$R22,1))</f>
        <v>4.9115259999999994</v>
      </c>
      <c r="F22" s="7">
        <f ca="1">MIN(OFFSET(data!$A$1,$Q22-1,3,$R22,1))</f>
        <v>4.8936000000000002</v>
      </c>
      <c r="G22" s="7">
        <f ca="1">MAX(OFFSET(data!$A$1,$Q22-1,3,$R22,1))</f>
        <v>5.1542000000000003</v>
      </c>
      <c r="H22" s="8">
        <f t="shared" ca="1" si="4"/>
        <v>5.3058866022494884E-2</v>
      </c>
      <c r="I22" s="6">
        <f ca="1">AVERAGE(OFFSET(data!$A$1,$Q22-1,4,$R22,1))</f>
        <v>408.44835799999993</v>
      </c>
      <c r="J22" s="7">
        <f ca="1">MIN(OFFSET(data!$A$1,$Q22-1,4,$R22,1))</f>
        <v>389.19850000000002</v>
      </c>
      <c r="K22" s="10">
        <f ca="1">MAX(OFFSET(data!$A$1,$Q22-1,4,$R22,1))</f>
        <v>409.92239999999998</v>
      </c>
      <c r="L22" s="28"/>
      <c r="N22" t="str">
        <f ca="1">OFFSET(data!$A$1,$Q22-1,0)</f>
        <v>OpenBLAS</v>
      </c>
      <c r="O22">
        <f ca="1">OFFSET(data!$A$1,$Q22-1,1)</f>
        <v>10010</v>
      </c>
      <c r="P22">
        <f ca="1">OFFSET(data!$A$1,$Q22-1,2)</f>
        <v>24</v>
      </c>
      <c r="Q22">
        <f t="shared" si="5"/>
        <v>605</v>
      </c>
      <c r="R22">
        <v>50</v>
      </c>
      <c r="S22">
        <f ca="1">IF(AVERAGE(OFFSET(data!$A$1,$Q22,1,$R22-1,1))=O22,1,0)</f>
        <v>1</v>
      </c>
      <c r="T22">
        <f ca="1">IF(AVERAGE(OFFSET(data!$A$1,$Q22,2,$R22-1,1))=P22,1,0)</f>
        <v>1</v>
      </c>
    </row>
    <row r="23" spans="1:20" x14ac:dyDescent="0.15">
      <c r="A23" s="1" t="str">
        <f t="shared" ca="1" si="0"/>
        <v>IntelMKL002500001</v>
      </c>
      <c r="B23" s="18" t="str">
        <f t="shared" ca="1" si="1"/>
        <v>IntelMKL</v>
      </c>
      <c r="C23" s="19">
        <f t="shared" ca="1" si="2"/>
        <v>2500</v>
      </c>
      <c r="D23" s="20">
        <f t="shared" ca="1" si="3"/>
        <v>1</v>
      </c>
      <c r="E23" s="18">
        <f ca="1">AVERAGE(OFFSET(data!$A$1,$Q23-1,3,$R23,1))</f>
        <v>0.71589999999999998</v>
      </c>
      <c r="F23" s="19">
        <f ca="1">MIN(OFFSET(data!$A$1,$Q23-1,3,$R23,1))</f>
        <v>0.71509999999999996</v>
      </c>
      <c r="G23" s="19">
        <f ca="1">MAX(OFFSET(data!$A$1,$Q23-1,3,$R23,1))</f>
        <v>0.7177</v>
      </c>
      <c r="H23" s="21">
        <f t="shared" ca="1" si="4"/>
        <v>3.6317921497416492E-3</v>
      </c>
      <c r="I23" s="18">
        <f ca="1">AVERAGE(OFFSET(data!$A$1,$Q23-1,4,$R23,1))</f>
        <v>43.650559999999999</v>
      </c>
      <c r="J23" s="19">
        <f ca="1">MIN(OFFSET(data!$A$1,$Q23-1,4,$R23,1))</f>
        <v>43.5411</v>
      </c>
      <c r="K23" s="20">
        <f ca="1">MAX(OFFSET(data!$A$1,$Q23-1,4,$R23,1))</f>
        <v>43.697899999999997</v>
      </c>
      <c r="L23" s="28"/>
      <c r="N23" t="str">
        <f ca="1">OFFSET(data!$A$1,$Q23-1,0)</f>
        <v>IntelMKL</v>
      </c>
      <c r="O23">
        <f ca="1">OFFSET(data!$A$1,$Q23-1,1)</f>
        <v>2500</v>
      </c>
      <c r="P23">
        <f ca="1">OFFSET(data!$A$1,$Q23-1,2)</f>
        <v>1</v>
      </c>
      <c r="Q23">
        <v>660</v>
      </c>
      <c r="R23">
        <v>5</v>
      </c>
      <c r="S23">
        <f ca="1">IF(AVERAGE(OFFSET(data!$A$1,$Q23,1,$R23-1,1))=O23,1,0)</f>
        <v>1</v>
      </c>
      <c r="T23">
        <f ca="1">IF(AVERAGE(OFFSET(data!$A$1,$Q23,2,$R23-1,1))=P23,1,0)</f>
        <v>1</v>
      </c>
    </row>
    <row r="24" spans="1:20" x14ac:dyDescent="0.15">
      <c r="A24" s="1" t="str">
        <f t="shared" ca="1" si="0"/>
        <v>IntelMKL002500023</v>
      </c>
      <c r="B24" s="4" t="str">
        <f t="shared" ca="1" si="1"/>
        <v>IntelMKL</v>
      </c>
      <c r="C24" s="3">
        <f t="shared" ca="1" si="2"/>
        <v>2500</v>
      </c>
      <c r="D24" s="9">
        <f t="shared" ca="1" si="3"/>
        <v>23</v>
      </c>
      <c r="E24" s="4">
        <f ca="1">AVERAGE(OFFSET(data!$A$1,$Q24-1,3,$R24,1))</f>
        <v>4.8354000000000008E-2</v>
      </c>
      <c r="F24" s="3">
        <f ca="1">MIN(OFFSET(data!$A$1,$Q24-1,3,$R24,1))</f>
        <v>4.5999999999999999E-2</v>
      </c>
      <c r="G24" s="3">
        <f ca="1">MAX(OFFSET(data!$A$1,$Q24-1,3,$R24,1))</f>
        <v>5.0900000000000001E-2</v>
      </c>
      <c r="H24" s="5">
        <f t="shared" ca="1" si="4"/>
        <v>0.10133598047731317</v>
      </c>
      <c r="I24" s="4">
        <f ca="1">AVERAGE(OFFSET(data!$A$1,$Q24-1,4,$R24,1))</f>
        <v>646.70150799999999</v>
      </c>
      <c r="J24" s="3">
        <f ca="1">MIN(OFFSET(data!$A$1,$Q24-1,4,$R24,1))</f>
        <v>613.53909999999996</v>
      </c>
      <c r="K24" s="9">
        <f ca="1">MAX(OFFSET(data!$A$1,$Q24-1,4,$R24,1))</f>
        <v>678.66909999999996</v>
      </c>
      <c r="L24" s="28"/>
      <c r="N24" t="str">
        <f ca="1">OFFSET(data!$A$1,$Q24-1,0)</f>
        <v>IntelMKL</v>
      </c>
      <c r="O24">
        <f ca="1">OFFSET(data!$A$1,$Q24-1,1)</f>
        <v>2500</v>
      </c>
      <c r="P24">
        <f ca="1">OFFSET(data!$A$1,$Q24-1,2)</f>
        <v>23</v>
      </c>
      <c r="Q24">
        <f t="shared" ref="Q24:Q40" si="6">Q23+R23+1</f>
        <v>666</v>
      </c>
      <c r="R24">
        <v>50</v>
      </c>
      <c r="S24">
        <f ca="1">IF(AVERAGE(OFFSET(data!$A$1,$Q24,1,$R24-1,1))=O24,1,0)</f>
        <v>1</v>
      </c>
      <c r="T24">
        <f ca="1">IF(AVERAGE(OFFSET(data!$A$1,$Q24,2,$R24-1,1))=P24,1,0)</f>
        <v>1</v>
      </c>
    </row>
    <row r="25" spans="1:20" x14ac:dyDescent="0.15">
      <c r="A25" s="1" t="str">
        <f t="shared" ca="1" si="0"/>
        <v>IntelMKL002500024</v>
      </c>
      <c r="B25" s="4" t="str">
        <f t="shared" ca="1" si="1"/>
        <v>IntelMKL</v>
      </c>
      <c r="C25" s="3">
        <f t="shared" ca="1" si="2"/>
        <v>2500</v>
      </c>
      <c r="D25" s="9">
        <f t="shared" ca="1" si="3"/>
        <v>24</v>
      </c>
      <c r="E25" s="4">
        <f ca="1">AVERAGE(OFFSET(data!$A$1,$Q25-1,3,$R25,1))</f>
        <v>4.9898000000000005E-2</v>
      </c>
      <c r="F25" s="3">
        <f ca="1">MIN(OFFSET(data!$A$1,$Q25-1,3,$R25,1))</f>
        <v>4.9700000000000001E-2</v>
      </c>
      <c r="G25" s="3">
        <f ca="1">MAX(OFFSET(data!$A$1,$Q25-1,3,$R25,1))</f>
        <v>5.04E-2</v>
      </c>
      <c r="H25" s="5">
        <f t="shared" ca="1" si="4"/>
        <v>1.4028618381498239E-2</v>
      </c>
      <c r="I25" s="4">
        <f ca="1">AVERAGE(OFFSET(data!$A$1,$Q25-1,4,$R25,1))</f>
        <v>626.27330600000016</v>
      </c>
      <c r="J25" s="3">
        <f ca="1">MIN(OFFSET(data!$A$1,$Q25-1,4,$R25,1))</f>
        <v>620.03970000000004</v>
      </c>
      <c r="K25" s="9">
        <f ca="1">MAX(OFFSET(data!$A$1,$Q25-1,4,$R25,1))</f>
        <v>628.86120000000005</v>
      </c>
      <c r="L25" s="28"/>
      <c r="N25" t="str">
        <f ca="1">OFFSET(data!$A$1,$Q25-1,0)</f>
        <v>IntelMKL</v>
      </c>
      <c r="O25">
        <f ca="1">OFFSET(data!$A$1,$Q25-1,1)</f>
        <v>2500</v>
      </c>
      <c r="P25">
        <f ca="1">OFFSET(data!$A$1,$Q25-1,2)</f>
        <v>24</v>
      </c>
      <c r="Q25">
        <f t="shared" si="6"/>
        <v>717</v>
      </c>
      <c r="R25">
        <v>50</v>
      </c>
      <c r="S25">
        <f ca="1">IF(AVERAGE(OFFSET(data!$A$1,$Q25,1,$R25-1,1))=O25,1,0)</f>
        <v>1</v>
      </c>
      <c r="T25">
        <f ca="1">IF(AVERAGE(OFFSET(data!$A$1,$Q25,2,$R25-1,1))=P25,1,0)</f>
        <v>1</v>
      </c>
    </row>
    <row r="26" spans="1:20" x14ac:dyDescent="0.15">
      <c r="A26" s="1" t="str">
        <f t="shared" ca="1" si="0"/>
        <v>IntelMKL002505001</v>
      </c>
      <c r="B26" s="4" t="str">
        <f t="shared" ca="1" si="1"/>
        <v>IntelMKL</v>
      </c>
      <c r="C26" s="3">
        <f t="shared" ca="1" si="2"/>
        <v>2505</v>
      </c>
      <c r="D26" s="9">
        <f t="shared" ca="1" si="3"/>
        <v>1</v>
      </c>
      <c r="E26" s="4">
        <f ca="1">AVERAGE(OFFSET(data!$A$1,$Q26-1,3,$R26,1))</f>
        <v>0.71693999999999991</v>
      </c>
      <c r="F26" s="3">
        <f ca="1">MIN(OFFSET(data!$A$1,$Q26-1,3,$R26,1))</f>
        <v>0.71650000000000003</v>
      </c>
      <c r="G26" s="3">
        <f ca="1">MAX(OFFSET(data!$A$1,$Q26-1,3,$R26,1))</f>
        <v>0.71730000000000005</v>
      </c>
      <c r="H26" s="5">
        <f t="shared" ca="1" si="4"/>
        <v>1.1158534884370002E-3</v>
      </c>
      <c r="I26" s="4">
        <f ca="1">AVERAGE(OFFSET(data!$A$1,$Q26-1,4,$R26,1))</f>
        <v>43.849400000000003</v>
      </c>
      <c r="J26" s="3">
        <f ca="1">MIN(OFFSET(data!$A$1,$Q26-1,4,$R26,1))</f>
        <v>43.8309</v>
      </c>
      <c r="K26" s="9">
        <f ca="1">MAX(OFFSET(data!$A$1,$Q26-1,4,$R26,1))</f>
        <v>43.874400000000001</v>
      </c>
      <c r="L26" s="28"/>
      <c r="N26" t="str">
        <f ca="1">OFFSET(data!$A$1,$Q26-1,0)</f>
        <v>IntelMKL</v>
      </c>
      <c r="O26">
        <f ca="1">OFFSET(data!$A$1,$Q26-1,1)</f>
        <v>2505</v>
      </c>
      <c r="P26">
        <f ca="1">OFFSET(data!$A$1,$Q26-1,2)</f>
        <v>1</v>
      </c>
      <c r="Q26">
        <f t="shared" si="6"/>
        <v>768</v>
      </c>
      <c r="R26">
        <v>5</v>
      </c>
      <c r="S26">
        <f ca="1">IF(AVERAGE(OFFSET(data!$A$1,$Q26,1,$R26-1,1))=O26,1,0)</f>
        <v>1</v>
      </c>
      <c r="T26">
        <f ca="1">IF(AVERAGE(OFFSET(data!$A$1,$Q26,2,$R26-1,1))=P26,1,0)</f>
        <v>1</v>
      </c>
    </row>
    <row r="27" spans="1:20" x14ac:dyDescent="0.15">
      <c r="A27" s="1" t="str">
        <f t="shared" ca="1" si="0"/>
        <v>IntelMKL002505023</v>
      </c>
      <c r="B27" s="4" t="str">
        <f t="shared" ca="1" si="1"/>
        <v>IntelMKL</v>
      </c>
      <c r="C27" s="3">
        <f t="shared" ca="1" si="2"/>
        <v>2505</v>
      </c>
      <c r="D27" s="9">
        <f t="shared" ca="1" si="3"/>
        <v>23</v>
      </c>
      <c r="E27" s="4">
        <f ca="1">AVERAGE(OFFSET(data!$A$1,$Q27-1,3,$R27,1))</f>
        <v>4.9773999999999964E-2</v>
      </c>
      <c r="F27" s="3">
        <f ca="1">MIN(OFFSET(data!$A$1,$Q27-1,3,$R27,1))</f>
        <v>4.7E-2</v>
      </c>
      <c r="G27" s="3">
        <f ca="1">MAX(OFFSET(data!$A$1,$Q27-1,3,$R27,1))</f>
        <v>5.2200000000000003E-2</v>
      </c>
      <c r="H27" s="5">
        <f t="shared" ca="1" si="4"/>
        <v>0.1044722144091294</v>
      </c>
      <c r="I27" s="4">
        <f ca="1">AVERAGE(OFFSET(data!$A$1,$Q27-1,4,$R27,1))</f>
        <v>632.12513199999989</v>
      </c>
      <c r="J27" s="3">
        <f ca="1">MIN(OFFSET(data!$A$1,$Q27-1,4,$R27,1))</f>
        <v>602.55830000000003</v>
      </c>
      <c r="K27" s="9">
        <f ca="1">MAX(OFFSET(data!$A$1,$Q27-1,4,$R27,1))</f>
        <v>668.84820000000002</v>
      </c>
      <c r="L27" s="28"/>
      <c r="N27" t="str">
        <f ca="1">OFFSET(data!$A$1,$Q27-1,0)</f>
        <v>IntelMKL</v>
      </c>
      <c r="O27">
        <f ca="1">OFFSET(data!$A$1,$Q27-1,1)</f>
        <v>2505</v>
      </c>
      <c r="P27">
        <f ca="1">OFFSET(data!$A$1,$Q27-1,2)</f>
        <v>23</v>
      </c>
      <c r="Q27">
        <f t="shared" si="6"/>
        <v>774</v>
      </c>
      <c r="R27">
        <v>50</v>
      </c>
      <c r="S27">
        <f ca="1">IF(AVERAGE(OFFSET(data!$A$1,$Q27,1,$R27-1,1))=O27,1,0)</f>
        <v>1</v>
      </c>
      <c r="T27">
        <f ca="1">IF(AVERAGE(OFFSET(data!$A$1,$Q27,2,$R27-1,1))=P27,1,0)</f>
        <v>1</v>
      </c>
    </row>
    <row r="28" spans="1:20" x14ac:dyDescent="0.15">
      <c r="A28" s="1" t="str">
        <f t="shared" ca="1" si="0"/>
        <v>IntelMKL002505024</v>
      </c>
      <c r="B28" s="4" t="str">
        <f t="shared" ca="1" si="1"/>
        <v>IntelMKL</v>
      </c>
      <c r="C28" s="3">
        <f t="shared" ca="1" si="2"/>
        <v>2505</v>
      </c>
      <c r="D28" s="9">
        <f t="shared" ca="1" si="3"/>
        <v>24</v>
      </c>
      <c r="E28" s="4">
        <f ca="1">AVERAGE(OFFSET(data!$A$1,$Q28-1,3,$R28,1))</f>
        <v>4.9728000000000015E-2</v>
      </c>
      <c r="F28" s="3">
        <f ca="1">MIN(OFFSET(data!$A$1,$Q28-1,3,$R28,1))</f>
        <v>4.9099999999999998E-2</v>
      </c>
      <c r="G28" s="3">
        <f ca="1">MAX(OFFSET(data!$A$1,$Q28-1,3,$R28,1))</f>
        <v>4.99E-2</v>
      </c>
      <c r="H28" s="5">
        <f t="shared" ca="1" si="4"/>
        <v>1.6087516087516126E-2</v>
      </c>
      <c r="I28" s="4">
        <f ca="1">AVERAGE(OFFSET(data!$A$1,$Q28-1,4,$R28,1))</f>
        <v>632.13085399999989</v>
      </c>
      <c r="J28" s="3">
        <f ca="1">MIN(OFFSET(data!$A$1,$Q28-1,4,$R28,1))</f>
        <v>629.82820000000004</v>
      </c>
      <c r="K28" s="9">
        <f ca="1">MAX(OFFSET(data!$A$1,$Q28-1,4,$R28,1))</f>
        <v>640.2174</v>
      </c>
      <c r="L28" s="28"/>
      <c r="N28" t="str">
        <f ca="1">OFFSET(data!$A$1,$Q28-1,0)</f>
        <v>IntelMKL</v>
      </c>
      <c r="O28">
        <f ca="1">OFFSET(data!$A$1,$Q28-1,1)</f>
        <v>2505</v>
      </c>
      <c r="P28">
        <f ca="1">OFFSET(data!$A$1,$Q28-1,2)</f>
        <v>24</v>
      </c>
      <c r="Q28">
        <f t="shared" si="6"/>
        <v>825</v>
      </c>
      <c r="R28">
        <v>50</v>
      </c>
      <c r="S28">
        <f ca="1">IF(AVERAGE(OFFSET(data!$A$1,$Q28,1,$R28-1,1))=O28,1,0)</f>
        <v>1</v>
      </c>
      <c r="T28">
        <f ca="1">IF(AVERAGE(OFFSET(data!$A$1,$Q28,2,$R28-1,1))=P28,1,0)</f>
        <v>1</v>
      </c>
    </row>
    <row r="29" spans="1:20" x14ac:dyDescent="0.15">
      <c r="A29" s="1" t="str">
        <f t="shared" ca="1" si="0"/>
        <v>IntelMKL002510001</v>
      </c>
      <c r="B29" s="4" t="str">
        <f t="shared" ca="1" si="1"/>
        <v>IntelMKL</v>
      </c>
      <c r="C29" s="3">
        <f t="shared" ca="1" si="2"/>
        <v>2510</v>
      </c>
      <c r="D29" s="9">
        <f t="shared" ca="1" si="3"/>
        <v>1</v>
      </c>
      <c r="E29" s="4">
        <f ca="1">AVERAGE(OFFSET(data!$A$1,$Q29-1,3,$R29,1))</f>
        <v>0.7150399999999999</v>
      </c>
      <c r="F29" s="3">
        <f ca="1">MIN(OFFSET(data!$A$1,$Q29-1,3,$R29,1))</f>
        <v>0.71450000000000002</v>
      </c>
      <c r="G29" s="3">
        <f ca="1">MAX(OFFSET(data!$A$1,$Q29-1,3,$R29,1))</f>
        <v>0.71560000000000001</v>
      </c>
      <c r="H29" s="5">
        <f t="shared" ca="1" si="4"/>
        <v>1.5383754754978603E-3</v>
      </c>
      <c r="I29" s="4">
        <f ca="1">AVERAGE(OFFSET(data!$A$1,$Q29-1,4,$R29,1))</f>
        <v>44.229420000000005</v>
      </c>
      <c r="J29" s="3">
        <f ca="1">MIN(OFFSET(data!$A$1,$Q29-1,4,$R29,1))</f>
        <v>44.194800000000001</v>
      </c>
      <c r="K29" s="9">
        <f ca="1">MAX(OFFSET(data!$A$1,$Q29-1,4,$R29,1))</f>
        <v>44.262999999999998</v>
      </c>
      <c r="L29" s="28"/>
      <c r="N29" t="str">
        <f ca="1">OFFSET(data!$A$1,$Q29-1,0)</f>
        <v>IntelMKL</v>
      </c>
      <c r="O29">
        <f ca="1">OFFSET(data!$A$1,$Q29-1,1)</f>
        <v>2510</v>
      </c>
      <c r="P29">
        <f ca="1">OFFSET(data!$A$1,$Q29-1,2)</f>
        <v>1</v>
      </c>
      <c r="Q29">
        <f t="shared" si="6"/>
        <v>876</v>
      </c>
      <c r="R29">
        <v>5</v>
      </c>
      <c r="S29">
        <f ca="1">IF(AVERAGE(OFFSET(data!$A$1,$Q29,1,$R29-1,1))=O29,1,0)</f>
        <v>1</v>
      </c>
      <c r="T29">
        <f ca="1">IF(AVERAGE(OFFSET(data!$A$1,$Q29,2,$R29-1,1))=P29,1,0)</f>
        <v>1</v>
      </c>
    </row>
    <row r="30" spans="1:20" x14ac:dyDescent="0.15">
      <c r="A30" s="1" t="str">
        <f t="shared" ca="1" si="0"/>
        <v>IntelMKL002510023</v>
      </c>
      <c r="B30" s="4" t="str">
        <f t="shared" ca="1" si="1"/>
        <v>IntelMKL</v>
      </c>
      <c r="C30" s="3">
        <f t="shared" ca="1" si="2"/>
        <v>2510</v>
      </c>
      <c r="D30" s="9">
        <f t="shared" ca="1" si="3"/>
        <v>23</v>
      </c>
      <c r="E30" s="4">
        <f ca="1">AVERAGE(OFFSET(data!$A$1,$Q30-1,3,$R30,1))</f>
        <v>4.7104E-2</v>
      </c>
      <c r="F30" s="3">
        <f ca="1">MIN(OFFSET(data!$A$1,$Q30-1,3,$R30,1))</f>
        <v>4.4299999999999999E-2</v>
      </c>
      <c r="G30" s="3">
        <f ca="1">MAX(OFFSET(data!$A$1,$Q30-1,3,$R30,1))</f>
        <v>4.99E-2</v>
      </c>
      <c r="H30" s="5">
        <f t="shared" ca="1" si="4"/>
        <v>0.11888586956521741</v>
      </c>
      <c r="I30" s="4">
        <f ca="1">AVERAGE(OFFSET(data!$A$1,$Q30-1,4,$R30,1))</f>
        <v>672.03744000000017</v>
      </c>
      <c r="J30" s="3">
        <f ca="1">MIN(OFFSET(data!$A$1,$Q30-1,4,$R30,1))</f>
        <v>633.68340000000001</v>
      </c>
      <c r="K30" s="9">
        <f ca="1">MAX(OFFSET(data!$A$1,$Q30-1,4,$R30,1))</f>
        <v>714.43259999999998</v>
      </c>
      <c r="L30" s="28"/>
      <c r="N30" t="str">
        <f ca="1">OFFSET(data!$A$1,$Q30-1,0)</f>
        <v>IntelMKL</v>
      </c>
      <c r="O30">
        <f ca="1">OFFSET(data!$A$1,$Q30-1,1)</f>
        <v>2510</v>
      </c>
      <c r="P30">
        <f ca="1">OFFSET(data!$A$1,$Q30-1,2)</f>
        <v>23</v>
      </c>
      <c r="Q30">
        <f t="shared" si="6"/>
        <v>882</v>
      </c>
      <c r="R30">
        <v>50</v>
      </c>
      <c r="S30">
        <f ca="1">IF(AVERAGE(OFFSET(data!$A$1,$Q30,1,$R30-1,1))=O30,1,0)</f>
        <v>1</v>
      </c>
      <c r="T30">
        <f ca="1">IF(AVERAGE(OFFSET(data!$A$1,$Q30,2,$R30-1,1))=P30,1,0)</f>
        <v>1</v>
      </c>
    </row>
    <row r="31" spans="1:20" x14ac:dyDescent="0.15">
      <c r="A31" s="1" t="str">
        <f t="shared" ca="1" si="0"/>
        <v>IntelMKL002510024</v>
      </c>
      <c r="B31" s="4" t="str">
        <f t="shared" ca="1" si="1"/>
        <v>IntelMKL</v>
      </c>
      <c r="C31" s="3">
        <f t="shared" ca="1" si="2"/>
        <v>2510</v>
      </c>
      <c r="D31" s="9">
        <f t="shared" ca="1" si="3"/>
        <v>24</v>
      </c>
      <c r="E31" s="4">
        <f ca="1">AVERAGE(OFFSET(data!$A$1,$Q31-1,3,$R31,1))</f>
        <v>4.9067999999999973E-2</v>
      </c>
      <c r="F31" s="3">
        <f ca="1">MIN(OFFSET(data!$A$1,$Q31-1,3,$R31,1))</f>
        <v>4.7899999999999998E-2</v>
      </c>
      <c r="G31" s="3">
        <f ca="1">MAX(OFFSET(data!$A$1,$Q31-1,3,$R31,1))</f>
        <v>5.74E-2</v>
      </c>
      <c r="H31" s="5">
        <f t="shared" ca="1" si="4"/>
        <v>0.19360886932420329</v>
      </c>
      <c r="I31" s="4">
        <f ca="1">AVERAGE(OFFSET(data!$A$1,$Q31-1,4,$R31,1))</f>
        <v>644.84484799999996</v>
      </c>
      <c r="J31" s="3">
        <f ca="1">MIN(OFFSET(data!$A$1,$Q31-1,4,$R31,1))</f>
        <v>550.64859999999999</v>
      </c>
      <c r="K31" s="9">
        <f ca="1">MAX(OFFSET(data!$A$1,$Q31-1,4,$R31,1))</f>
        <v>660.50919999999996</v>
      </c>
      <c r="L31" s="28"/>
      <c r="N31" t="str">
        <f ca="1">OFFSET(data!$A$1,$Q31-1,0)</f>
        <v>IntelMKL</v>
      </c>
      <c r="O31">
        <f ca="1">OFFSET(data!$A$1,$Q31-1,1)</f>
        <v>2510</v>
      </c>
      <c r="P31">
        <f ca="1">OFFSET(data!$A$1,$Q31-1,2)</f>
        <v>24</v>
      </c>
      <c r="Q31">
        <f t="shared" si="6"/>
        <v>933</v>
      </c>
      <c r="R31">
        <v>50</v>
      </c>
      <c r="S31">
        <f ca="1">IF(AVERAGE(OFFSET(data!$A$1,$Q31,1,$R31-1,1))=O31,1,0)</f>
        <v>1</v>
      </c>
      <c r="T31">
        <f ca="1">IF(AVERAGE(OFFSET(data!$A$1,$Q31,2,$R31-1,1))=P31,1,0)</f>
        <v>1</v>
      </c>
    </row>
    <row r="32" spans="1:20" x14ac:dyDescent="0.15">
      <c r="A32" s="1" t="str">
        <f t="shared" ca="1" si="0"/>
        <v>IntelMKL010000001</v>
      </c>
      <c r="B32" s="4" t="str">
        <f t="shared" ca="1" si="1"/>
        <v>IntelMKL</v>
      </c>
      <c r="C32" s="3">
        <f t="shared" ca="1" si="2"/>
        <v>10000</v>
      </c>
      <c r="D32" s="9">
        <f t="shared" ca="1" si="3"/>
        <v>1</v>
      </c>
      <c r="E32" s="4">
        <f ca="1">AVERAGE(OFFSET(data!$A$1,$Q32-1,3,$R32,1))</f>
        <v>43.884100000000004</v>
      </c>
      <c r="F32" s="3">
        <f ca="1">MIN(OFFSET(data!$A$1,$Q32-1,3,$R32,1))</f>
        <v>43.868600000000001</v>
      </c>
      <c r="G32" s="3">
        <f ca="1">MAX(OFFSET(data!$A$1,$Q32-1,3,$R32,1))</f>
        <v>43.912199999999999</v>
      </c>
      <c r="H32" s="5">
        <f t="shared" ca="1" si="4"/>
        <v>9.9352612905352633E-4</v>
      </c>
      <c r="I32" s="4">
        <f ca="1">AVERAGE(OFFSET(data!$A$1,$Q32-1,4,$R32,1))</f>
        <v>45.574599999999997</v>
      </c>
      <c r="J32" s="3">
        <f ca="1">MIN(OFFSET(data!$A$1,$Q32-1,4,$R32,1))</f>
        <v>45.545400000000001</v>
      </c>
      <c r="K32" s="9">
        <f ca="1">MAX(OFFSET(data!$A$1,$Q32-1,4,$R32,1))</f>
        <v>45.590699999999998</v>
      </c>
      <c r="L32" s="28"/>
      <c r="N32" t="str">
        <f ca="1">OFFSET(data!$A$1,$Q32-1,0)</f>
        <v>IntelMKL</v>
      </c>
      <c r="O32">
        <f ca="1">OFFSET(data!$A$1,$Q32-1,1)</f>
        <v>10000</v>
      </c>
      <c r="P32">
        <f ca="1">OFFSET(data!$A$1,$Q32-1,2)</f>
        <v>1</v>
      </c>
      <c r="Q32">
        <f t="shared" si="6"/>
        <v>984</v>
      </c>
      <c r="R32">
        <v>5</v>
      </c>
      <c r="S32">
        <f ca="1">IF(AVERAGE(OFFSET(data!$A$1,$Q32,1,$R32-1,1))=O32,1,0)</f>
        <v>1</v>
      </c>
      <c r="T32">
        <f ca="1">IF(AVERAGE(OFFSET(data!$A$1,$Q32,2,$R32-1,1))=P32,1,0)</f>
        <v>1</v>
      </c>
    </row>
    <row r="33" spans="1:20" x14ac:dyDescent="0.15">
      <c r="A33" s="1" t="str">
        <f t="shared" ca="1" si="0"/>
        <v>IntelMKL010000023</v>
      </c>
      <c r="B33" s="4" t="str">
        <f t="shared" ca="1" si="1"/>
        <v>IntelMKL</v>
      </c>
      <c r="C33" s="3">
        <f t="shared" ca="1" si="2"/>
        <v>10000</v>
      </c>
      <c r="D33" s="9">
        <f t="shared" ca="1" si="3"/>
        <v>23</v>
      </c>
      <c r="E33" s="4">
        <f ca="1">AVERAGE(OFFSET(data!$A$1,$Q33-1,3,$R33,1))</f>
        <v>2.8260500000000004</v>
      </c>
      <c r="F33" s="3">
        <f ca="1">MIN(OFFSET(data!$A$1,$Q33-1,3,$R33,1))</f>
        <v>2.7625000000000002</v>
      </c>
      <c r="G33" s="3">
        <f ca="1">MAX(OFFSET(data!$A$1,$Q33-1,3,$R33,1))</f>
        <v>2.8603000000000001</v>
      </c>
      <c r="H33" s="5">
        <f t="shared" ca="1" si="4"/>
        <v>3.4606606394083569E-2</v>
      </c>
      <c r="I33" s="4">
        <f ca="1">AVERAGE(OFFSET(data!$A$1,$Q33-1,4,$R33,1))</f>
        <v>707.77485799999977</v>
      </c>
      <c r="J33" s="3">
        <f ca="1">MIN(OFFSET(data!$A$1,$Q33-1,4,$R33,1))</f>
        <v>699.23299999999995</v>
      </c>
      <c r="K33" s="9">
        <f ca="1">MAX(OFFSET(data!$A$1,$Q33-1,4,$R33,1))</f>
        <v>723.97529999999995</v>
      </c>
      <c r="L33" s="28"/>
      <c r="N33" t="str">
        <f ca="1">OFFSET(data!$A$1,$Q33-1,0)</f>
        <v>IntelMKL</v>
      </c>
      <c r="O33">
        <f ca="1">OFFSET(data!$A$1,$Q33-1,1)</f>
        <v>10000</v>
      </c>
      <c r="P33">
        <f ca="1">OFFSET(data!$A$1,$Q33-1,2)</f>
        <v>23</v>
      </c>
      <c r="Q33">
        <f t="shared" si="6"/>
        <v>990</v>
      </c>
      <c r="R33">
        <v>50</v>
      </c>
      <c r="S33">
        <f ca="1">IF(AVERAGE(OFFSET(data!$A$1,$Q33,1,$R33-1,1))=O33,1,0)</f>
        <v>1</v>
      </c>
      <c r="T33">
        <f ca="1">IF(AVERAGE(OFFSET(data!$A$1,$Q33,2,$R33-1,1))=P33,1,0)</f>
        <v>1</v>
      </c>
    </row>
    <row r="34" spans="1:20" x14ac:dyDescent="0.15">
      <c r="A34" s="1" t="str">
        <f t="shared" ca="1" si="0"/>
        <v>IntelMKL010000024</v>
      </c>
      <c r="B34" s="4" t="str">
        <f t="shared" ca="1" si="1"/>
        <v>IntelMKL</v>
      </c>
      <c r="C34" s="3">
        <f t="shared" ca="1" si="2"/>
        <v>10000</v>
      </c>
      <c r="D34" s="9">
        <f t="shared" ca="1" si="3"/>
        <v>24</v>
      </c>
      <c r="E34" s="4">
        <f ca="1">AVERAGE(OFFSET(data!$A$1,$Q34-1,3,$R34,1))</f>
        <v>2.8202760000000002</v>
      </c>
      <c r="F34" s="3">
        <f ca="1">MIN(OFFSET(data!$A$1,$Q34-1,3,$R34,1))</f>
        <v>2.8100999999999998</v>
      </c>
      <c r="G34" s="3">
        <f ca="1">MAX(OFFSET(data!$A$1,$Q34-1,3,$R34,1))</f>
        <v>2.8832</v>
      </c>
      <c r="H34" s="5">
        <f t="shared" ca="1" si="4"/>
        <v>2.5919449018464914E-2</v>
      </c>
      <c r="I34" s="4">
        <f ca="1">AVERAGE(OFFSET(data!$A$1,$Q34-1,4,$R34,1))</f>
        <v>709.15894200000014</v>
      </c>
      <c r="J34" s="3">
        <f ca="1">MIN(OFFSET(data!$A$1,$Q34-1,4,$R34,1))</f>
        <v>693.68330000000003</v>
      </c>
      <c r="K34" s="9">
        <f ca="1">MAX(OFFSET(data!$A$1,$Q34-1,4,$R34,1))</f>
        <v>711.72349999999994</v>
      </c>
      <c r="L34" s="28"/>
      <c r="N34" t="str">
        <f ca="1">OFFSET(data!$A$1,$Q34-1,0)</f>
        <v>IntelMKL</v>
      </c>
      <c r="O34">
        <f ca="1">OFFSET(data!$A$1,$Q34-1,1)</f>
        <v>10000</v>
      </c>
      <c r="P34">
        <f ca="1">OFFSET(data!$A$1,$Q34-1,2)</f>
        <v>24</v>
      </c>
      <c r="Q34">
        <f t="shared" si="6"/>
        <v>1041</v>
      </c>
      <c r="R34">
        <v>50</v>
      </c>
      <c r="S34">
        <f ca="1">IF(AVERAGE(OFFSET(data!$A$1,$Q34,1,$R34-1,1))=O34,1,0)</f>
        <v>1</v>
      </c>
      <c r="T34">
        <f ca="1">IF(AVERAGE(OFFSET(data!$A$1,$Q34,2,$R34-1,1))=P34,1,0)</f>
        <v>1</v>
      </c>
    </row>
    <row r="35" spans="1:20" x14ac:dyDescent="0.15">
      <c r="A35" s="1" t="str">
        <f t="shared" ca="1" si="0"/>
        <v>IntelMKL010005001</v>
      </c>
      <c r="B35" s="4" t="str">
        <f t="shared" ca="1" si="1"/>
        <v>IntelMKL</v>
      </c>
      <c r="C35" s="3">
        <f t="shared" ca="1" si="2"/>
        <v>10005</v>
      </c>
      <c r="D35" s="9">
        <f t="shared" ca="1" si="3"/>
        <v>1</v>
      </c>
      <c r="E35" s="4">
        <f ca="1">AVERAGE(OFFSET(data!$A$1,$Q35-1,3,$R35,1))</f>
        <v>44.114199999999997</v>
      </c>
      <c r="F35" s="3">
        <f ca="1">MIN(OFFSET(data!$A$1,$Q35-1,3,$R35,1))</f>
        <v>44.104999999999997</v>
      </c>
      <c r="G35" s="3">
        <f ca="1">MAX(OFFSET(data!$A$1,$Q35-1,3,$R35,1))</f>
        <v>44.1417</v>
      </c>
      <c r="H35" s="5">
        <f t="shared" ca="1" si="4"/>
        <v>8.3193166826108801E-4</v>
      </c>
      <c r="I35" s="4">
        <f ca="1">AVERAGE(OFFSET(data!$A$1,$Q35-1,4,$R35,1))</f>
        <v>45.404920000000004</v>
      </c>
      <c r="J35" s="3">
        <f ca="1">MIN(OFFSET(data!$A$1,$Q35-1,4,$R35,1))</f>
        <v>45.376600000000003</v>
      </c>
      <c r="K35" s="9">
        <f ca="1">MAX(OFFSET(data!$A$1,$Q35-1,4,$R35,1))</f>
        <v>45.414400000000001</v>
      </c>
      <c r="L35" s="28"/>
      <c r="N35" t="str">
        <f ca="1">OFFSET(data!$A$1,$Q35-1,0)</f>
        <v>IntelMKL</v>
      </c>
      <c r="O35">
        <f ca="1">OFFSET(data!$A$1,$Q35-1,1)</f>
        <v>10005</v>
      </c>
      <c r="P35">
        <f ca="1">OFFSET(data!$A$1,$Q35-1,2)</f>
        <v>1</v>
      </c>
      <c r="Q35">
        <f t="shared" si="6"/>
        <v>1092</v>
      </c>
      <c r="R35">
        <v>5</v>
      </c>
      <c r="S35">
        <f ca="1">IF(AVERAGE(OFFSET(data!$A$1,$Q35,1,$R35-1,1))=O35,1,0)</f>
        <v>1</v>
      </c>
      <c r="T35">
        <f ca="1">IF(AVERAGE(OFFSET(data!$A$1,$Q35,2,$R35-1,1))=P35,1,0)</f>
        <v>1</v>
      </c>
    </row>
    <row r="36" spans="1:20" x14ac:dyDescent="0.15">
      <c r="A36" s="1" t="str">
        <f t="shared" ca="1" si="0"/>
        <v>IntelMKL010005023</v>
      </c>
      <c r="B36" s="4" t="str">
        <f t="shared" ca="1" si="1"/>
        <v>IntelMKL</v>
      </c>
      <c r="C36" s="3">
        <f t="shared" ca="1" si="2"/>
        <v>10005</v>
      </c>
      <c r="D36" s="9">
        <f t="shared" ca="1" si="3"/>
        <v>23</v>
      </c>
      <c r="E36" s="4">
        <f ca="1">AVERAGE(OFFSET(data!$A$1,$Q36-1,3,$R36,1))</f>
        <v>2.8726360000000004</v>
      </c>
      <c r="F36" s="3">
        <f ca="1">MIN(OFFSET(data!$A$1,$Q36-1,3,$R36,1))</f>
        <v>2.8085</v>
      </c>
      <c r="G36" s="3">
        <f ca="1">MAX(OFFSET(data!$A$1,$Q36-1,3,$R36,1))</f>
        <v>2.9077999999999999</v>
      </c>
      <c r="H36" s="5">
        <f t="shared" ca="1" si="4"/>
        <v>3.4567553981778382E-2</v>
      </c>
      <c r="I36" s="4">
        <f ca="1">AVERAGE(OFFSET(data!$A$1,$Q36-1,4,$R36,1))</f>
        <v>697.34124599999996</v>
      </c>
      <c r="J36" s="3">
        <f ca="1">MIN(OFFSET(data!$A$1,$Q36-1,4,$R36,1))</f>
        <v>688.83370000000002</v>
      </c>
      <c r="K36" s="9">
        <f ca="1">MAX(OFFSET(data!$A$1,$Q36-1,4,$R36,1))</f>
        <v>713.18600000000004</v>
      </c>
      <c r="L36" s="28"/>
      <c r="N36" t="str">
        <f ca="1">OFFSET(data!$A$1,$Q36-1,0)</f>
        <v>IntelMKL</v>
      </c>
      <c r="O36">
        <f ca="1">OFFSET(data!$A$1,$Q36-1,1)</f>
        <v>10005</v>
      </c>
      <c r="P36">
        <f ca="1">OFFSET(data!$A$1,$Q36-1,2)</f>
        <v>23</v>
      </c>
      <c r="Q36">
        <f t="shared" si="6"/>
        <v>1098</v>
      </c>
      <c r="R36">
        <v>50</v>
      </c>
      <c r="S36">
        <f ca="1">IF(AVERAGE(OFFSET(data!$A$1,$Q36,1,$R36-1,1))=O36,1,0)</f>
        <v>1</v>
      </c>
      <c r="T36">
        <f ca="1">IF(AVERAGE(OFFSET(data!$A$1,$Q36,2,$R36-1,1))=P36,1,0)</f>
        <v>1</v>
      </c>
    </row>
    <row r="37" spans="1:20" x14ac:dyDescent="0.15">
      <c r="A37" s="1" t="str">
        <f t="shared" ca="1" si="0"/>
        <v>IntelMKL010005024</v>
      </c>
      <c r="B37" s="4" t="str">
        <f t="shared" ca="1" si="1"/>
        <v>IntelMKL</v>
      </c>
      <c r="C37" s="3">
        <f t="shared" ca="1" si="2"/>
        <v>10005</v>
      </c>
      <c r="D37" s="9">
        <f t="shared" ca="1" si="3"/>
        <v>24</v>
      </c>
      <c r="E37" s="4">
        <f ca="1">AVERAGE(OFFSET(data!$A$1,$Q37-1,3,$R37,1))</f>
        <v>2.8049380000000004</v>
      </c>
      <c r="F37" s="3">
        <f ca="1">MIN(OFFSET(data!$A$1,$Q37-1,3,$R37,1))</f>
        <v>2.7862</v>
      </c>
      <c r="G37" s="3">
        <f ca="1">MAX(OFFSET(data!$A$1,$Q37-1,3,$R37,1))</f>
        <v>2.8715999999999999</v>
      </c>
      <c r="H37" s="5">
        <f t="shared" ca="1" si="4"/>
        <v>3.0446305765047182E-2</v>
      </c>
      <c r="I37" s="4">
        <f ca="1">AVERAGE(OFFSET(data!$A$1,$Q37-1,4,$R37,1))</f>
        <v>714.11686199999963</v>
      </c>
      <c r="J37" s="3">
        <f ca="1">MIN(OFFSET(data!$A$1,$Q37-1,4,$R37,1))</f>
        <v>697.52380000000005</v>
      </c>
      <c r="K37" s="9">
        <f ca="1">MAX(OFFSET(data!$A$1,$Q37-1,4,$R37,1))</f>
        <v>718.90009999999995</v>
      </c>
      <c r="L37" s="28"/>
      <c r="N37" t="str">
        <f ca="1">OFFSET(data!$A$1,$Q37-1,0)</f>
        <v>IntelMKL</v>
      </c>
      <c r="O37">
        <f ca="1">OFFSET(data!$A$1,$Q37-1,1)</f>
        <v>10005</v>
      </c>
      <c r="P37">
        <f ca="1">OFFSET(data!$A$1,$Q37-1,2)</f>
        <v>24</v>
      </c>
      <c r="Q37">
        <f t="shared" si="6"/>
        <v>1149</v>
      </c>
      <c r="R37">
        <v>50</v>
      </c>
      <c r="S37">
        <f ca="1">IF(AVERAGE(OFFSET(data!$A$1,$Q37,1,$R37-1,1))=O37,1,0)</f>
        <v>1</v>
      </c>
      <c r="T37">
        <f ca="1">IF(AVERAGE(OFFSET(data!$A$1,$Q37,2,$R37-1,1))=P37,1,0)</f>
        <v>1</v>
      </c>
    </row>
    <row r="38" spans="1:20" x14ac:dyDescent="0.15">
      <c r="A38" s="1" t="str">
        <f t="shared" ca="1" si="0"/>
        <v>IntelMKL010010001</v>
      </c>
      <c r="B38" s="4" t="str">
        <f t="shared" ca="1" si="1"/>
        <v>IntelMKL</v>
      </c>
      <c r="C38" s="3">
        <f t="shared" ca="1" si="2"/>
        <v>10010</v>
      </c>
      <c r="D38" s="9">
        <f t="shared" ca="1" si="3"/>
        <v>1</v>
      </c>
      <c r="E38" s="4">
        <f ca="1">AVERAGE(OFFSET(data!$A$1,$Q38-1,3,$R38,1))</f>
        <v>43.954700000000003</v>
      </c>
      <c r="F38" s="3">
        <f ca="1">MIN(OFFSET(data!$A$1,$Q38-1,3,$R38,1))</f>
        <v>43.936700000000002</v>
      </c>
      <c r="G38" s="3">
        <f ca="1">MAX(OFFSET(data!$A$1,$Q38-1,3,$R38,1))</f>
        <v>43.976300000000002</v>
      </c>
      <c r="H38" s="5">
        <f t="shared" ca="1" si="4"/>
        <v>9.0092754585971641E-4</v>
      </c>
      <c r="I38" s="4">
        <f ca="1">AVERAGE(OFFSET(data!$A$1,$Q38-1,4,$R38,1))</f>
        <v>45.638040000000004</v>
      </c>
      <c r="J38" s="3">
        <f ca="1">MIN(OFFSET(data!$A$1,$Q38-1,4,$R38,1))</f>
        <v>45.615600000000001</v>
      </c>
      <c r="K38" s="9">
        <f ca="1">MAX(OFFSET(data!$A$1,$Q38-1,4,$R38,1))</f>
        <v>45.656700000000001</v>
      </c>
      <c r="L38" s="28"/>
      <c r="N38" t="str">
        <f ca="1">OFFSET(data!$A$1,$Q38-1,0)</f>
        <v>IntelMKL</v>
      </c>
      <c r="O38">
        <f ca="1">OFFSET(data!$A$1,$Q38-1,1)</f>
        <v>10010</v>
      </c>
      <c r="P38">
        <f ca="1">OFFSET(data!$A$1,$Q38-1,2)</f>
        <v>1</v>
      </c>
      <c r="Q38">
        <f t="shared" si="6"/>
        <v>1200</v>
      </c>
      <c r="R38">
        <v>5</v>
      </c>
      <c r="S38">
        <f ca="1">IF(AVERAGE(OFFSET(data!$A$1,$Q38,1,$R38-1,1))=O38,1,0)</f>
        <v>1</v>
      </c>
      <c r="T38">
        <f ca="1">IF(AVERAGE(OFFSET(data!$A$1,$Q38,2,$R38-1,1))=P38,1,0)</f>
        <v>1</v>
      </c>
    </row>
    <row r="39" spans="1:20" x14ac:dyDescent="0.15">
      <c r="A39" s="1" t="str">
        <f t="shared" ca="1" si="0"/>
        <v>IntelMKL010010023</v>
      </c>
      <c r="B39" s="4" t="str">
        <f t="shared" ca="1" si="1"/>
        <v>IntelMKL</v>
      </c>
      <c r="C39" s="3">
        <f t="shared" ca="1" si="2"/>
        <v>10010</v>
      </c>
      <c r="D39" s="9">
        <f t="shared" ca="1" si="3"/>
        <v>23</v>
      </c>
      <c r="E39" s="4">
        <f ca="1">AVERAGE(OFFSET(data!$A$1,$Q39-1,3,$R39,1))</f>
        <v>2.7973940000000006</v>
      </c>
      <c r="F39" s="3">
        <f ca="1">MIN(OFFSET(data!$A$1,$Q39-1,3,$R39,1))</f>
        <v>2.7374000000000001</v>
      </c>
      <c r="G39" s="3">
        <f ca="1">MAX(OFFSET(data!$A$1,$Q39-1,3,$R39,1))</f>
        <v>2.8323</v>
      </c>
      <c r="H39" s="5">
        <f t="shared" ca="1" si="4"/>
        <v>3.392443109551245E-2</v>
      </c>
      <c r="I39" s="4">
        <f ca="1">AVERAGE(OFFSET(data!$A$1,$Q39-1,4,$R39,1))</f>
        <v>717.16851199999974</v>
      </c>
      <c r="J39" s="3">
        <f ca="1">MIN(OFFSET(data!$A$1,$Q39-1,4,$R39,1))</f>
        <v>708.25059999999996</v>
      </c>
      <c r="K39" s="9">
        <f ca="1">MAX(OFFSET(data!$A$1,$Q39-1,4,$R39,1))</f>
        <v>732.81219999999996</v>
      </c>
      <c r="L39" s="28"/>
      <c r="N39" t="str">
        <f ca="1">OFFSET(data!$A$1,$Q39-1,0)</f>
        <v>IntelMKL</v>
      </c>
      <c r="O39">
        <f ca="1">OFFSET(data!$A$1,$Q39-1,1)</f>
        <v>10010</v>
      </c>
      <c r="P39">
        <f ca="1">OFFSET(data!$A$1,$Q39-1,2)</f>
        <v>23</v>
      </c>
      <c r="Q39">
        <f t="shared" si="6"/>
        <v>1206</v>
      </c>
      <c r="R39">
        <v>50</v>
      </c>
      <c r="S39">
        <f ca="1">IF(AVERAGE(OFFSET(data!$A$1,$Q39,1,$R39-1,1))=O39,1,0)</f>
        <v>1</v>
      </c>
      <c r="T39">
        <f ca="1">IF(AVERAGE(OFFSET(data!$A$1,$Q39,2,$R39-1,1))=P39,1,0)</f>
        <v>1</v>
      </c>
    </row>
    <row r="40" spans="1:20" ht="14" thickBot="1" x14ac:dyDescent="0.2">
      <c r="A40" s="1" t="str">
        <f t="shared" ca="1" si="0"/>
        <v>IntelMKL010010024</v>
      </c>
      <c r="B40" s="6" t="str">
        <f t="shared" ca="1" si="1"/>
        <v>IntelMKL</v>
      </c>
      <c r="C40" s="7">
        <f t="shared" ca="1" si="2"/>
        <v>10010</v>
      </c>
      <c r="D40" s="10">
        <f t="shared" ca="1" si="3"/>
        <v>24</v>
      </c>
      <c r="E40" s="6">
        <f ca="1">AVERAGE(OFFSET(data!$A$1,$Q40-1,3,$R40,1))</f>
        <v>2.8078479999999995</v>
      </c>
      <c r="F40" s="7">
        <f ca="1">MIN(OFFSET(data!$A$1,$Q40-1,3,$R40,1))</f>
        <v>2.7980999999999998</v>
      </c>
      <c r="G40" s="7">
        <f ca="1">MAX(OFFSET(data!$A$1,$Q40-1,3,$R40,1))</f>
        <v>2.8734000000000002</v>
      </c>
      <c r="H40" s="8">
        <f t="shared" ca="1" si="4"/>
        <v>2.6817690986121891E-2</v>
      </c>
      <c r="I40" s="6">
        <f ca="1">AVERAGE(OFFSET(data!$A$1,$Q40-1,4,$R40,1))</f>
        <v>714.44295800000009</v>
      </c>
      <c r="J40" s="7">
        <f ca="1">MIN(OFFSET(data!$A$1,$Q40-1,4,$R40,1))</f>
        <v>698.13099999999997</v>
      </c>
      <c r="K40" s="10">
        <f ca="1">MAX(OFFSET(data!$A$1,$Q40-1,4,$R40,1))</f>
        <v>716.92179999999996</v>
      </c>
      <c r="L40" s="28"/>
      <c r="N40" t="str">
        <f ca="1">OFFSET(data!$A$1,$Q40-1,0)</f>
        <v>IntelMKL</v>
      </c>
      <c r="O40">
        <f ca="1">OFFSET(data!$A$1,$Q40-1,1)</f>
        <v>10010</v>
      </c>
      <c r="P40">
        <f ca="1">OFFSET(data!$A$1,$Q40-1,2)</f>
        <v>24</v>
      </c>
      <c r="Q40">
        <f t="shared" si="6"/>
        <v>1257</v>
      </c>
      <c r="R40">
        <v>50</v>
      </c>
      <c r="S40">
        <f ca="1">IF(AVERAGE(OFFSET(data!$A$1,$Q40,1,$R40-1,1))=O40,1,0)</f>
        <v>1</v>
      </c>
      <c r="T40">
        <f ca="1">IF(AVERAGE(OFFSET(data!$A$1,$Q40,2,$R40-1,1))=P40,1,0)</f>
        <v>1</v>
      </c>
    </row>
    <row r="46" spans="1:20" ht="14" thickBot="1" x14ac:dyDescent="0.2"/>
    <row r="47" spans="1:20" ht="14" thickBot="1" x14ac:dyDescent="0.2">
      <c r="D47" s="64" t="s">
        <v>26</v>
      </c>
      <c r="E47" s="65"/>
      <c r="F47" s="66"/>
      <c r="G47" s="67" t="s">
        <v>7</v>
      </c>
      <c r="H47" s="65"/>
      <c r="I47" s="66"/>
    </row>
    <row r="48" spans="1:20" ht="14" thickBot="1" x14ac:dyDescent="0.2">
      <c r="B48" s="46" t="s">
        <v>28</v>
      </c>
      <c r="C48" s="47" t="s">
        <v>29</v>
      </c>
      <c r="D48" s="56">
        <f ca="1">D5</f>
        <v>1</v>
      </c>
      <c r="E48" s="57">
        <f ca="1">D6</f>
        <v>23</v>
      </c>
      <c r="F48" s="58">
        <f ca="1">D7</f>
        <v>24</v>
      </c>
      <c r="G48" s="59">
        <f ca="1">D5</f>
        <v>1</v>
      </c>
      <c r="H48" s="57">
        <f ca="1">D6</f>
        <v>23</v>
      </c>
      <c r="I48" s="58">
        <f ca="1">D7</f>
        <v>24</v>
      </c>
    </row>
    <row r="49" spans="2:16" x14ac:dyDescent="0.15">
      <c r="B49" s="11" t="str">
        <f ca="1">B5</f>
        <v>OpenBLAS</v>
      </c>
      <c r="C49" s="39">
        <f ca="1">C5</f>
        <v>2500</v>
      </c>
      <c r="D49" s="41">
        <f t="shared" ref="D49:D60" ca="1" si="7">VLOOKUP(N49,datatable,8,FALSE)</f>
        <v>1.5841643910019393E-3</v>
      </c>
      <c r="E49" s="32">
        <f t="shared" ref="E49:E60" ca="1" si="8">VLOOKUP(O49,datatable,8,FALSE)</f>
        <v>0.10943454526727789</v>
      </c>
      <c r="F49" s="24">
        <f t="shared" ref="F49:F60" ca="1" si="9">VLOOKUP(P49,datatable,8,FALSE)</f>
        <v>0.11049549336237798</v>
      </c>
      <c r="G49" s="48">
        <f t="shared" ref="G49:G60" ca="1" si="10">VLOOKUP(N49,datatable,9,FALSE)</f>
        <v>23.574080000000002</v>
      </c>
      <c r="H49" s="33">
        <f t="shared" ref="H49:H60" ca="1" si="11">VLOOKUP(O49,datatable,9,FALSE)</f>
        <v>402.915144</v>
      </c>
      <c r="I49" s="34">
        <f t="shared" ref="I49:I60" ca="1" si="12">VLOOKUP(P49,datatable,9,FALSE)</f>
        <v>246.75911199999999</v>
      </c>
      <c r="N49" t="str">
        <f t="shared" ref="N49:N60" ca="1" si="13">$B49 &amp; TEXT($C49,"000000") &amp; TEXT(D$48,"000")</f>
        <v>OpenBLAS002500001</v>
      </c>
      <c r="O49" s="1" t="str">
        <f t="shared" ref="O49:O60" ca="1" si="14">$B49 &amp; TEXT($C49,"000000") &amp; TEXT(E$48,"000")</f>
        <v>OpenBLAS002500023</v>
      </c>
      <c r="P49" s="1" t="str">
        <f t="shared" ref="P49:P60" ca="1" si="15">$B49 &amp; TEXT($C49,"000000") &amp; TEXT(F$48,"000")</f>
        <v>OpenBLAS002500024</v>
      </c>
    </row>
    <row r="50" spans="2:16" x14ac:dyDescent="0.15">
      <c r="B50" s="4" t="str">
        <f ca="1">B8</f>
        <v>OpenBLAS</v>
      </c>
      <c r="C50" s="40">
        <f ca="1">C8</f>
        <v>2505</v>
      </c>
      <c r="D50" s="42">
        <f t="shared" ca="1" si="7"/>
        <v>3.8600293956083786E-3</v>
      </c>
      <c r="E50" s="30">
        <f t="shared" ca="1" si="8"/>
        <v>8.6401870346369827E-2</v>
      </c>
      <c r="F50" s="5">
        <f t="shared" ca="1" si="9"/>
        <v>4.9639110252488593E-2</v>
      </c>
      <c r="G50" s="49">
        <f t="shared" ca="1" si="10"/>
        <v>23.336819999999999</v>
      </c>
      <c r="H50" s="31">
        <f t="shared" ca="1" si="11"/>
        <v>400.04002000000008</v>
      </c>
      <c r="I50" s="35">
        <f t="shared" ca="1" si="12"/>
        <v>421.76911199999989</v>
      </c>
      <c r="N50" s="1" t="str">
        <f t="shared" ca="1" si="13"/>
        <v>OpenBLAS002505001</v>
      </c>
      <c r="O50" s="1" t="str">
        <f t="shared" ca="1" si="14"/>
        <v>OpenBLAS002505023</v>
      </c>
      <c r="P50" s="1" t="str">
        <f t="shared" ca="1" si="15"/>
        <v>OpenBLAS002505024</v>
      </c>
    </row>
    <row r="51" spans="2:16" x14ac:dyDescent="0.15">
      <c r="B51" s="4" t="str">
        <f ca="1">B11</f>
        <v>OpenBLAS</v>
      </c>
      <c r="C51" s="40">
        <f ca="1">C11</f>
        <v>2510</v>
      </c>
      <c r="D51" s="42">
        <f t="shared" ca="1" si="7"/>
        <v>1.1200047786870981E-3</v>
      </c>
      <c r="E51" s="30">
        <f t="shared" ca="1" si="8"/>
        <v>8.5893541801523796E-2</v>
      </c>
      <c r="F51" s="5">
        <f t="shared" ca="1" si="9"/>
        <v>0.10174729948896852</v>
      </c>
      <c r="G51" s="49">
        <f t="shared" ca="1" si="10"/>
        <v>23.614640000000001</v>
      </c>
      <c r="H51" s="31">
        <f t="shared" ca="1" si="11"/>
        <v>394.11319200000003</v>
      </c>
      <c r="I51" s="35">
        <f t="shared" ca="1" si="12"/>
        <v>242.04777199999998</v>
      </c>
      <c r="N51" s="1" t="str">
        <f t="shared" ca="1" si="13"/>
        <v>OpenBLAS002510001</v>
      </c>
      <c r="O51" s="1" t="str">
        <f t="shared" ca="1" si="14"/>
        <v>OpenBLAS002510023</v>
      </c>
      <c r="P51" s="1" t="str">
        <f t="shared" ca="1" si="15"/>
        <v>OpenBLAS002510024</v>
      </c>
    </row>
    <row r="52" spans="2:16" x14ac:dyDescent="0.15">
      <c r="B52" s="4" t="str">
        <f ca="1">B14</f>
        <v>OpenBLAS</v>
      </c>
      <c r="C52" s="40">
        <f ca="1">C14</f>
        <v>10000</v>
      </c>
      <c r="D52" s="42">
        <f t="shared" ca="1" si="7"/>
        <v>4.0477464642234631E-4</v>
      </c>
      <c r="E52" s="30">
        <f t="shared" ca="1" si="8"/>
        <v>3.7993801239437124E-2</v>
      </c>
      <c r="F52" s="5">
        <f t="shared" ca="1" si="9"/>
        <v>9.6423566001418073E-3</v>
      </c>
      <c r="G52" s="49">
        <f t="shared" ca="1" si="10"/>
        <v>23.533380000000001</v>
      </c>
      <c r="H52" s="31">
        <f t="shared" ca="1" si="11"/>
        <v>393.97004600000002</v>
      </c>
      <c r="I52" s="35">
        <f t="shared" ca="1" si="12"/>
        <v>409.443352</v>
      </c>
      <c r="N52" s="1" t="str">
        <f t="shared" ca="1" si="13"/>
        <v>OpenBLAS010000001</v>
      </c>
      <c r="O52" s="1" t="str">
        <f t="shared" ca="1" si="14"/>
        <v>OpenBLAS010000023</v>
      </c>
      <c r="P52" s="1" t="str">
        <f t="shared" ca="1" si="15"/>
        <v>OpenBLAS010000024</v>
      </c>
    </row>
    <row r="53" spans="2:16" x14ac:dyDescent="0.15">
      <c r="B53" s="4" t="str">
        <f ca="1">B17</f>
        <v>OpenBLAS</v>
      </c>
      <c r="C53" s="40">
        <f ca="1">C17</f>
        <v>10005</v>
      </c>
      <c r="D53" s="42">
        <f t="shared" ca="1" si="7"/>
        <v>2.5913017621314758E-4</v>
      </c>
      <c r="E53" s="30">
        <f t="shared" ca="1" si="8"/>
        <v>5.5150395088375374E-2</v>
      </c>
      <c r="F53" s="5">
        <f t="shared" ca="1" si="9"/>
        <v>1.2991605392977622E-2</v>
      </c>
      <c r="G53" s="49">
        <f t="shared" ca="1" si="10"/>
        <v>23.485880000000002</v>
      </c>
      <c r="H53" s="31">
        <f t="shared" ca="1" si="11"/>
        <v>391.01192600000002</v>
      </c>
      <c r="I53" s="35">
        <f t="shared" ca="1" si="12"/>
        <v>406.60159000000004</v>
      </c>
      <c r="N53" s="1" t="str">
        <f t="shared" ca="1" si="13"/>
        <v>OpenBLAS010005001</v>
      </c>
      <c r="O53" s="1" t="str">
        <f t="shared" ca="1" si="14"/>
        <v>OpenBLAS010005023</v>
      </c>
      <c r="P53" s="1" t="str">
        <f t="shared" ca="1" si="15"/>
        <v>OpenBLAS010005024</v>
      </c>
    </row>
    <row r="54" spans="2:16" ht="14" thickBot="1" x14ac:dyDescent="0.2">
      <c r="B54" s="6" t="str">
        <f ca="1">B20</f>
        <v>OpenBLAS</v>
      </c>
      <c r="C54" s="44">
        <f ca="1">C20</f>
        <v>10010</v>
      </c>
      <c r="D54" s="43">
        <f t="shared" ca="1" si="7"/>
        <v>4.8300072485364415E-4</v>
      </c>
      <c r="E54" s="36">
        <f t="shared" ca="1" si="8"/>
        <v>3.9084766995711576E-2</v>
      </c>
      <c r="F54" s="8">
        <f t="shared" ca="1" si="9"/>
        <v>5.3058866022494884E-2</v>
      </c>
      <c r="G54" s="50">
        <f t="shared" ca="1" si="10"/>
        <v>23.574260000000002</v>
      </c>
      <c r="H54" s="37">
        <f t="shared" ca="1" si="11"/>
        <v>392.46322800000002</v>
      </c>
      <c r="I54" s="38">
        <f t="shared" ca="1" si="12"/>
        <v>408.44835799999993</v>
      </c>
      <c r="N54" s="1" t="str">
        <f t="shared" ca="1" si="13"/>
        <v>OpenBLAS010010001</v>
      </c>
      <c r="O54" s="1" t="str">
        <f t="shared" ca="1" si="14"/>
        <v>OpenBLAS010010023</v>
      </c>
      <c r="P54" s="1" t="str">
        <f t="shared" ca="1" si="15"/>
        <v>OpenBLAS010010024</v>
      </c>
    </row>
    <row r="55" spans="2:16" x14ac:dyDescent="0.15">
      <c r="B55" s="18" t="str">
        <f ca="1">B23</f>
        <v>IntelMKL</v>
      </c>
      <c r="C55" s="45">
        <f ca="1">C23</f>
        <v>2500</v>
      </c>
      <c r="D55" s="51">
        <f t="shared" ca="1" si="7"/>
        <v>3.6317921497416492E-3</v>
      </c>
      <c r="E55" s="52">
        <f t="shared" ca="1" si="8"/>
        <v>0.10133598047731317</v>
      </c>
      <c r="F55" s="21">
        <f t="shared" ca="1" si="9"/>
        <v>1.4028618381498239E-2</v>
      </c>
      <c r="G55" s="53">
        <f t="shared" ca="1" si="10"/>
        <v>43.650559999999999</v>
      </c>
      <c r="H55" s="54">
        <f t="shared" ca="1" si="11"/>
        <v>646.70150799999999</v>
      </c>
      <c r="I55" s="55">
        <f t="shared" ca="1" si="12"/>
        <v>626.27330600000016</v>
      </c>
      <c r="N55" s="1" t="str">
        <f t="shared" ca="1" si="13"/>
        <v>IntelMKL002500001</v>
      </c>
      <c r="O55" s="1" t="str">
        <f t="shared" ca="1" si="14"/>
        <v>IntelMKL002500023</v>
      </c>
      <c r="P55" s="1" t="str">
        <f t="shared" ca="1" si="15"/>
        <v>IntelMKL002500024</v>
      </c>
    </row>
    <row r="56" spans="2:16" x14ac:dyDescent="0.15">
      <c r="B56" s="4" t="str">
        <f ca="1">B26</f>
        <v>IntelMKL</v>
      </c>
      <c r="C56" s="40">
        <f ca="1">C26</f>
        <v>2505</v>
      </c>
      <c r="D56" s="42">
        <f t="shared" ca="1" si="7"/>
        <v>1.1158534884370002E-3</v>
      </c>
      <c r="E56" s="30">
        <f t="shared" ca="1" si="8"/>
        <v>0.1044722144091294</v>
      </c>
      <c r="F56" s="5">
        <f t="shared" ca="1" si="9"/>
        <v>1.6087516087516126E-2</v>
      </c>
      <c r="G56" s="49">
        <f t="shared" ca="1" si="10"/>
        <v>43.849400000000003</v>
      </c>
      <c r="H56" s="31">
        <f t="shared" ca="1" si="11"/>
        <v>632.12513199999989</v>
      </c>
      <c r="I56" s="35">
        <f t="shared" ca="1" si="12"/>
        <v>632.13085399999989</v>
      </c>
      <c r="N56" s="1" t="str">
        <f t="shared" ca="1" si="13"/>
        <v>IntelMKL002505001</v>
      </c>
      <c r="O56" s="1" t="str">
        <f t="shared" ca="1" si="14"/>
        <v>IntelMKL002505023</v>
      </c>
      <c r="P56" s="1" t="str">
        <f t="shared" ca="1" si="15"/>
        <v>IntelMKL002505024</v>
      </c>
    </row>
    <row r="57" spans="2:16" x14ac:dyDescent="0.15">
      <c r="B57" s="4" t="str">
        <f ca="1">B29</f>
        <v>IntelMKL</v>
      </c>
      <c r="C57" s="40">
        <f ca="1">C29</f>
        <v>2510</v>
      </c>
      <c r="D57" s="42">
        <f t="shared" ca="1" si="7"/>
        <v>1.5383754754978603E-3</v>
      </c>
      <c r="E57" s="30">
        <f t="shared" ca="1" si="8"/>
        <v>0.11888586956521741</v>
      </c>
      <c r="F57" s="5">
        <f t="shared" ca="1" si="9"/>
        <v>0.19360886932420329</v>
      </c>
      <c r="G57" s="49">
        <f t="shared" ca="1" si="10"/>
        <v>44.229420000000005</v>
      </c>
      <c r="H57" s="31">
        <f t="shared" ca="1" si="11"/>
        <v>672.03744000000017</v>
      </c>
      <c r="I57" s="35">
        <f t="shared" ca="1" si="12"/>
        <v>644.84484799999996</v>
      </c>
      <c r="N57" s="1" t="str">
        <f t="shared" ca="1" si="13"/>
        <v>IntelMKL002510001</v>
      </c>
      <c r="O57" s="1" t="str">
        <f t="shared" ca="1" si="14"/>
        <v>IntelMKL002510023</v>
      </c>
      <c r="P57" s="1" t="str">
        <f t="shared" ca="1" si="15"/>
        <v>IntelMKL002510024</v>
      </c>
    </row>
    <row r="58" spans="2:16" x14ac:dyDescent="0.15">
      <c r="B58" s="4" t="str">
        <f ca="1">B32</f>
        <v>IntelMKL</v>
      </c>
      <c r="C58" s="40">
        <f ca="1">C32</f>
        <v>10000</v>
      </c>
      <c r="D58" s="42">
        <f t="shared" ca="1" si="7"/>
        <v>9.9352612905352633E-4</v>
      </c>
      <c r="E58" s="30">
        <f t="shared" ca="1" si="8"/>
        <v>3.4606606394083569E-2</v>
      </c>
      <c r="F58" s="5">
        <f t="shared" ca="1" si="9"/>
        <v>2.5919449018464914E-2</v>
      </c>
      <c r="G58" s="49">
        <f t="shared" ca="1" si="10"/>
        <v>45.574599999999997</v>
      </c>
      <c r="H58" s="31">
        <f t="shared" ca="1" si="11"/>
        <v>707.77485799999977</v>
      </c>
      <c r="I58" s="35">
        <f t="shared" ca="1" si="12"/>
        <v>709.15894200000014</v>
      </c>
      <c r="N58" s="1" t="str">
        <f t="shared" ca="1" si="13"/>
        <v>IntelMKL010000001</v>
      </c>
      <c r="O58" s="1" t="str">
        <f t="shared" ca="1" si="14"/>
        <v>IntelMKL010000023</v>
      </c>
      <c r="P58" s="1" t="str">
        <f t="shared" ca="1" si="15"/>
        <v>IntelMKL010000024</v>
      </c>
    </row>
    <row r="59" spans="2:16" x14ac:dyDescent="0.15">
      <c r="B59" s="4" t="str">
        <f ca="1">B35</f>
        <v>IntelMKL</v>
      </c>
      <c r="C59" s="40">
        <f ca="1">C35</f>
        <v>10005</v>
      </c>
      <c r="D59" s="42">
        <f t="shared" ca="1" si="7"/>
        <v>8.3193166826108801E-4</v>
      </c>
      <c r="E59" s="30">
        <f t="shared" ca="1" si="8"/>
        <v>3.4567553981778382E-2</v>
      </c>
      <c r="F59" s="5">
        <f t="shared" ca="1" si="9"/>
        <v>3.0446305765047182E-2</v>
      </c>
      <c r="G59" s="49">
        <f t="shared" ca="1" si="10"/>
        <v>45.404920000000004</v>
      </c>
      <c r="H59" s="31">
        <f t="shared" ca="1" si="11"/>
        <v>697.34124599999996</v>
      </c>
      <c r="I59" s="35">
        <f t="shared" ca="1" si="12"/>
        <v>714.11686199999963</v>
      </c>
      <c r="N59" s="1" t="str">
        <f t="shared" ca="1" si="13"/>
        <v>IntelMKL010005001</v>
      </c>
      <c r="O59" s="1" t="str">
        <f t="shared" ca="1" si="14"/>
        <v>IntelMKL010005023</v>
      </c>
      <c r="P59" s="1" t="str">
        <f t="shared" ca="1" si="15"/>
        <v>IntelMKL010005024</v>
      </c>
    </row>
    <row r="60" spans="2:16" ht="14" thickBot="1" x14ac:dyDescent="0.2">
      <c r="B60" s="6" t="str">
        <f ca="1">B38</f>
        <v>IntelMKL</v>
      </c>
      <c r="C60" s="44">
        <f ca="1">C38</f>
        <v>10010</v>
      </c>
      <c r="D60" s="43">
        <f t="shared" ca="1" si="7"/>
        <v>9.0092754585971641E-4</v>
      </c>
      <c r="E60" s="36">
        <f t="shared" ca="1" si="8"/>
        <v>3.392443109551245E-2</v>
      </c>
      <c r="F60" s="8">
        <f t="shared" ca="1" si="9"/>
        <v>2.6817690986121891E-2</v>
      </c>
      <c r="G60" s="50">
        <f t="shared" ca="1" si="10"/>
        <v>45.638040000000004</v>
      </c>
      <c r="H60" s="37">
        <f t="shared" ca="1" si="11"/>
        <v>717.16851199999974</v>
      </c>
      <c r="I60" s="38">
        <f t="shared" ca="1" si="12"/>
        <v>714.44295800000009</v>
      </c>
      <c r="N60" s="1" t="str">
        <f t="shared" ca="1" si="13"/>
        <v>IntelMKL010010001</v>
      </c>
      <c r="O60" s="1" t="str">
        <f t="shared" ca="1" si="14"/>
        <v>IntelMKL010010023</v>
      </c>
      <c r="P60" s="1" t="str">
        <f t="shared" ca="1" si="15"/>
        <v>IntelMKL010010024</v>
      </c>
    </row>
    <row r="104" spans="2:4" x14ac:dyDescent="0.15">
      <c r="B104" s="25" t="s">
        <v>35</v>
      </c>
      <c r="C104" s="25"/>
      <c r="D104" s="25">
        <v>2.5</v>
      </c>
    </row>
    <row r="105" spans="2:4" x14ac:dyDescent="0.15">
      <c r="B105" s="25" t="s">
        <v>32</v>
      </c>
      <c r="C105" s="25"/>
      <c r="D105" s="25">
        <v>16</v>
      </c>
    </row>
    <row r="106" spans="2:4" x14ac:dyDescent="0.15">
      <c r="B106" s="25" t="s">
        <v>30</v>
      </c>
      <c r="C106" s="25"/>
      <c r="D106" s="25">
        <v>12</v>
      </c>
    </row>
    <row r="107" spans="2:4" x14ac:dyDescent="0.15">
      <c r="B107" s="25" t="s">
        <v>31</v>
      </c>
      <c r="C107" s="25"/>
      <c r="D107" s="25">
        <v>2</v>
      </c>
    </row>
    <row r="109" spans="2:4" x14ac:dyDescent="0.15">
      <c r="B109" t="s">
        <v>33</v>
      </c>
      <c r="D109">
        <f>D104*D105</f>
        <v>40</v>
      </c>
    </row>
    <row r="110" spans="2:4" x14ac:dyDescent="0.15">
      <c r="B110" s="25" t="s">
        <v>34</v>
      </c>
      <c r="C110" s="25"/>
      <c r="D110" s="25">
        <f>PRODUCT(D104:D107)</f>
        <v>960</v>
      </c>
    </row>
    <row r="113" spans="2:16" x14ac:dyDescent="0.15">
      <c r="B113" t="s">
        <v>36</v>
      </c>
    </row>
    <row r="114" spans="2:16" ht="14" thickBot="1" x14ac:dyDescent="0.2"/>
    <row r="115" spans="2:16" ht="14" thickBot="1" x14ac:dyDescent="0.2">
      <c r="B115" s="60"/>
      <c r="C115" s="60"/>
      <c r="D115" s="64" t="s">
        <v>26</v>
      </c>
      <c r="E115" s="65"/>
      <c r="F115" s="66"/>
      <c r="G115" s="67" t="s">
        <v>7</v>
      </c>
      <c r="H115" s="65"/>
      <c r="I115" s="66"/>
      <c r="J115" s="64" t="s">
        <v>37</v>
      </c>
      <c r="K115" s="65"/>
      <c r="L115" s="66"/>
    </row>
    <row r="116" spans="2:16" ht="14" thickBot="1" x14ac:dyDescent="0.2">
      <c r="B116" s="46" t="s">
        <v>28</v>
      </c>
      <c r="C116" s="47" t="s">
        <v>29</v>
      </c>
      <c r="D116" s="56">
        <f ca="1">D$5</f>
        <v>1</v>
      </c>
      <c r="E116" s="57">
        <f ca="1">D$6</f>
        <v>23</v>
      </c>
      <c r="F116" s="58">
        <f ca="1">D$7</f>
        <v>24</v>
      </c>
      <c r="G116" s="59">
        <f ca="1">D116</f>
        <v>1</v>
      </c>
      <c r="H116" s="57">
        <f ca="1">E116</f>
        <v>23</v>
      </c>
      <c r="I116" s="58">
        <f ca="1">F116</f>
        <v>24</v>
      </c>
      <c r="J116" s="56">
        <f ca="1">G116</f>
        <v>1</v>
      </c>
      <c r="K116" s="57">
        <f ca="1">H116</f>
        <v>23</v>
      </c>
      <c r="L116" s="58">
        <f ca="1">I116</f>
        <v>24</v>
      </c>
    </row>
    <row r="117" spans="2:16" x14ac:dyDescent="0.15">
      <c r="B117" s="11" t="str">
        <f ca="1">B$5</f>
        <v>OpenBLAS</v>
      </c>
      <c r="C117" s="11">
        <f ca="1">C$5</f>
        <v>2500</v>
      </c>
      <c r="D117" s="41">
        <f t="shared" ref="D117:D128" ca="1" si="16">VLOOKUP(N117,datatable,8,FALSE)</f>
        <v>1.5841643910019393E-3</v>
      </c>
      <c r="E117" s="32">
        <f t="shared" ref="E117:E128" ca="1" si="17">VLOOKUP(O117,datatable,8,FALSE)</f>
        <v>0.10943454526727789</v>
      </c>
      <c r="F117" s="24">
        <f t="shared" ref="F117:F128" ca="1" si="18">VLOOKUP(P117,datatable,8,FALSE)</f>
        <v>0.11049549336237798</v>
      </c>
      <c r="G117" s="48">
        <f ca="1">VLOOKUP(N117,datatable,9,FALSE)</f>
        <v>23.574080000000002</v>
      </c>
      <c r="H117" s="33">
        <f ca="1">VLOOKUP(O117,datatable,9,FALSE)</f>
        <v>402.915144</v>
      </c>
      <c r="I117" s="34">
        <f ca="1">VLOOKUP(P117,datatable,9,FALSE)</f>
        <v>246.75911199999999</v>
      </c>
      <c r="J117" s="41">
        <f ca="1">G117/(J$116*$D$109)</f>
        <v>0.5893520000000001</v>
      </c>
      <c r="K117" s="32">
        <f ca="1">H117/(K$116*$D$109)</f>
        <v>0.43795124347826087</v>
      </c>
      <c r="L117" s="24">
        <f ca="1">I117/(L$116*$D$109)</f>
        <v>0.25704074166666663</v>
      </c>
      <c r="N117" s="60" t="str">
        <f ca="1">$B117 &amp; TEXT($C117,"000000") &amp; TEXT(G$116,"000")</f>
        <v>OpenBLAS002500001</v>
      </c>
      <c r="O117" s="60" t="str">
        <f ca="1">$B117 &amp; TEXT($C117,"000000") &amp; TEXT(H$116,"000")</f>
        <v>OpenBLAS002500023</v>
      </c>
      <c r="P117" s="60" t="str">
        <f ca="1">$B117 &amp; TEXT($C117,"000000") &amp; TEXT(I$116,"000")</f>
        <v>OpenBLAS002500024</v>
      </c>
    </row>
    <row r="118" spans="2:16" x14ac:dyDescent="0.15">
      <c r="B118" s="4" t="str">
        <f ca="1">B$8</f>
        <v>OpenBLAS</v>
      </c>
      <c r="C118" s="4">
        <f ca="1">C$8</f>
        <v>2505</v>
      </c>
      <c r="D118" s="42">
        <f t="shared" ca="1" si="16"/>
        <v>3.8600293956083786E-3</v>
      </c>
      <c r="E118" s="30">
        <f t="shared" ca="1" si="17"/>
        <v>8.6401870346369827E-2</v>
      </c>
      <c r="F118" s="5">
        <f t="shared" ca="1" si="18"/>
        <v>4.9639110252488593E-2</v>
      </c>
      <c r="G118" s="49">
        <f ca="1">VLOOKUP(N118,datatable,9,FALSE)</f>
        <v>23.336819999999999</v>
      </c>
      <c r="H118" s="31">
        <f ca="1">VLOOKUP(O118,datatable,9,FALSE)</f>
        <v>400.04002000000008</v>
      </c>
      <c r="I118" s="35">
        <f ca="1">VLOOKUP(P118,datatable,9,FALSE)</f>
        <v>421.76911199999989</v>
      </c>
      <c r="J118" s="42">
        <f ca="1">G118/(J$116*$D$109)</f>
        <v>0.58342050000000001</v>
      </c>
      <c r="K118" s="30">
        <f ca="1">H118/(K$116*$D$109)</f>
        <v>0.43482610869565225</v>
      </c>
      <c r="L118" s="5">
        <f ca="1">I118/(L$116*$D$109)</f>
        <v>0.43934282499999988</v>
      </c>
      <c r="N118" s="60" t="str">
        <f ca="1">$B118 &amp; TEXT($C118,"000000") &amp; TEXT(G$116,"000")</f>
        <v>OpenBLAS002505001</v>
      </c>
      <c r="O118" s="60" t="str">
        <f ca="1">$B118 &amp; TEXT($C118,"000000") &amp; TEXT(H$116,"000")</f>
        <v>OpenBLAS002505023</v>
      </c>
      <c r="P118" s="60" t="str">
        <f ca="1">$B118 &amp; TEXT($C118,"000000") &amp; TEXT(I$116,"000")</f>
        <v>OpenBLAS002505024</v>
      </c>
    </row>
    <row r="119" spans="2:16" x14ac:dyDescent="0.15">
      <c r="B119" s="4" t="str">
        <f ca="1">B$11</f>
        <v>OpenBLAS</v>
      </c>
      <c r="C119" s="4">
        <f ca="1">C$11</f>
        <v>2510</v>
      </c>
      <c r="D119" s="42">
        <f t="shared" ca="1" si="16"/>
        <v>1.1200047786870981E-3</v>
      </c>
      <c r="E119" s="30">
        <f t="shared" ca="1" si="17"/>
        <v>8.5893541801523796E-2</v>
      </c>
      <c r="F119" s="5">
        <f t="shared" ca="1" si="18"/>
        <v>0.10174729948896852</v>
      </c>
      <c r="G119" s="49">
        <f ca="1">VLOOKUP(N119,datatable,9,FALSE)</f>
        <v>23.614640000000001</v>
      </c>
      <c r="H119" s="31">
        <f ca="1">VLOOKUP(O119,datatable,9,FALSE)</f>
        <v>394.11319200000003</v>
      </c>
      <c r="I119" s="35">
        <f ca="1">VLOOKUP(P119,datatable,9,FALSE)</f>
        <v>242.04777199999998</v>
      </c>
      <c r="J119" s="42">
        <f ca="1">G119/(J$116*$D$109)</f>
        <v>0.59036600000000006</v>
      </c>
      <c r="K119" s="30">
        <f ca="1">H119/(K$116*$D$109)</f>
        <v>0.42838390434782614</v>
      </c>
      <c r="L119" s="5">
        <f ca="1">I119/(L$116*$D$109)</f>
        <v>0.25213309583333332</v>
      </c>
      <c r="N119" s="60" t="str">
        <f ca="1">$B119 &amp; TEXT($C119,"000000") &amp; TEXT(G$116,"000")</f>
        <v>OpenBLAS002510001</v>
      </c>
      <c r="O119" s="60" t="str">
        <f ca="1">$B119 &amp; TEXT($C119,"000000") &amp; TEXT(H$116,"000")</f>
        <v>OpenBLAS002510023</v>
      </c>
      <c r="P119" s="60" t="str">
        <f ca="1">$B119 &amp; TEXT($C119,"000000") &amp; TEXT(I$116,"000")</f>
        <v>OpenBLAS002510024</v>
      </c>
    </row>
    <row r="120" spans="2:16" x14ac:dyDescent="0.15">
      <c r="B120" s="4" t="str">
        <f ca="1">B$14</f>
        <v>OpenBLAS</v>
      </c>
      <c r="C120" s="4">
        <f ca="1">C$14</f>
        <v>10000</v>
      </c>
      <c r="D120" s="42">
        <f t="shared" ca="1" si="16"/>
        <v>4.0477464642234631E-4</v>
      </c>
      <c r="E120" s="30">
        <f t="shared" ca="1" si="17"/>
        <v>3.7993801239437124E-2</v>
      </c>
      <c r="F120" s="5">
        <f t="shared" ca="1" si="18"/>
        <v>9.6423566001418073E-3</v>
      </c>
      <c r="G120" s="49">
        <f ca="1">VLOOKUP(N120,datatable,9,FALSE)</f>
        <v>23.533380000000001</v>
      </c>
      <c r="H120" s="31">
        <f ca="1">VLOOKUP(O120,datatable,9,FALSE)</f>
        <v>393.97004600000002</v>
      </c>
      <c r="I120" s="35">
        <f ca="1">VLOOKUP(P120,datatable,9,FALSE)</f>
        <v>409.443352</v>
      </c>
      <c r="J120" s="42">
        <f ca="1">G120/(J$116*$D$109)</f>
        <v>0.58833449999999998</v>
      </c>
      <c r="K120" s="30">
        <f ca="1">H120/(K$116*$D$109)</f>
        <v>0.42822831086956525</v>
      </c>
      <c r="L120" s="5">
        <f ca="1">I120/(L$116*$D$109)</f>
        <v>0.42650349166666668</v>
      </c>
      <c r="N120" s="60" t="str">
        <f ca="1">$B120 &amp; TEXT($C120,"000000") &amp; TEXT(G$116,"000")</f>
        <v>OpenBLAS010000001</v>
      </c>
      <c r="O120" s="60" t="str">
        <f ca="1">$B120 &amp; TEXT($C120,"000000") &amp; TEXT(H$116,"000")</f>
        <v>OpenBLAS010000023</v>
      </c>
      <c r="P120" s="60" t="str">
        <f ca="1">$B120 &amp; TEXT($C120,"000000") &amp; TEXT(I$116,"000")</f>
        <v>OpenBLAS010000024</v>
      </c>
    </row>
    <row r="121" spans="2:16" x14ac:dyDescent="0.15">
      <c r="B121" s="4" t="str">
        <f ca="1">B$17</f>
        <v>OpenBLAS</v>
      </c>
      <c r="C121" s="4">
        <f ca="1">C$17</f>
        <v>10005</v>
      </c>
      <c r="D121" s="42">
        <f t="shared" ca="1" si="16"/>
        <v>2.5913017621314758E-4</v>
      </c>
      <c r="E121" s="30">
        <f t="shared" ca="1" si="17"/>
        <v>5.5150395088375374E-2</v>
      </c>
      <c r="F121" s="5">
        <f t="shared" ca="1" si="18"/>
        <v>1.2991605392977622E-2</v>
      </c>
      <c r="G121" s="49">
        <f ca="1">VLOOKUP(N121,datatable,9,FALSE)</f>
        <v>23.485880000000002</v>
      </c>
      <c r="H121" s="31">
        <f ca="1">VLOOKUP(O121,datatable,9,FALSE)</f>
        <v>391.01192600000002</v>
      </c>
      <c r="I121" s="35">
        <f ca="1">VLOOKUP(P121,datatable,9,FALSE)</f>
        <v>406.60159000000004</v>
      </c>
      <c r="J121" s="42">
        <f ca="1">G121/(J$116*$D$109)</f>
        <v>0.58714700000000009</v>
      </c>
      <c r="K121" s="30">
        <f ca="1">H121/(K$116*$D$109)</f>
        <v>0.4250129630434783</v>
      </c>
      <c r="L121" s="5">
        <f ca="1">I121/(L$116*$D$109)</f>
        <v>0.42354332291666669</v>
      </c>
      <c r="N121" s="60" t="str">
        <f ca="1">$B121 &amp; TEXT($C121,"000000") &amp; TEXT(G$116,"000")</f>
        <v>OpenBLAS010005001</v>
      </c>
      <c r="O121" s="60" t="str">
        <f ca="1">$B121 &amp; TEXT($C121,"000000") &amp; TEXT(H$116,"000")</f>
        <v>OpenBLAS010005023</v>
      </c>
      <c r="P121" s="60" t="str">
        <f ca="1">$B121 &amp; TEXT($C121,"000000") &amp; TEXT(I$116,"000")</f>
        <v>OpenBLAS010005024</v>
      </c>
    </row>
    <row r="122" spans="2:16" ht="14" thickBot="1" x14ac:dyDescent="0.2">
      <c r="B122" s="6" t="str">
        <f ca="1">B$20</f>
        <v>OpenBLAS</v>
      </c>
      <c r="C122" s="6">
        <f ca="1">C$20</f>
        <v>10010</v>
      </c>
      <c r="D122" s="43">
        <f t="shared" ca="1" si="16"/>
        <v>4.8300072485364415E-4</v>
      </c>
      <c r="E122" s="36">
        <f t="shared" ca="1" si="17"/>
        <v>3.9084766995711576E-2</v>
      </c>
      <c r="F122" s="8">
        <f t="shared" ca="1" si="18"/>
        <v>5.3058866022494884E-2</v>
      </c>
      <c r="G122" s="50">
        <f ca="1">VLOOKUP(N122,datatable,9,FALSE)</f>
        <v>23.574260000000002</v>
      </c>
      <c r="H122" s="37">
        <f ca="1">VLOOKUP(O122,datatable,9,FALSE)</f>
        <v>392.46322800000002</v>
      </c>
      <c r="I122" s="38">
        <f ca="1">VLOOKUP(P122,datatable,9,FALSE)</f>
        <v>408.44835799999993</v>
      </c>
      <c r="J122" s="43">
        <f ca="1">G122/(J$116*$D$109)</f>
        <v>0.58935650000000006</v>
      </c>
      <c r="K122" s="36">
        <f ca="1">H122/(K$116*$D$109)</f>
        <v>0.4265904652173913</v>
      </c>
      <c r="L122" s="8">
        <f ca="1">I122/(L$116*$D$109)</f>
        <v>0.42546703958333326</v>
      </c>
      <c r="N122" s="60" t="str">
        <f ca="1">$B122 &amp; TEXT($C122,"000000") &amp; TEXT(G$116,"000")</f>
        <v>OpenBLAS010010001</v>
      </c>
      <c r="O122" s="60" t="str">
        <f ca="1">$B122 &amp; TEXT($C122,"000000") &amp; TEXT(H$116,"000")</f>
        <v>OpenBLAS010010023</v>
      </c>
      <c r="P122" s="60" t="str">
        <f ca="1">$B122 &amp; TEXT($C122,"000000") &amp; TEXT(I$116,"000")</f>
        <v>OpenBLAS010010024</v>
      </c>
    </row>
    <row r="123" spans="2:16" x14ac:dyDescent="0.15">
      <c r="B123" s="18" t="str">
        <f ca="1">B$23</f>
        <v>IntelMKL</v>
      </c>
      <c r="C123" s="18">
        <f ca="1">C$23</f>
        <v>2500</v>
      </c>
      <c r="D123" s="51">
        <f t="shared" ca="1" si="16"/>
        <v>3.6317921497416492E-3</v>
      </c>
      <c r="E123" s="52">
        <f t="shared" ca="1" si="17"/>
        <v>0.10133598047731317</v>
      </c>
      <c r="F123" s="21">
        <f t="shared" ca="1" si="18"/>
        <v>1.4028618381498239E-2</v>
      </c>
      <c r="G123" s="53">
        <f ca="1">VLOOKUP(N123,datatable,9,FALSE)</f>
        <v>43.650559999999999</v>
      </c>
      <c r="H123" s="54">
        <f ca="1">VLOOKUP(O123,datatable,9,FALSE)</f>
        <v>646.70150799999999</v>
      </c>
      <c r="I123" s="55">
        <f ca="1">VLOOKUP(P123,datatable,9,FALSE)</f>
        <v>626.27330600000016</v>
      </c>
      <c r="J123" s="51">
        <f ca="1">G123/(J$116*$D$109)</f>
        <v>1.091264</v>
      </c>
      <c r="K123" s="52">
        <f ca="1">H123/(K$116*$D$109)</f>
        <v>0.7029364217391304</v>
      </c>
      <c r="L123" s="21">
        <f ca="1">I123/(L$116*$D$109)</f>
        <v>0.65236802708333352</v>
      </c>
      <c r="N123" s="60" t="str">
        <f ca="1">$B123 &amp; TEXT($C123,"000000") &amp; TEXT(G$116,"000")</f>
        <v>IntelMKL002500001</v>
      </c>
      <c r="O123" s="60" t="str">
        <f ca="1">$B123 &amp; TEXT($C123,"000000") &amp; TEXT(H$116,"000")</f>
        <v>IntelMKL002500023</v>
      </c>
      <c r="P123" s="60" t="str">
        <f ca="1">$B123 &amp; TEXT($C123,"000000") &amp; TEXT(I$116,"000")</f>
        <v>IntelMKL002500024</v>
      </c>
    </row>
    <row r="124" spans="2:16" x14ac:dyDescent="0.15">
      <c r="B124" s="4" t="str">
        <f ca="1">B$26</f>
        <v>IntelMKL</v>
      </c>
      <c r="C124" s="4">
        <f ca="1">C$26</f>
        <v>2505</v>
      </c>
      <c r="D124" s="42">
        <f t="shared" ca="1" si="16"/>
        <v>1.1158534884370002E-3</v>
      </c>
      <c r="E124" s="30">
        <f t="shared" ca="1" si="17"/>
        <v>0.1044722144091294</v>
      </c>
      <c r="F124" s="5">
        <f t="shared" ca="1" si="18"/>
        <v>1.6087516087516126E-2</v>
      </c>
      <c r="G124" s="49">
        <f ca="1">VLOOKUP(N124,datatable,9,FALSE)</f>
        <v>43.849400000000003</v>
      </c>
      <c r="H124" s="31">
        <f ca="1">VLOOKUP(O124,datatable,9,FALSE)</f>
        <v>632.12513199999989</v>
      </c>
      <c r="I124" s="35">
        <f ca="1">VLOOKUP(P124,datatable,9,FALSE)</f>
        <v>632.13085399999989</v>
      </c>
      <c r="J124" s="42">
        <f ca="1">G124/(J$116*$D$109)</f>
        <v>1.0962350000000001</v>
      </c>
      <c r="K124" s="30">
        <f ca="1">H124/(K$116*$D$109)</f>
        <v>0.68709253478260857</v>
      </c>
      <c r="L124" s="5">
        <f ca="1">I124/(L$116*$D$109)</f>
        <v>0.65846963958333327</v>
      </c>
      <c r="N124" s="60" t="str">
        <f ca="1">$B124 &amp; TEXT($C124,"000000") &amp; TEXT(G$116,"000")</f>
        <v>IntelMKL002505001</v>
      </c>
      <c r="O124" s="60" t="str">
        <f ca="1">$B124 &amp; TEXT($C124,"000000") &amp; TEXT(H$116,"000")</f>
        <v>IntelMKL002505023</v>
      </c>
      <c r="P124" s="60" t="str">
        <f ca="1">$B124 &amp; TEXT($C124,"000000") &amp; TEXT(I$116,"000")</f>
        <v>IntelMKL002505024</v>
      </c>
    </row>
    <row r="125" spans="2:16" x14ac:dyDescent="0.15">
      <c r="B125" s="4" t="str">
        <f ca="1">B$29</f>
        <v>IntelMKL</v>
      </c>
      <c r="C125" s="4">
        <f ca="1">C$29</f>
        <v>2510</v>
      </c>
      <c r="D125" s="42">
        <f t="shared" ca="1" si="16"/>
        <v>1.5383754754978603E-3</v>
      </c>
      <c r="E125" s="30">
        <f t="shared" ca="1" si="17"/>
        <v>0.11888586956521741</v>
      </c>
      <c r="F125" s="5">
        <f t="shared" ca="1" si="18"/>
        <v>0.19360886932420329</v>
      </c>
      <c r="G125" s="49">
        <f ca="1">VLOOKUP(N125,datatable,9,FALSE)</f>
        <v>44.229420000000005</v>
      </c>
      <c r="H125" s="31">
        <f ca="1">VLOOKUP(O125,datatable,9,FALSE)</f>
        <v>672.03744000000017</v>
      </c>
      <c r="I125" s="35">
        <f ca="1">VLOOKUP(P125,datatable,9,FALSE)</f>
        <v>644.84484799999996</v>
      </c>
      <c r="J125" s="42">
        <f ca="1">G125/(J$116*$D$109)</f>
        <v>1.1057355000000002</v>
      </c>
      <c r="K125" s="30">
        <f ca="1">H125/(K$116*$D$109)</f>
        <v>0.73047547826086978</v>
      </c>
      <c r="L125" s="5">
        <f ca="1">I125/(L$116*$D$109)</f>
        <v>0.6717133833333333</v>
      </c>
      <c r="N125" s="60" t="str">
        <f ca="1">$B125 &amp; TEXT($C125,"000000") &amp; TEXT(G$116,"000")</f>
        <v>IntelMKL002510001</v>
      </c>
      <c r="O125" s="60" t="str">
        <f ca="1">$B125 &amp; TEXT($C125,"000000") &amp; TEXT(H$116,"000")</f>
        <v>IntelMKL002510023</v>
      </c>
      <c r="P125" s="60" t="str">
        <f ca="1">$B125 &amp; TEXT($C125,"000000") &amp; TEXT(I$116,"000")</f>
        <v>IntelMKL002510024</v>
      </c>
    </row>
    <row r="126" spans="2:16" x14ac:dyDescent="0.15">
      <c r="B126" s="4" t="str">
        <f ca="1">B$32</f>
        <v>IntelMKL</v>
      </c>
      <c r="C126" s="4">
        <f ca="1">C$32</f>
        <v>10000</v>
      </c>
      <c r="D126" s="42">
        <f t="shared" ca="1" si="16"/>
        <v>9.9352612905352633E-4</v>
      </c>
      <c r="E126" s="30">
        <f t="shared" ca="1" si="17"/>
        <v>3.4606606394083569E-2</v>
      </c>
      <c r="F126" s="5">
        <f t="shared" ca="1" si="18"/>
        <v>2.5919449018464914E-2</v>
      </c>
      <c r="G126" s="49">
        <f ca="1">VLOOKUP(N126,datatable,9,FALSE)</f>
        <v>45.574599999999997</v>
      </c>
      <c r="H126" s="31">
        <f ca="1">VLOOKUP(O126,datatable,9,FALSE)</f>
        <v>707.77485799999977</v>
      </c>
      <c r="I126" s="35">
        <f ca="1">VLOOKUP(P126,datatable,9,FALSE)</f>
        <v>709.15894200000014</v>
      </c>
      <c r="J126" s="42">
        <f ca="1">G126/(J$116*$D$109)</f>
        <v>1.139365</v>
      </c>
      <c r="K126" s="30">
        <f ca="1">H126/(K$116*$D$109)</f>
        <v>0.76932049782608669</v>
      </c>
      <c r="L126" s="5">
        <f ca="1">I126/(L$116*$D$109)</f>
        <v>0.73870723125000015</v>
      </c>
      <c r="N126" s="60" t="str">
        <f ca="1">$B126 &amp; TEXT($C126,"000000") &amp; TEXT(G$116,"000")</f>
        <v>IntelMKL010000001</v>
      </c>
      <c r="O126" s="60" t="str">
        <f ca="1">$B126 &amp; TEXT($C126,"000000") &amp; TEXT(H$116,"000")</f>
        <v>IntelMKL010000023</v>
      </c>
      <c r="P126" s="60" t="str">
        <f ca="1">$B126 &amp; TEXT($C126,"000000") &amp; TEXT(I$116,"000")</f>
        <v>IntelMKL010000024</v>
      </c>
    </row>
    <row r="127" spans="2:16" x14ac:dyDescent="0.15">
      <c r="B127" s="4" t="str">
        <f ca="1">B$35</f>
        <v>IntelMKL</v>
      </c>
      <c r="C127" s="4">
        <f ca="1">C$35</f>
        <v>10005</v>
      </c>
      <c r="D127" s="42">
        <f t="shared" ca="1" si="16"/>
        <v>8.3193166826108801E-4</v>
      </c>
      <c r="E127" s="30">
        <f t="shared" ca="1" si="17"/>
        <v>3.4567553981778382E-2</v>
      </c>
      <c r="F127" s="5">
        <f t="shared" ca="1" si="18"/>
        <v>3.0446305765047182E-2</v>
      </c>
      <c r="G127" s="49">
        <f ca="1">VLOOKUP(N127,datatable,9,FALSE)</f>
        <v>45.404920000000004</v>
      </c>
      <c r="H127" s="31">
        <f ca="1">VLOOKUP(O127,datatable,9,FALSE)</f>
        <v>697.34124599999996</v>
      </c>
      <c r="I127" s="35">
        <f ca="1">VLOOKUP(P127,datatable,9,FALSE)</f>
        <v>714.11686199999963</v>
      </c>
      <c r="J127" s="42">
        <f ca="1">G127/(J$116*$D$109)</f>
        <v>1.1351230000000001</v>
      </c>
      <c r="K127" s="30">
        <f ca="1">H127/(K$116*$D$109)</f>
        <v>0.75797961521739121</v>
      </c>
      <c r="L127" s="5">
        <f ca="1">I127/(L$116*$D$109)</f>
        <v>0.74387173124999961</v>
      </c>
      <c r="N127" s="60" t="str">
        <f ca="1">$B127 &amp; TEXT($C127,"000000") &amp; TEXT(G$116,"000")</f>
        <v>IntelMKL010005001</v>
      </c>
      <c r="O127" s="60" t="str">
        <f ca="1">$B127 &amp; TEXT($C127,"000000") &amp; TEXT(H$116,"000")</f>
        <v>IntelMKL010005023</v>
      </c>
      <c r="P127" s="60" t="str">
        <f ca="1">$B127 &amp; TEXT($C127,"000000") &amp; TEXT(I$116,"000")</f>
        <v>IntelMKL010005024</v>
      </c>
    </row>
    <row r="128" spans="2:16" ht="14" thickBot="1" x14ac:dyDescent="0.2">
      <c r="B128" s="6" t="str">
        <f ca="1">B$38</f>
        <v>IntelMKL</v>
      </c>
      <c r="C128" s="6">
        <f ca="1">C$38</f>
        <v>10010</v>
      </c>
      <c r="D128" s="43">
        <f t="shared" ca="1" si="16"/>
        <v>9.0092754585971641E-4</v>
      </c>
      <c r="E128" s="36">
        <f t="shared" ca="1" si="17"/>
        <v>3.392443109551245E-2</v>
      </c>
      <c r="F128" s="8">
        <f t="shared" ca="1" si="18"/>
        <v>2.6817690986121891E-2</v>
      </c>
      <c r="G128" s="50">
        <f ca="1">VLOOKUP(N128,datatable,9,FALSE)</f>
        <v>45.638040000000004</v>
      </c>
      <c r="H128" s="37">
        <f ca="1">VLOOKUP(O128,datatable,9,FALSE)</f>
        <v>717.16851199999974</v>
      </c>
      <c r="I128" s="38">
        <f ca="1">VLOOKUP(P128,datatable,9,FALSE)</f>
        <v>714.44295800000009</v>
      </c>
      <c r="J128" s="43">
        <f ca="1">G128/(J$116*$D$109)</f>
        <v>1.140951</v>
      </c>
      <c r="K128" s="36">
        <f ca="1">H128/(K$116*$D$109)</f>
        <v>0.77953099130434755</v>
      </c>
      <c r="L128" s="8">
        <f ca="1">I128/(L$116*$D$109)</f>
        <v>0.7442114145833334</v>
      </c>
      <c r="N128" s="60" t="str">
        <f ca="1">$B128 &amp; TEXT($C128,"000000") &amp; TEXT(G$116,"000")</f>
        <v>IntelMKL010010001</v>
      </c>
      <c r="O128" s="60" t="str">
        <f ca="1">$B128 &amp; TEXT($C128,"000000") &amp; TEXT(H$116,"000")</f>
        <v>IntelMKL010010023</v>
      </c>
      <c r="P128" s="60" t="str">
        <f ca="1">$B128 &amp; TEXT($C128,"000000") &amp; TEXT(I$116,"000")</f>
        <v>IntelMKL010010024</v>
      </c>
    </row>
  </sheetData>
  <mergeCells count="7">
    <mergeCell ref="E3:H3"/>
    <mergeCell ref="I3:K3"/>
    <mergeCell ref="D47:F47"/>
    <mergeCell ref="G47:I47"/>
    <mergeCell ref="D115:F115"/>
    <mergeCell ref="G115:I115"/>
    <mergeCell ref="J115:L115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verwerking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Kurt Lust</cp:lastModifiedBy>
  <cp:revision>1</cp:revision>
  <dcterms:created xsi:type="dcterms:W3CDTF">2016-02-19T11:59:50Z</dcterms:created>
  <dcterms:modified xsi:type="dcterms:W3CDTF">2016-02-19T14:14:23Z</dcterms:modified>
  <dc:language>nl-NL</dc:language>
</cp:coreProperties>
</file>