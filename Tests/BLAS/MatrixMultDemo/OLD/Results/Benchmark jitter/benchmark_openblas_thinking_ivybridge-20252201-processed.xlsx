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15860" yWindow="460" windowWidth="35840" windowHeight="25780" tabRatio="987" activeTab="1"/>
  </bookViews>
  <sheets>
    <sheet name="data" sheetId="1" r:id="rId1"/>
    <sheet name="verwerking" sheetId="2" r:id="rId2"/>
  </sheets>
  <definedNames>
    <definedName name="datatable">verwerking!$A$5:$K$40</definedName>
  </definedName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7" i="2" l="1"/>
  <c r="D7" i="2"/>
  <c r="F116" i="2"/>
  <c r="I116" i="2"/>
  <c r="P6" i="2"/>
  <c r="D6" i="2"/>
  <c r="E116" i="2"/>
  <c r="H116" i="2"/>
  <c r="P5" i="2"/>
  <c r="D5" i="2"/>
  <c r="D116" i="2"/>
  <c r="G116" i="2"/>
  <c r="N38" i="2"/>
  <c r="B38" i="2"/>
  <c r="B128" i="2"/>
  <c r="O38" i="2"/>
  <c r="C38" i="2"/>
  <c r="C128" i="2"/>
  <c r="P128" i="2"/>
  <c r="N5" i="2"/>
  <c r="O5" i="2"/>
  <c r="A5" i="2"/>
  <c r="N6" i="2"/>
  <c r="O6" i="2"/>
  <c r="A6" i="2"/>
  <c r="N7" i="2"/>
  <c r="O7" i="2"/>
  <c r="A7" i="2"/>
  <c r="B5" i="2"/>
  <c r="C5" i="2"/>
  <c r="E5" i="2"/>
  <c r="F5" i="2"/>
  <c r="G5" i="2"/>
  <c r="H5" i="2"/>
  <c r="I5" i="2"/>
  <c r="J5" i="2"/>
  <c r="K5" i="2"/>
  <c r="B6" i="2"/>
  <c r="C6" i="2"/>
  <c r="E6" i="2"/>
  <c r="F6" i="2"/>
  <c r="G6" i="2"/>
  <c r="H6" i="2"/>
  <c r="I6" i="2"/>
  <c r="J6" i="2"/>
  <c r="K6" i="2"/>
  <c r="B7" i="2"/>
  <c r="C7" i="2"/>
  <c r="E7" i="2"/>
  <c r="F7" i="2"/>
  <c r="G7" i="2"/>
  <c r="H7" i="2"/>
  <c r="I7" i="2"/>
  <c r="J7" i="2"/>
  <c r="K7" i="2"/>
  <c r="N8" i="2"/>
  <c r="O8" i="2"/>
  <c r="P8" i="2"/>
  <c r="A8" i="2"/>
  <c r="B8" i="2"/>
  <c r="C8" i="2"/>
  <c r="D8" i="2"/>
  <c r="E8" i="2"/>
  <c r="F8" i="2"/>
  <c r="G8" i="2"/>
  <c r="H8" i="2"/>
  <c r="I8" i="2"/>
  <c r="J8" i="2"/>
  <c r="K8" i="2"/>
  <c r="N9" i="2"/>
  <c r="O9" i="2"/>
  <c r="P9" i="2"/>
  <c r="A9" i="2"/>
  <c r="B9" i="2"/>
  <c r="C9" i="2"/>
  <c r="D9" i="2"/>
  <c r="E9" i="2"/>
  <c r="F9" i="2"/>
  <c r="G9" i="2"/>
  <c r="H9" i="2"/>
  <c r="I9" i="2"/>
  <c r="J9" i="2"/>
  <c r="K9" i="2"/>
  <c r="N10" i="2"/>
  <c r="O10" i="2"/>
  <c r="P10" i="2"/>
  <c r="A10" i="2"/>
  <c r="B10" i="2"/>
  <c r="C10" i="2"/>
  <c r="D10" i="2"/>
  <c r="E10" i="2"/>
  <c r="F10" i="2"/>
  <c r="G10" i="2"/>
  <c r="H10" i="2"/>
  <c r="I10" i="2"/>
  <c r="J10" i="2"/>
  <c r="K10" i="2"/>
  <c r="N11" i="2"/>
  <c r="O11" i="2"/>
  <c r="P11" i="2"/>
  <c r="A11" i="2"/>
  <c r="B11" i="2"/>
  <c r="C11" i="2"/>
  <c r="D11" i="2"/>
  <c r="E11" i="2"/>
  <c r="F11" i="2"/>
  <c r="G11" i="2"/>
  <c r="H11" i="2"/>
  <c r="I11" i="2"/>
  <c r="J11" i="2"/>
  <c r="K11" i="2"/>
  <c r="N12" i="2"/>
  <c r="O12" i="2"/>
  <c r="P12" i="2"/>
  <c r="A12" i="2"/>
  <c r="B12" i="2"/>
  <c r="C12" i="2"/>
  <c r="D12" i="2"/>
  <c r="E12" i="2"/>
  <c r="F12" i="2"/>
  <c r="G12" i="2"/>
  <c r="H12" i="2"/>
  <c r="I12" i="2"/>
  <c r="J12" i="2"/>
  <c r="K12" i="2"/>
  <c r="N13" i="2"/>
  <c r="O13" i="2"/>
  <c r="P13" i="2"/>
  <c r="A13" i="2"/>
  <c r="B13" i="2"/>
  <c r="C13" i="2"/>
  <c r="D13" i="2"/>
  <c r="E13" i="2"/>
  <c r="F13" i="2"/>
  <c r="G13" i="2"/>
  <c r="H13" i="2"/>
  <c r="I13" i="2"/>
  <c r="J13" i="2"/>
  <c r="K13" i="2"/>
  <c r="N14" i="2"/>
  <c r="O14" i="2"/>
  <c r="P14" i="2"/>
  <c r="A14" i="2"/>
  <c r="B14" i="2"/>
  <c r="C14" i="2"/>
  <c r="D14" i="2"/>
  <c r="E14" i="2"/>
  <c r="F14" i="2"/>
  <c r="G14" i="2"/>
  <c r="H14" i="2"/>
  <c r="I14" i="2"/>
  <c r="J14" i="2"/>
  <c r="K14" i="2"/>
  <c r="N15" i="2"/>
  <c r="O15" i="2"/>
  <c r="P15" i="2"/>
  <c r="A15" i="2"/>
  <c r="B15" i="2"/>
  <c r="C15" i="2"/>
  <c r="D15" i="2"/>
  <c r="E15" i="2"/>
  <c r="F15" i="2"/>
  <c r="G15" i="2"/>
  <c r="H15" i="2"/>
  <c r="I15" i="2"/>
  <c r="J15" i="2"/>
  <c r="K15" i="2"/>
  <c r="N16" i="2"/>
  <c r="O16" i="2"/>
  <c r="P16" i="2"/>
  <c r="A16" i="2"/>
  <c r="B16" i="2"/>
  <c r="C16" i="2"/>
  <c r="D16" i="2"/>
  <c r="E16" i="2"/>
  <c r="F16" i="2"/>
  <c r="G16" i="2"/>
  <c r="H16" i="2"/>
  <c r="I16" i="2"/>
  <c r="J16" i="2"/>
  <c r="K16" i="2"/>
  <c r="N17" i="2"/>
  <c r="O17" i="2"/>
  <c r="P17" i="2"/>
  <c r="A17" i="2"/>
  <c r="B17" i="2"/>
  <c r="C17" i="2"/>
  <c r="D17" i="2"/>
  <c r="E17" i="2"/>
  <c r="F17" i="2"/>
  <c r="G17" i="2"/>
  <c r="H17" i="2"/>
  <c r="I17" i="2"/>
  <c r="J17" i="2"/>
  <c r="K17" i="2"/>
  <c r="N18" i="2"/>
  <c r="O18" i="2"/>
  <c r="P18" i="2"/>
  <c r="A18" i="2"/>
  <c r="B18" i="2"/>
  <c r="C18" i="2"/>
  <c r="D18" i="2"/>
  <c r="E18" i="2"/>
  <c r="F18" i="2"/>
  <c r="G18" i="2"/>
  <c r="H18" i="2"/>
  <c r="I18" i="2"/>
  <c r="J18" i="2"/>
  <c r="K18" i="2"/>
  <c r="N19" i="2"/>
  <c r="O19" i="2"/>
  <c r="P19" i="2"/>
  <c r="A19" i="2"/>
  <c r="B19" i="2"/>
  <c r="C19" i="2"/>
  <c r="D19" i="2"/>
  <c r="E19" i="2"/>
  <c r="F19" i="2"/>
  <c r="G19" i="2"/>
  <c r="H19" i="2"/>
  <c r="I19" i="2"/>
  <c r="J19" i="2"/>
  <c r="K19" i="2"/>
  <c r="N20" i="2"/>
  <c r="O20" i="2"/>
  <c r="P20" i="2"/>
  <c r="A20" i="2"/>
  <c r="B20" i="2"/>
  <c r="C20" i="2"/>
  <c r="D20" i="2"/>
  <c r="E20" i="2"/>
  <c r="F20" i="2"/>
  <c r="G20" i="2"/>
  <c r="H20" i="2"/>
  <c r="I20" i="2"/>
  <c r="J20" i="2"/>
  <c r="K20" i="2"/>
  <c r="N21" i="2"/>
  <c r="O21" i="2"/>
  <c r="P21" i="2"/>
  <c r="A21" i="2"/>
  <c r="B21" i="2"/>
  <c r="C21" i="2"/>
  <c r="D21" i="2"/>
  <c r="E21" i="2"/>
  <c r="F21" i="2"/>
  <c r="G21" i="2"/>
  <c r="H21" i="2"/>
  <c r="I21" i="2"/>
  <c r="J21" i="2"/>
  <c r="K21" i="2"/>
  <c r="N22" i="2"/>
  <c r="O22" i="2"/>
  <c r="P22" i="2"/>
  <c r="A22" i="2"/>
  <c r="B22" i="2"/>
  <c r="C22" i="2"/>
  <c r="D22" i="2"/>
  <c r="E22" i="2"/>
  <c r="F22" i="2"/>
  <c r="G22" i="2"/>
  <c r="H22" i="2"/>
  <c r="I22" i="2"/>
  <c r="J22" i="2"/>
  <c r="K22" i="2"/>
  <c r="N23" i="2"/>
  <c r="O23" i="2"/>
  <c r="P23" i="2"/>
  <c r="A23" i="2"/>
  <c r="B23" i="2"/>
  <c r="C23" i="2"/>
  <c r="D23" i="2"/>
  <c r="E23" i="2"/>
  <c r="F23" i="2"/>
  <c r="G23" i="2"/>
  <c r="H23" i="2"/>
  <c r="I23" i="2"/>
  <c r="J23" i="2"/>
  <c r="K23" i="2"/>
  <c r="N24" i="2"/>
  <c r="O24" i="2"/>
  <c r="P24" i="2"/>
  <c r="A24" i="2"/>
  <c r="B24" i="2"/>
  <c r="C24" i="2"/>
  <c r="D24" i="2"/>
  <c r="E24" i="2"/>
  <c r="F24" i="2"/>
  <c r="G24" i="2"/>
  <c r="H24" i="2"/>
  <c r="I24" i="2"/>
  <c r="J24" i="2"/>
  <c r="K24" i="2"/>
  <c r="N25" i="2"/>
  <c r="O25" i="2"/>
  <c r="P25" i="2"/>
  <c r="A25" i="2"/>
  <c r="B25" i="2"/>
  <c r="C25" i="2"/>
  <c r="D25" i="2"/>
  <c r="E25" i="2"/>
  <c r="F25" i="2"/>
  <c r="G25" i="2"/>
  <c r="H25" i="2"/>
  <c r="I25" i="2"/>
  <c r="J25" i="2"/>
  <c r="K25" i="2"/>
  <c r="N26" i="2"/>
  <c r="O26" i="2"/>
  <c r="P26" i="2"/>
  <c r="A26" i="2"/>
  <c r="B26" i="2"/>
  <c r="C26" i="2"/>
  <c r="D26" i="2"/>
  <c r="E26" i="2"/>
  <c r="F26" i="2"/>
  <c r="G26" i="2"/>
  <c r="H26" i="2"/>
  <c r="I26" i="2"/>
  <c r="J26" i="2"/>
  <c r="K26" i="2"/>
  <c r="N27" i="2"/>
  <c r="O27" i="2"/>
  <c r="P27" i="2"/>
  <c r="A27" i="2"/>
  <c r="B27" i="2"/>
  <c r="C27" i="2"/>
  <c r="D27" i="2"/>
  <c r="E27" i="2"/>
  <c r="F27" i="2"/>
  <c r="G27" i="2"/>
  <c r="H27" i="2"/>
  <c r="I27" i="2"/>
  <c r="J27" i="2"/>
  <c r="K27" i="2"/>
  <c r="N28" i="2"/>
  <c r="O28" i="2"/>
  <c r="P28" i="2"/>
  <c r="A28" i="2"/>
  <c r="B28" i="2"/>
  <c r="C28" i="2"/>
  <c r="D28" i="2"/>
  <c r="E28" i="2"/>
  <c r="F28" i="2"/>
  <c r="G28" i="2"/>
  <c r="H28" i="2"/>
  <c r="I28" i="2"/>
  <c r="J28" i="2"/>
  <c r="K28" i="2"/>
  <c r="N29" i="2"/>
  <c r="O29" i="2"/>
  <c r="P29" i="2"/>
  <c r="A29" i="2"/>
  <c r="B29" i="2"/>
  <c r="C29" i="2"/>
  <c r="D29" i="2"/>
  <c r="E29" i="2"/>
  <c r="F29" i="2"/>
  <c r="G29" i="2"/>
  <c r="H29" i="2"/>
  <c r="I29" i="2"/>
  <c r="J29" i="2"/>
  <c r="K29" i="2"/>
  <c r="N30" i="2"/>
  <c r="O30" i="2"/>
  <c r="P30" i="2"/>
  <c r="A30" i="2"/>
  <c r="B30" i="2"/>
  <c r="C30" i="2"/>
  <c r="D30" i="2"/>
  <c r="E30" i="2"/>
  <c r="F30" i="2"/>
  <c r="G30" i="2"/>
  <c r="H30" i="2"/>
  <c r="I30" i="2"/>
  <c r="J30" i="2"/>
  <c r="K30" i="2"/>
  <c r="N31" i="2"/>
  <c r="O31" i="2"/>
  <c r="P31" i="2"/>
  <c r="A31" i="2"/>
  <c r="B31" i="2"/>
  <c r="C31" i="2"/>
  <c r="D31" i="2"/>
  <c r="E31" i="2"/>
  <c r="F31" i="2"/>
  <c r="G31" i="2"/>
  <c r="H31" i="2"/>
  <c r="I31" i="2"/>
  <c r="J31" i="2"/>
  <c r="K31" i="2"/>
  <c r="N32" i="2"/>
  <c r="O32" i="2"/>
  <c r="P32" i="2"/>
  <c r="A32" i="2"/>
  <c r="B32" i="2"/>
  <c r="C32" i="2"/>
  <c r="D32" i="2"/>
  <c r="E32" i="2"/>
  <c r="F32" i="2"/>
  <c r="G32" i="2"/>
  <c r="H32" i="2"/>
  <c r="I32" i="2"/>
  <c r="J32" i="2"/>
  <c r="K32" i="2"/>
  <c r="N33" i="2"/>
  <c r="O33" i="2"/>
  <c r="P33" i="2"/>
  <c r="A33" i="2"/>
  <c r="B33" i="2"/>
  <c r="C33" i="2"/>
  <c r="D33" i="2"/>
  <c r="E33" i="2"/>
  <c r="F33" i="2"/>
  <c r="G33" i="2"/>
  <c r="H33" i="2"/>
  <c r="I33" i="2"/>
  <c r="J33" i="2"/>
  <c r="K33" i="2"/>
  <c r="N34" i="2"/>
  <c r="O34" i="2"/>
  <c r="P34" i="2"/>
  <c r="A34" i="2"/>
  <c r="B34" i="2"/>
  <c r="C34" i="2"/>
  <c r="D34" i="2"/>
  <c r="E34" i="2"/>
  <c r="F34" i="2"/>
  <c r="G34" i="2"/>
  <c r="H34" i="2"/>
  <c r="I34" i="2"/>
  <c r="J34" i="2"/>
  <c r="K34" i="2"/>
  <c r="N35" i="2"/>
  <c r="O35" i="2"/>
  <c r="P35" i="2"/>
  <c r="A35" i="2"/>
  <c r="B35" i="2"/>
  <c r="C35" i="2"/>
  <c r="D35" i="2"/>
  <c r="E35" i="2"/>
  <c r="F35" i="2"/>
  <c r="G35" i="2"/>
  <c r="H35" i="2"/>
  <c r="I35" i="2"/>
  <c r="J35" i="2"/>
  <c r="K35" i="2"/>
  <c r="N36" i="2"/>
  <c r="O36" i="2"/>
  <c r="P36" i="2"/>
  <c r="A36" i="2"/>
  <c r="B36" i="2"/>
  <c r="C36" i="2"/>
  <c r="D36" i="2"/>
  <c r="E36" i="2"/>
  <c r="F36" i="2"/>
  <c r="G36" i="2"/>
  <c r="H36" i="2"/>
  <c r="I36" i="2"/>
  <c r="J36" i="2"/>
  <c r="K36" i="2"/>
  <c r="N37" i="2"/>
  <c r="O37" i="2"/>
  <c r="P37" i="2"/>
  <c r="A37" i="2"/>
  <c r="B37" i="2"/>
  <c r="C37" i="2"/>
  <c r="D37" i="2"/>
  <c r="E37" i="2"/>
  <c r="F37" i="2"/>
  <c r="G37" i="2"/>
  <c r="H37" i="2"/>
  <c r="I37" i="2"/>
  <c r="J37" i="2"/>
  <c r="K37" i="2"/>
  <c r="P38" i="2"/>
  <c r="A38" i="2"/>
  <c r="D38" i="2"/>
  <c r="E38" i="2"/>
  <c r="F38" i="2"/>
  <c r="G38" i="2"/>
  <c r="H38" i="2"/>
  <c r="I38" i="2"/>
  <c r="J38" i="2"/>
  <c r="K38" i="2"/>
  <c r="N39" i="2"/>
  <c r="O39" i="2"/>
  <c r="P39" i="2"/>
  <c r="A39" i="2"/>
  <c r="B39" i="2"/>
  <c r="C39" i="2"/>
  <c r="D39" i="2"/>
  <c r="E39" i="2"/>
  <c r="F39" i="2"/>
  <c r="G39" i="2"/>
  <c r="H39" i="2"/>
  <c r="I39" i="2"/>
  <c r="J39" i="2"/>
  <c r="K39" i="2"/>
  <c r="N40" i="2"/>
  <c r="O40" i="2"/>
  <c r="P40" i="2"/>
  <c r="A40" i="2"/>
  <c r="B40" i="2"/>
  <c r="C40" i="2"/>
  <c r="D40" i="2"/>
  <c r="E40" i="2"/>
  <c r="F40" i="2"/>
  <c r="G40" i="2"/>
  <c r="H40" i="2"/>
  <c r="I40" i="2"/>
  <c r="J40" i="2"/>
  <c r="K40" i="2"/>
  <c r="F128" i="2"/>
  <c r="O128" i="2"/>
  <c r="E128" i="2"/>
  <c r="N128" i="2"/>
  <c r="D128" i="2"/>
  <c r="B127" i="2"/>
  <c r="C127" i="2"/>
  <c r="P127" i="2"/>
  <c r="F127" i="2"/>
  <c r="O127" i="2"/>
  <c r="E127" i="2"/>
  <c r="N127" i="2"/>
  <c r="D127" i="2"/>
  <c r="B126" i="2"/>
  <c r="C126" i="2"/>
  <c r="P126" i="2"/>
  <c r="F126" i="2"/>
  <c r="O126" i="2"/>
  <c r="E126" i="2"/>
  <c r="N126" i="2"/>
  <c r="D126" i="2"/>
  <c r="B125" i="2"/>
  <c r="C125" i="2"/>
  <c r="P125" i="2"/>
  <c r="F125" i="2"/>
  <c r="O125" i="2"/>
  <c r="E125" i="2"/>
  <c r="N125" i="2"/>
  <c r="D125" i="2"/>
  <c r="B124" i="2"/>
  <c r="C124" i="2"/>
  <c r="P124" i="2"/>
  <c r="F124" i="2"/>
  <c r="O124" i="2"/>
  <c r="E124" i="2"/>
  <c r="N124" i="2"/>
  <c r="D124" i="2"/>
  <c r="B123" i="2"/>
  <c r="C123" i="2"/>
  <c r="P123" i="2"/>
  <c r="F123" i="2"/>
  <c r="O123" i="2"/>
  <c r="E123" i="2"/>
  <c r="N123" i="2"/>
  <c r="D123" i="2"/>
  <c r="B122" i="2"/>
  <c r="C122" i="2"/>
  <c r="P122" i="2"/>
  <c r="F122" i="2"/>
  <c r="O122" i="2"/>
  <c r="E122" i="2"/>
  <c r="N122" i="2"/>
  <c r="D122" i="2"/>
  <c r="B121" i="2"/>
  <c r="C121" i="2"/>
  <c r="P121" i="2"/>
  <c r="F121" i="2"/>
  <c r="O121" i="2"/>
  <c r="E121" i="2"/>
  <c r="N121" i="2"/>
  <c r="D121" i="2"/>
  <c r="B120" i="2"/>
  <c r="C120" i="2"/>
  <c r="P120" i="2"/>
  <c r="F120" i="2"/>
  <c r="O120" i="2"/>
  <c r="E120" i="2"/>
  <c r="N120" i="2"/>
  <c r="D120" i="2"/>
  <c r="B119" i="2"/>
  <c r="C119" i="2"/>
  <c r="P119" i="2"/>
  <c r="F119" i="2"/>
  <c r="O119" i="2"/>
  <c r="E119" i="2"/>
  <c r="N119" i="2"/>
  <c r="D119" i="2"/>
  <c r="B118" i="2"/>
  <c r="C118" i="2"/>
  <c r="P118" i="2"/>
  <c r="F118" i="2"/>
  <c r="O118" i="2"/>
  <c r="E118" i="2"/>
  <c r="N118" i="2"/>
  <c r="D118" i="2"/>
  <c r="B117" i="2"/>
  <c r="C117" i="2"/>
  <c r="P117" i="2"/>
  <c r="F117" i="2"/>
  <c r="O117" i="2"/>
  <c r="E117" i="2"/>
  <c r="N117" i="2"/>
  <c r="D117" i="2"/>
  <c r="I128" i="2"/>
  <c r="L116" i="2"/>
  <c r="L128" i="2"/>
  <c r="H128" i="2"/>
  <c r="K116" i="2"/>
  <c r="K128" i="2"/>
  <c r="G128" i="2"/>
  <c r="J116" i="2"/>
  <c r="J128" i="2"/>
  <c r="I127" i="2"/>
  <c r="L127" i="2"/>
  <c r="H127" i="2"/>
  <c r="K127" i="2"/>
  <c r="G127" i="2"/>
  <c r="J127" i="2"/>
  <c r="I126" i="2"/>
  <c r="L126" i="2"/>
  <c r="H126" i="2"/>
  <c r="K126" i="2"/>
  <c r="G126" i="2"/>
  <c r="J126" i="2"/>
  <c r="I125" i="2"/>
  <c r="L125" i="2"/>
  <c r="H125" i="2"/>
  <c r="K125" i="2"/>
  <c r="G125" i="2"/>
  <c r="J125" i="2"/>
  <c r="I124" i="2"/>
  <c r="L124" i="2"/>
  <c r="H124" i="2"/>
  <c r="K124" i="2"/>
  <c r="G124" i="2"/>
  <c r="J124" i="2"/>
  <c r="I123" i="2"/>
  <c r="L123" i="2"/>
  <c r="H123" i="2"/>
  <c r="K123" i="2"/>
  <c r="G123" i="2"/>
  <c r="J123" i="2"/>
  <c r="I122" i="2"/>
  <c r="L122" i="2"/>
  <c r="H122" i="2"/>
  <c r="K122" i="2"/>
  <c r="G122" i="2"/>
  <c r="J122" i="2"/>
  <c r="I121" i="2"/>
  <c r="L121" i="2"/>
  <c r="H121" i="2"/>
  <c r="K121" i="2"/>
  <c r="G121" i="2"/>
  <c r="J121" i="2"/>
  <c r="I120" i="2"/>
  <c r="L120" i="2"/>
  <c r="H120" i="2"/>
  <c r="K120" i="2"/>
  <c r="G120" i="2"/>
  <c r="J120" i="2"/>
  <c r="I119" i="2"/>
  <c r="L119" i="2"/>
  <c r="H119" i="2"/>
  <c r="K119" i="2"/>
  <c r="G119" i="2"/>
  <c r="J119" i="2"/>
  <c r="I118" i="2"/>
  <c r="L118" i="2"/>
  <c r="H118" i="2"/>
  <c r="K118" i="2"/>
  <c r="G118" i="2"/>
  <c r="J118" i="2"/>
  <c r="I117" i="2"/>
  <c r="L117" i="2"/>
  <c r="H117" i="2"/>
  <c r="K117" i="2"/>
  <c r="G117" i="2"/>
  <c r="J117" i="2"/>
  <c r="F48" i="2"/>
  <c r="E48" i="2"/>
  <c r="D48" i="2"/>
  <c r="D109" i="2"/>
  <c r="D110" i="2"/>
  <c r="B60" i="2"/>
  <c r="C60" i="2"/>
  <c r="P60" i="2"/>
  <c r="O60" i="2"/>
  <c r="N60" i="2"/>
  <c r="B59" i="2"/>
  <c r="C59" i="2"/>
  <c r="P59" i="2"/>
  <c r="O59" i="2"/>
  <c r="N59" i="2"/>
  <c r="B58" i="2"/>
  <c r="C58" i="2"/>
  <c r="P58" i="2"/>
  <c r="O58" i="2"/>
  <c r="N58" i="2"/>
  <c r="B57" i="2"/>
  <c r="C57" i="2"/>
  <c r="P57" i="2"/>
  <c r="O57" i="2"/>
  <c r="N57" i="2"/>
  <c r="B56" i="2"/>
  <c r="C56" i="2"/>
  <c r="P56" i="2"/>
  <c r="O56" i="2"/>
  <c r="N56" i="2"/>
  <c r="B55" i="2"/>
  <c r="C55" i="2"/>
  <c r="P55" i="2"/>
  <c r="O55" i="2"/>
  <c r="N55" i="2"/>
  <c r="B54" i="2"/>
  <c r="C54" i="2"/>
  <c r="P54" i="2"/>
  <c r="O54" i="2"/>
  <c r="N54" i="2"/>
  <c r="B53" i="2"/>
  <c r="C53" i="2"/>
  <c r="P53" i="2"/>
  <c r="O53" i="2"/>
  <c r="N53" i="2"/>
  <c r="B52" i="2"/>
  <c r="C52" i="2"/>
  <c r="P52" i="2"/>
  <c r="O52" i="2"/>
  <c r="N52" i="2"/>
  <c r="B51" i="2"/>
  <c r="C51" i="2"/>
  <c r="P51" i="2"/>
  <c r="O51" i="2"/>
  <c r="N51" i="2"/>
  <c r="B50" i="2"/>
  <c r="C50" i="2"/>
  <c r="P50" i="2"/>
  <c r="O50" i="2"/>
  <c r="N50" i="2"/>
  <c r="B49" i="2"/>
  <c r="C49" i="2"/>
  <c r="P49" i="2"/>
  <c r="O49" i="2"/>
  <c r="N49" i="2"/>
  <c r="D49" i="2"/>
  <c r="I60" i="2"/>
  <c r="H60" i="2"/>
  <c r="G60" i="2"/>
  <c r="F60" i="2"/>
  <c r="E60" i="2"/>
  <c r="D60" i="2"/>
  <c r="I59" i="2"/>
  <c r="H59" i="2"/>
  <c r="G59" i="2"/>
  <c r="F59" i="2"/>
  <c r="E59" i="2"/>
  <c r="D59" i="2"/>
  <c r="I58" i="2"/>
  <c r="H58" i="2"/>
  <c r="G58" i="2"/>
  <c r="F58" i="2"/>
  <c r="E58" i="2"/>
  <c r="D58" i="2"/>
  <c r="I57" i="2"/>
  <c r="H57" i="2"/>
  <c r="G57" i="2"/>
  <c r="F57" i="2"/>
  <c r="E57" i="2"/>
  <c r="D57" i="2"/>
  <c r="I56" i="2"/>
  <c r="H56" i="2"/>
  <c r="G56" i="2"/>
  <c r="F56" i="2"/>
  <c r="E56" i="2"/>
  <c r="D56" i="2"/>
  <c r="I55" i="2"/>
  <c r="H55" i="2"/>
  <c r="G55" i="2"/>
  <c r="F55" i="2"/>
  <c r="E55" i="2"/>
  <c r="D55" i="2"/>
  <c r="I54" i="2"/>
  <c r="H54" i="2"/>
  <c r="G54" i="2"/>
  <c r="F54" i="2"/>
  <c r="E54" i="2"/>
  <c r="D54" i="2"/>
  <c r="I53" i="2"/>
  <c r="H53" i="2"/>
  <c r="G53" i="2"/>
  <c r="F53" i="2"/>
  <c r="E53" i="2"/>
  <c r="D53" i="2"/>
  <c r="I52" i="2"/>
  <c r="H52" i="2"/>
  <c r="G52" i="2"/>
  <c r="F52" i="2"/>
  <c r="E52" i="2"/>
  <c r="D52" i="2"/>
  <c r="I51" i="2"/>
  <c r="H51" i="2"/>
  <c r="G51" i="2"/>
  <c r="F51" i="2"/>
  <c r="E51" i="2"/>
  <c r="D51" i="2"/>
  <c r="I50" i="2"/>
  <c r="H50" i="2"/>
  <c r="G50" i="2"/>
  <c r="F50" i="2"/>
  <c r="E50" i="2"/>
  <c r="D50" i="2"/>
  <c r="I49" i="2"/>
  <c r="H49" i="2"/>
  <c r="G49" i="2"/>
  <c r="F49" i="2"/>
  <c r="E49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21" i="2"/>
  <c r="Q22" i="2"/>
  <c r="I48" i="2"/>
  <c r="H48" i="2"/>
  <c r="G48" i="2"/>
  <c r="D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8" i="2"/>
  <c r="S8" i="2"/>
  <c r="T7" i="2"/>
  <c r="S7" i="2"/>
  <c r="T6" i="2"/>
  <c r="S6" i="2"/>
  <c r="T5" i="2"/>
  <c r="S5" i="2"/>
</calcChain>
</file>

<file path=xl/sharedStrings.xml><?xml version="1.0" encoding="utf-8"?>
<sst xmlns="http://schemas.openxmlformats.org/spreadsheetml/2006/main" count="1355" uniqueCount="40">
  <si>
    <t>hostname:</t>
  </si>
  <si>
    <t>jobid: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</si>
  <si>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</si>
  <si>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</si>
  <si>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</si>
  <si>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</si>
  <si>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</si>
  <si>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</si>
  <si>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</si>
  <si>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</si>
  <si>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</si>
  <si>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</si>
  <si>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</si>
  <si>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</si>
  <si>
    <t>Threads</t>
  </si>
  <si>
    <t>Start</t>
  </si>
  <si>
    <t>Number</t>
  </si>
  <si>
    <t>Nrows</t>
  </si>
  <si>
    <t>Check NR</t>
  </si>
  <si>
    <t>Check Th</t>
  </si>
  <si>
    <t>Time</t>
  </si>
  <si>
    <t>gemiddelde</t>
  </si>
  <si>
    <t>max</t>
  </si>
  <si>
    <t>min</t>
  </si>
  <si>
    <t>speling</t>
  </si>
  <si>
    <t>Compute node:</t>
  </si>
  <si>
    <t>Speling tijd</t>
  </si>
  <si>
    <t>Key</t>
  </si>
  <si>
    <t>Variuant</t>
  </si>
  <si>
    <t>Size</t>
  </si>
  <si>
    <t>Cores/socket</t>
  </si>
  <si>
    <t>Sockets/node</t>
  </si>
  <si>
    <t>Flops/clock/core</t>
  </si>
  <si>
    <t>Gflops/core</t>
  </si>
  <si>
    <t>Gflops/node</t>
  </si>
  <si>
    <t>Clock (GHz)</t>
  </si>
  <si>
    <t>Efficiëntie berekend op basis van de nominale kloksnelheid</t>
  </si>
  <si>
    <t>Efficientie</t>
  </si>
  <si>
    <t>r3i2n4</t>
  </si>
  <si>
    <t>20252201.icts-p-svcs-1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</si>
</sst>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 &quot;thread(s)&quot;"/>
  </numFmts>
  <fonts count="3" x14ac:knownFonts="1"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0" fontId="0" fillId="0" borderId="21" xfId="0" applyNumberFormat="1" applyBorder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Alignment="1">
      <alignment horizontal="left"/>
    </xf>
    <xf numFmtId="10" fontId="0" fillId="0" borderId="1" xfId="0" applyNumberFormat="1" applyBorder="1"/>
    <xf numFmtId="2" fontId="0" fillId="0" borderId="1" xfId="0" applyNumberFormat="1" applyBorder="1"/>
    <xf numFmtId="10" fontId="0" fillId="0" borderId="11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6" xfId="0" applyNumberFormat="1" applyBorder="1"/>
    <xf numFmtId="10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2" xfId="0" applyBorder="1"/>
    <xf numFmtId="0" fontId="0" fillId="0" borderId="23" xfId="0" applyBorder="1"/>
    <xf numFmtId="10" fontId="0" fillId="0" borderId="10" xfId="0" applyNumberFormat="1" applyBorder="1"/>
    <xf numFmtId="10" fontId="0" fillId="0" borderId="5" xfId="0" applyNumberFormat="1" applyBorder="1"/>
    <xf numFmtId="10" fontId="0" fillId="0" borderId="7" xfId="0" applyNumberFormat="1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right"/>
    </xf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2" fontId="0" fillId="0" borderId="32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25" xfId="0" applyNumberFormat="1" applyBorder="1"/>
    <xf numFmtId="0" fontId="0" fillId="0" borderId="0" xfId="0"/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  <xf numFmtId="10" fontId="0" fillId="0" borderId="29" xfId="0" applyNumberFormat="1" applyBorder="1"/>
    <xf numFmtId="10" fontId="0" fillId="0" borderId="30" xfId="0" applyNumberFormat="1" applyBorder="1"/>
    <xf numFmtId="10" fontId="0" fillId="0" borderId="31" xfId="0" applyNumberFormat="1" applyBorder="1"/>
    <xf numFmtId="10" fontId="0" fillId="0" borderId="32" xfId="0" applyNumberFormat="1" applyBorder="1"/>
  </cellXfs>
  <cellStyles count="5">
    <cellStyle name="Gevolgde hyperlink" xfId="2" builtinId="9" hidden="1"/>
    <cellStyle name="Gevolgde hyperlink" xfId="4" builtinId="9" hidden="1"/>
    <cellStyle name="Hyperlink" xfId="1" builtinId="8" hidden="1"/>
    <cellStyle name="Hyperlink" xfId="3" builtinId="8" hidden="1"/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verwerking!$D$49:$D$54</c:f>
              <c:numCache>
                <c:formatCode>0.00%</c:formatCode>
                <c:ptCount val="6"/>
                <c:pt idx="0">
                  <c:v>0.00268705360238531</c:v>
                </c:pt>
                <c:pt idx="1">
                  <c:v>0.0049443336231736</c:v>
                </c:pt>
                <c:pt idx="2">
                  <c:v>0.00590197587888111</c:v>
                </c:pt>
                <c:pt idx="3">
                  <c:v>0.000853816560023291</c:v>
                </c:pt>
                <c:pt idx="4">
                  <c:v>0.00142345668072525</c:v>
                </c:pt>
                <c:pt idx="5">
                  <c:v>0.00105341236194374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verwerking!$E$49:$E$54</c:f>
              <c:numCache>
                <c:formatCode>0.00%</c:formatCode>
                <c:ptCount val="6"/>
                <c:pt idx="0">
                  <c:v>0.00982776835949988</c:v>
                </c:pt>
                <c:pt idx="1">
                  <c:v>0.0183405472819309</c:v>
                </c:pt>
                <c:pt idx="2">
                  <c:v>0.00966346966878451</c:v>
                </c:pt>
                <c:pt idx="3">
                  <c:v>0.03746672376652</c:v>
                </c:pt>
                <c:pt idx="4">
                  <c:v>0.0571547500242214</c:v>
                </c:pt>
                <c:pt idx="5">
                  <c:v>0.0512269127059632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verwerking!$F$49:$F$54</c:f>
              <c:numCache>
                <c:formatCode>0.00%</c:formatCode>
                <c:ptCount val="6"/>
                <c:pt idx="0">
                  <c:v>0.118465459053654</c:v>
                </c:pt>
                <c:pt idx="1">
                  <c:v>0.542800189298877</c:v>
                </c:pt>
                <c:pt idx="2">
                  <c:v>0.135696040868455</c:v>
                </c:pt>
                <c:pt idx="3">
                  <c:v>0.0112200503579751</c:v>
                </c:pt>
                <c:pt idx="4">
                  <c:v>0.00649306843862789</c:v>
                </c:pt>
                <c:pt idx="5">
                  <c:v>0.010618765177219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72483952"/>
        <c:axId val="-2075038096"/>
      </c:barChart>
      <c:catAx>
        <c:axId val="-207248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5038096"/>
        <c:crosses val="autoZero"/>
        <c:auto val="1"/>
        <c:lblAlgn val="ctr"/>
        <c:lblOffset val="100"/>
        <c:noMultiLvlLbl val="0"/>
      </c:catAx>
      <c:valAx>
        <c:axId val="-20750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248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verwerking!$D$55:$D$60</c:f>
              <c:numCache>
                <c:formatCode>0.00%</c:formatCode>
                <c:ptCount val="6"/>
                <c:pt idx="0">
                  <c:v>0.00842213819181852</c:v>
                </c:pt>
                <c:pt idx="1">
                  <c:v>0.0195295915768022</c:v>
                </c:pt>
                <c:pt idx="2">
                  <c:v>0.00110912038222001</c:v>
                </c:pt>
                <c:pt idx="3">
                  <c:v>0.000747522351462805</c:v>
                </c:pt>
                <c:pt idx="4">
                  <c:v>0.000763248656939438</c:v>
                </c:pt>
                <c:pt idx="5">
                  <c:v>0.000548712907415957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verwerking!$E$55:$E$60</c:f>
              <c:numCache>
                <c:formatCode>0.00%</c:formatCode>
                <c:ptCount val="6"/>
                <c:pt idx="0">
                  <c:v>0.00463080877075179</c:v>
                </c:pt>
                <c:pt idx="1">
                  <c:v>0.00232477042892005</c:v>
                </c:pt>
                <c:pt idx="2">
                  <c:v>0.00688136526286818</c:v>
                </c:pt>
                <c:pt idx="3">
                  <c:v>0.0021673186014535</c:v>
                </c:pt>
                <c:pt idx="4">
                  <c:v>0.00124980013116941</c:v>
                </c:pt>
                <c:pt idx="5">
                  <c:v>0.00856537687046413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verwerking!$F$55:$F$60</c:f>
              <c:numCache>
                <c:formatCode>0.00%</c:formatCode>
                <c:ptCount val="6"/>
                <c:pt idx="0">
                  <c:v>0.0936107375471349</c:v>
                </c:pt>
                <c:pt idx="1">
                  <c:v>0.10117518873064</c:v>
                </c:pt>
                <c:pt idx="2">
                  <c:v>0.110336081166772</c:v>
                </c:pt>
                <c:pt idx="3">
                  <c:v>0.0293466169451553</c:v>
                </c:pt>
                <c:pt idx="4">
                  <c:v>0.0303940840546285</c:v>
                </c:pt>
                <c:pt idx="5">
                  <c:v>0.070370490522537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72079200"/>
        <c:axId val="-2137742528"/>
      </c:barChart>
      <c:catAx>
        <c:axId val="-20720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37742528"/>
        <c:crosses val="autoZero"/>
        <c:auto val="1"/>
        <c:lblAlgn val="ctr"/>
        <c:lblOffset val="100"/>
        <c:noMultiLvlLbl val="0"/>
      </c:catAx>
      <c:valAx>
        <c:axId val="-21377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20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verwerking!$G$49:$G$54</c:f>
              <c:numCache>
                <c:formatCode>0.00</c:formatCode>
                <c:ptCount val="6"/>
                <c:pt idx="0">
                  <c:v>27.087</c:v>
                </c:pt>
                <c:pt idx="1">
                  <c:v>26.80034</c:v>
                </c:pt>
                <c:pt idx="2">
                  <c:v>27.05202</c:v>
                </c:pt>
                <c:pt idx="3">
                  <c:v>27.14838</c:v>
                </c:pt>
                <c:pt idx="4">
                  <c:v>26.97432</c:v>
                </c:pt>
                <c:pt idx="5">
                  <c:v>27.30172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verwerking!$H$49:$H$54</c:f>
              <c:numCache>
                <c:formatCode>0.00</c:formatCode>
                <c:ptCount val="6"/>
                <c:pt idx="0">
                  <c:v>383.9078479999999</c:v>
                </c:pt>
                <c:pt idx="1">
                  <c:v>384.3729680000001</c:v>
                </c:pt>
                <c:pt idx="2">
                  <c:v>382.0058379999999</c:v>
                </c:pt>
                <c:pt idx="3">
                  <c:v>404.421496</c:v>
                </c:pt>
                <c:pt idx="4">
                  <c:v>399.371216</c:v>
                </c:pt>
                <c:pt idx="5">
                  <c:v>403.371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verwerking!$I$49:$I$54</c:f>
              <c:numCache>
                <c:formatCode>0.00</c:formatCode>
                <c:ptCount val="6"/>
                <c:pt idx="0">
                  <c:v>215.4649860000001</c:v>
                </c:pt>
                <c:pt idx="1">
                  <c:v>239.420324</c:v>
                </c:pt>
                <c:pt idx="2">
                  <c:v>210.5094220000001</c:v>
                </c:pt>
                <c:pt idx="3">
                  <c:v>426.61924</c:v>
                </c:pt>
                <c:pt idx="4">
                  <c:v>422.261374</c:v>
                </c:pt>
                <c:pt idx="5">
                  <c:v>424.3302780000001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75352896"/>
        <c:axId val="-2075458112"/>
      </c:barChart>
      <c:catAx>
        <c:axId val="-207535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5458112"/>
        <c:crosses val="autoZero"/>
        <c:auto val="1"/>
        <c:lblAlgn val="ctr"/>
        <c:lblOffset val="100"/>
        <c:noMultiLvlLbl val="0"/>
      </c:catAx>
      <c:valAx>
        <c:axId val="-20754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535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verwerking!$G$55:$G$60</c:f>
              <c:numCache>
                <c:formatCode>0.00</c:formatCode>
                <c:ptCount val="6"/>
                <c:pt idx="0">
                  <c:v>26.85622</c:v>
                </c:pt>
                <c:pt idx="1">
                  <c:v>26.69578</c:v>
                </c:pt>
                <c:pt idx="2">
                  <c:v>26.98272</c:v>
                </c:pt>
                <c:pt idx="3">
                  <c:v>27.23212</c:v>
                </c:pt>
                <c:pt idx="4">
                  <c:v>27.1062</c:v>
                </c:pt>
                <c:pt idx="5">
                  <c:v>27.31318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verwerking!$H$55:$H$60</c:f>
              <c:numCache>
                <c:formatCode>0.00</c:formatCode>
                <c:ptCount val="6"/>
                <c:pt idx="0">
                  <c:v>361.785328</c:v>
                </c:pt>
                <c:pt idx="1">
                  <c:v>365.441448</c:v>
                </c:pt>
                <c:pt idx="2">
                  <c:v>362.72093</c:v>
                </c:pt>
                <c:pt idx="3">
                  <c:v>401.355038</c:v>
                </c:pt>
                <c:pt idx="4">
                  <c:v>397.3570939999998</c:v>
                </c:pt>
                <c:pt idx="5">
                  <c:v>409.1002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verwerking!$I$55:$I$60</c:f>
              <c:numCache>
                <c:formatCode>0.00</c:formatCode>
                <c:ptCount val="6"/>
                <c:pt idx="0">
                  <c:v>412.054828</c:v>
                </c:pt>
                <c:pt idx="1">
                  <c:v>407.904648</c:v>
                </c:pt>
                <c:pt idx="2">
                  <c:v>401.2726940000001</c:v>
                </c:pt>
                <c:pt idx="3">
                  <c:v>445.3273299999999</c:v>
                </c:pt>
                <c:pt idx="4">
                  <c:v>444.7057659999999</c:v>
                </c:pt>
                <c:pt idx="5">
                  <c:v>445.770048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74872736"/>
        <c:axId val="-2076056960"/>
      </c:barChart>
      <c:catAx>
        <c:axId val="-207487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6056960"/>
        <c:crosses val="autoZero"/>
        <c:auto val="1"/>
        <c:lblAlgn val="ctr"/>
        <c:lblOffset val="100"/>
        <c:noMultiLvlLbl val="0"/>
      </c:catAx>
      <c:valAx>
        <c:axId val="-207605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487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1704731</xdr:colOff>
      <xdr:row>64</xdr:row>
      <xdr:rowOff>978</xdr:rowOff>
    </xdr:from>
    <xdr:to>
      <xdr:col>7</xdr:col>
      <xdr:colOff>83039</xdr:colOff>
      <xdr:row>80</xdr:row>
      <xdr:rowOff>86947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7</xdr:col>
      <xdr:colOff>117231</xdr:colOff>
      <xdr:row>99</xdr:row>
      <xdr:rowOff>85969</xdr:rowOff>
    </xdr:to>
    <xdr:graphicFrame macro="">
      <xdr:nvGraphicFramePr>
        <xdr:cNvPr id="5" name="Grafie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64</xdr:row>
      <xdr:rowOff>0</xdr:rowOff>
    </xdr:from>
    <xdr:to>
      <xdr:col>12</xdr:col>
      <xdr:colOff>1250462</xdr:colOff>
      <xdr:row>80</xdr:row>
      <xdr:rowOff>85969</xdr:rowOff>
    </xdr:to>
    <xdr:graphicFrame macro="">
      <xdr:nvGraphicFramePr>
        <xdr:cNvPr id="6" name="Grafie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83</xdr:row>
      <xdr:rowOff>0</xdr:rowOff>
    </xdr:from>
    <xdr:to>
      <xdr:col>12</xdr:col>
      <xdr:colOff>1250462</xdr:colOff>
      <xdr:row>99</xdr:row>
      <xdr:rowOff>85969</xdr:rowOff>
    </xdr:to>
    <xdr:graphicFrame macro="">
      <xdr:nvGraphicFramePr>
        <xdr:cNvPr id="7" name="Grafie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6"/>
  <sheetViews>
    <sheetView zoomScale="130" zoomScaleNormal="130" zoomScalePageLayoutView="130" workbookViewId="0">
      <selection activeCell="K27" sqref="K27"/>
    </sheetView>
  </sheetViews>
  <sheetFormatPr baseColWidth="10" defaultColWidth="8.83203125" defaultRowHeight="13" x14ac:dyDescent="0.15"/>
  <cols>
    <col min="1" max="1" width="11.33203125" customWidth="1"/>
    <col min="7" max="7" width="11.33203125" customWidth="1"/>
    <col min="8" max="8" width="11.83203125" customWidth="1"/>
  </cols>
  <sheetData>
    <row r="1" spans="1:8" x14ac:dyDescent="0.15">
      <c r="A1" s="61" t="s">
        <v>0</v>
      </c>
      <c r="B1" s="61"/>
      <c r="C1" s="61" t="s">
        <v>38</v>
      </c>
      <c r="D1" s="61"/>
      <c r="E1" s="61"/>
      <c r="F1" s="61"/>
      <c r="G1" s="61"/>
      <c r="H1" s="61"/>
    </row>
    <row r="2" spans="1:8" x14ac:dyDescent="0.15">
      <c r="A2" s="61" t="s">
        <v>1</v>
      </c>
      <c r="B2" s="61"/>
      <c r="C2" s="61" t="s">
        <v>39</v>
      </c>
      <c r="D2" s="61"/>
      <c r="E2" s="61"/>
      <c r="F2" s="61"/>
      <c r="G2" s="61"/>
      <c r="H2" s="61"/>
    </row>
    <row r="3" spans="1:8" x14ac:dyDescent="0.15">
      <c r="A3" s="61"/>
      <c r="B3" s="61"/>
      <c r="C3" s="61"/>
      <c r="D3" s="61"/>
      <c r="E3" s="61"/>
      <c r="F3" s="61"/>
      <c r="G3" s="61"/>
      <c r="H3" s="61"/>
    </row>
    <row r="4" spans="1:8" x14ac:dyDescent="0.15">
      <c r="A4" s="61" t="s">
        <v>2</v>
      </c>
      <c r="B4" s="61"/>
      <c r="C4" s="61"/>
      <c r="D4" s="61"/>
      <c r="E4" s="61"/>
      <c r="F4" s="61"/>
      <c r="G4" s="61"/>
      <c r="H4" s="61"/>
    </row>
    <row r="5" spans="1:8" x14ac:dyDescent="0.15">
      <c r="A5" s="61"/>
      <c r="B5" s="61"/>
      <c r="C5" s="61"/>
      <c r="D5" s="61"/>
      <c r="E5" s="61"/>
      <c r="F5" s="61"/>
      <c r="G5" s="61"/>
      <c r="H5" s="61"/>
    </row>
    <row r="6" spans="1:8" x14ac:dyDescent="0.15">
      <c r="A6" s="61" t="s">
        <v>3</v>
      </c>
      <c r="B6" s="61" t="s">
        <v>4</v>
      </c>
      <c r="C6" s="61" t="s">
        <v>5</v>
      </c>
      <c r="D6" s="61" t="s">
        <v>6</v>
      </c>
      <c r="E6" s="61" t="s">
        <v>7</v>
      </c>
      <c r="F6" s="61" t="s">
        <v>8</v>
      </c>
      <c r="G6" s="61" t="s">
        <v>9</v>
      </c>
      <c r="H6" s="61" t="s">
        <v>10</v>
      </c>
    </row>
    <row r="7" spans="1:8" x14ac:dyDescent="0.15">
      <c r="A7" s="61" t="s">
        <v>11</v>
      </c>
      <c r="B7" s="61">
        <v>2500</v>
      </c>
      <c r="C7" s="61">
        <v>1</v>
      </c>
      <c r="D7" s="61">
        <v>1.1656</v>
      </c>
      <c r="E7" s="61">
        <v>26.8095</v>
      </c>
      <c r="F7" s="61">
        <v>1</v>
      </c>
      <c r="G7" s="61">
        <v>100</v>
      </c>
      <c r="H7" s="61">
        <v>1.1668000000000001</v>
      </c>
    </row>
    <row r="8" spans="1:8" x14ac:dyDescent="0.15">
      <c r="A8" s="61" t="s">
        <v>11</v>
      </c>
      <c r="B8" s="61">
        <v>2500</v>
      </c>
      <c r="C8" s="61">
        <v>1</v>
      </c>
      <c r="D8" s="61">
        <v>1.1529</v>
      </c>
      <c r="E8" s="61">
        <v>27.105599999999999</v>
      </c>
      <c r="F8" s="61">
        <v>1.0109999999999999</v>
      </c>
      <c r="G8" s="61">
        <v>101.1045</v>
      </c>
      <c r="H8" s="61">
        <v>1.1528</v>
      </c>
    </row>
    <row r="9" spans="1:8" x14ac:dyDescent="0.15">
      <c r="A9" s="61" t="s">
        <v>11</v>
      </c>
      <c r="B9" s="61">
        <v>2500</v>
      </c>
      <c r="C9" s="61">
        <v>1</v>
      </c>
      <c r="D9" s="61">
        <v>1.153</v>
      </c>
      <c r="E9" s="61">
        <v>27.1021</v>
      </c>
      <c r="F9" s="61">
        <v>1.0109999999999999</v>
      </c>
      <c r="G9" s="61">
        <v>101.09139999999999</v>
      </c>
      <c r="H9" s="61">
        <v>1.1537999999999999</v>
      </c>
    </row>
    <row r="10" spans="1:8" x14ac:dyDescent="0.15">
      <c r="A10" s="61" t="s">
        <v>11</v>
      </c>
      <c r="B10" s="61">
        <v>2500</v>
      </c>
      <c r="C10" s="61">
        <v>1</v>
      </c>
      <c r="D10" s="61">
        <v>1.1559999999999999</v>
      </c>
      <c r="E10" s="61">
        <v>27.033799999999999</v>
      </c>
      <c r="F10" s="61">
        <v>1.008</v>
      </c>
      <c r="G10" s="61">
        <v>100.8369</v>
      </c>
      <c r="H10" s="61">
        <v>1.1568000000000001</v>
      </c>
    </row>
    <row r="11" spans="1:8" x14ac:dyDescent="0.15">
      <c r="A11" s="61" t="s">
        <v>11</v>
      </c>
      <c r="B11" s="61">
        <v>2500</v>
      </c>
      <c r="C11" s="61">
        <v>1</v>
      </c>
      <c r="D11" s="61">
        <v>1.1536</v>
      </c>
      <c r="E11" s="61">
        <v>27.088899999999999</v>
      </c>
      <c r="F11" s="61">
        <v>1.01</v>
      </c>
      <c r="G11" s="61">
        <v>101.0423</v>
      </c>
      <c r="H11" s="61">
        <v>1.1537999999999999</v>
      </c>
    </row>
    <row r="12" spans="1:8" x14ac:dyDescent="0.15">
      <c r="A12" s="61" t="s">
        <v>11</v>
      </c>
      <c r="B12" s="61">
        <v>2500</v>
      </c>
      <c r="C12" s="61">
        <v>1</v>
      </c>
      <c r="D12" s="61">
        <v>1.1529</v>
      </c>
      <c r="E12" s="61">
        <v>27.104600000000001</v>
      </c>
      <c r="F12" s="61">
        <v>1.0109999999999999</v>
      </c>
      <c r="G12" s="61">
        <v>101.1007</v>
      </c>
      <c r="H12" s="61">
        <v>1.1537999999999999</v>
      </c>
    </row>
    <row r="13" spans="1:8" x14ac:dyDescent="0.15">
      <c r="A13" s="61" t="s">
        <v>11</v>
      </c>
      <c r="B13" s="61">
        <v>2500</v>
      </c>
      <c r="C13" s="61">
        <v>19</v>
      </c>
      <c r="D13" s="61">
        <v>8.3299999999999999E-2</v>
      </c>
      <c r="E13" s="61">
        <v>375.24369999999999</v>
      </c>
      <c r="F13" s="61">
        <v>13.997</v>
      </c>
      <c r="G13" s="61">
        <v>73.666799999999995</v>
      </c>
      <c r="H13" s="61">
        <v>1.5798000000000001</v>
      </c>
    </row>
    <row r="14" spans="1:8" x14ac:dyDescent="0.15">
      <c r="A14" s="61" t="s">
        <v>11</v>
      </c>
      <c r="B14" s="61">
        <v>2500</v>
      </c>
      <c r="C14" s="61">
        <v>19</v>
      </c>
      <c r="D14" s="61">
        <v>8.1500000000000003E-2</v>
      </c>
      <c r="E14" s="61">
        <v>383.27940000000001</v>
      </c>
      <c r="F14" s="61">
        <v>14.295999999999999</v>
      </c>
      <c r="G14" s="61">
        <v>75.244299999999996</v>
      </c>
      <c r="H14" s="61">
        <v>1.5488</v>
      </c>
    </row>
    <row r="15" spans="1:8" x14ac:dyDescent="0.15">
      <c r="A15" s="61" t="s">
        <v>11</v>
      </c>
      <c r="B15" s="61">
        <v>2500</v>
      </c>
      <c r="C15" s="61">
        <v>19</v>
      </c>
      <c r="D15" s="61">
        <v>8.2100000000000006E-2</v>
      </c>
      <c r="E15" s="61">
        <v>380.60320000000002</v>
      </c>
      <c r="F15" s="61">
        <v>14.196999999999999</v>
      </c>
      <c r="G15" s="61">
        <v>74.718999999999994</v>
      </c>
      <c r="H15" s="61">
        <v>1.5588</v>
      </c>
    </row>
    <row r="16" spans="1:8" x14ac:dyDescent="0.15">
      <c r="A16" s="61" t="s">
        <v>11</v>
      </c>
      <c r="B16" s="61">
        <v>2500</v>
      </c>
      <c r="C16" s="61">
        <v>19</v>
      </c>
      <c r="D16" s="61">
        <v>8.14E-2</v>
      </c>
      <c r="E16" s="61">
        <v>383.77280000000002</v>
      </c>
      <c r="F16" s="61">
        <v>14.315</v>
      </c>
      <c r="G16" s="61">
        <v>75.341200000000001</v>
      </c>
      <c r="H16" s="61">
        <v>1.5468</v>
      </c>
    </row>
    <row r="17" spans="1:8" x14ac:dyDescent="0.15">
      <c r="A17" s="61" t="s">
        <v>11</v>
      </c>
      <c r="B17" s="61">
        <v>2500</v>
      </c>
      <c r="C17" s="61">
        <v>19</v>
      </c>
      <c r="D17" s="61">
        <v>8.14E-2</v>
      </c>
      <c r="E17" s="61">
        <v>384.0204</v>
      </c>
      <c r="F17" s="61">
        <v>14.324</v>
      </c>
      <c r="G17" s="61">
        <v>75.389799999999994</v>
      </c>
      <c r="H17" s="61">
        <v>1.5468</v>
      </c>
    </row>
    <row r="18" spans="1:8" x14ac:dyDescent="0.15">
      <c r="A18" s="61" t="s">
        <v>11</v>
      </c>
      <c r="B18" s="61">
        <v>2500</v>
      </c>
      <c r="C18" s="61">
        <v>19</v>
      </c>
      <c r="D18" s="61">
        <v>8.14E-2</v>
      </c>
      <c r="E18" s="61">
        <v>384.05459999999999</v>
      </c>
      <c r="F18" s="61">
        <v>14.324999999999999</v>
      </c>
      <c r="G18" s="61">
        <v>75.396500000000003</v>
      </c>
      <c r="H18" s="61">
        <v>1.5458000000000001</v>
      </c>
    </row>
    <row r="19" spans="1:8" x14ac:dyDescent="0.15">
      <c r="A19" s="61" t="s">
        <v>11</v>
      </c>
      <c r="B19" s="61">
        <v>2500</v>
      </c>
      <c r="C19" s="61">
        <v>19</v>
      </c>
      <c r="D19" s="61">
        <v>8.1299999999999997E-2</v>
      </c>
      <c r="E19" s="61">
        <v>384.23009999999999</v>
      </c>
      <c r="F19" s="61">
        <v>14.332000000000001</v>
      </c>
      <c r="G19" s="61">
        <v>75.430999999999997</v>
      </c>
      <c r="H19" s="61">
        <v>1.5458000000000001</v>
      </c>
    </row>
    <row r="20" spans="1:8" x14ac:dyDescent="0.15">
      <c r="A20" s="61" t="s">
        <v>11</v>
      </c>
      <c r="B20" s="61">
        <v>2500</v>
      </c>
      <c r="C20" s="61">
        <v>19</v>
      </c>
      <c r="D20" s="61">
        <v>8.1299999999999997E-2</v>
      </c>
      <c r="E20" s="61">
        <v>384.42860000000002</v>
      </c>
      <c r="F20" s="61">
        <v>14.339</v>
      </c>
      <c r="G20" s="61">
        <v>75.469899999999996</v>
      </c>
      <c r="H20" s="61">
        <v>1.5448</v>
      </c>
    </row>
    <row r="21" spans="1:8" x14ac:dyDescent="0.15">
      <c r="A21" s="61" t="s">
        <v>11</v>
      </c>
      <c r="B21" s="61">
        <v>2500</v>
      </c>
      <c r="C21" s="61">
        <v>19</v>
      </c>
      <c r="D21" s="61">
        <v>8.1299999999999997E-2</v>
      </c>
      <c r="E21" s="61">
        <v>384.19920000000002</v>
      </c>
      <c r="F21" s="61">
        <v>14.331</v>
      </c>
      <c r="G21" s="61">
        <v>75.424899999999994</v>
      </c>
      <c r="H21" s="61">
        <v>1.5458000000000001</v>
      </c>
    </row>
    <row r="22" spans="1:8" x14ac:dyDescent="0.15">
      <c r="A22" s="61" t="s">
        <v>11</v>
      </c>
      <c r="B22" s="61">
        <v>2500</v>
      </c>
      <c r="C22" s="61">
        <v>19</v>
      </c>
      <c r="D22" s="61">
        <v>8.1299999999999997E-2</v>
      </c>
      <c r="E22" s="61">
        <v>384.17939999999999</v>
      </c>
      <c r="F22" s="61">
        <v>14.33</v>
      </c>
      <c r="G22" s="61">
        <v>75.421000000000006</v>
      </c>
      <c r="H22" s="61">
        <v>1.5458000000000001</v>
      </c>
    </row>
    <row r="23" spans="1:8" x14ac:dyDescent="0.15">
      <c r="A23" s="61" t="s">
        <v>11</v>
      </c>
      <c r="B23" s="61">
        <v>2500</v>
      </c>
      <c r="C23" s="61">
        <v>19</v>
      </c>
      <c r="D23" s="61">
        <v>8.1299999999999997E-2</v>
      </c>
      <c r="E23" s="61">
        <v>384.15929999999997</v>
      </c>
      <c r="F23" s="61">
        <v>14.329000000000001</v>
      </c>
      <c r="G23" s="61">
        <v>75.417100000000005</v>
      </c>
      <c r="H23" s="61">
        <v>1.5468</v>
      </c>
    </row>
    <row r="24" spans="1:8" x14ac:dyDescent="0.15">
      <c r="A24" s="61" t="s">
        <v>11</v>
      </c>
      <c r="B24" s="61">
        <v>2500</v>
      </c>
      <c r="C24" s="61">
        <v>19</v>
      </c>
      <c r="D24" s="61">
        <v>8.14E-2</v>
      </c>
      <c r="E24" s="61">
        <v>383.98180000000002</v>
      </c>
      <c r="F24" s="61">
        <v>14.323</v>
      </c>
      <c r="G24" s="61">
        <v>75.382199999999997</v>
      </c>
      <c r="H24" s="61">
        <v>1.5468</v>
      </c>
    </row>
    <row r="25" spans="1:8" x14ac:dyDescent="0.15">
      <c r="A25" s="61" t="s">
        <v>11</v>
      </c>
      <c r="B25" s="61">
        <v>2500</v>
      </c>
      <c r="C25" s="61">
        <v>19</v>
      </c>
      <c r="D25" s="61">
        <v>8.14E-2</v>
      </c>
      <c r="E25" s="61">
        <v>383.74520000000001</v>
      </c>
      <c r="F25" s="61">
        <v>14.314</v>
      </c>
      <c r="G25" s="61">
        <v>75.335800000000006</v>
      </c>
      <c r="H25" s="61">
        <v>1.5468</v>
      </c>
    </row>
    <row r="26" spans="1:8" x14ac:dyDescent="0.15">
      <c r="A26" s="61" t="s">
        <v>11</v>
      </c>
      <c r="B26" s="61">
        <v>2500</v>
      </c>
      <c r="C26" s="61">
        <v>19</v>
      </c>
      <c r="D26" s="61">
        <v>8.14E-2</v>
      </c>
      <c r="E26" s="61">
        <v>383.93799999999999</v>
      </c>
      <c r="F26" s="61">
        <v>14.321</v>
      </c>
      <c r="G26" s="61">
        <v>75.373599999999996</v>
      </c>
      <c r="H26" s="61">
        <v>1.5468</v>
      </c>
    </row>
    <row r="27" spans="1:8" x14ac:dyDescent="0.15">
      <c r="A27" s="61" t="s">
        <v>11</v>
      </c>
      <c r="B27" s="61">
        <v>2500</v>
      </c>
      <c r="C27" s="61">
        <v>19</v>
      </c>
      <c r="D27" s="61">
        <v>8.14E-2</v>
      </c>
      <c r="E27" s="61">
        <v>384.0247</v>
      </c>
      <c r="F27" s="61">
        <v>14.324</v>
      </c>
      <c r="G27" s="61">
        <v>75.390699999999995</v>
      </c>
      <c r="H27" s="61">
        <v>1.5458000000000001</v>
      </c>
    </row>
    <row r="28" spans="1:8" x14ac:dyDescent="0.15">
      <c r="A28" s="61" t="s">
        <v>11</v>
      </c>
      <c r="B28" s="61">
        <v>2500</v>
      </c>
      <c r="C28" s="61">
        <v>19</v>
      </c>
      <c r="D28" s="61">
        <v>8.14E-2</v>
      </c>
      <c r="E28" s="61">
        <v>384.005</v>
      </c>
      <c r="F28" s="61">
        <v>14.323</v>
      </c>
      <c r="G28" s="61">
        <v>75.386799999999994</v>
      </c>
      <c r="H28" s="61">
        <v>1.5468</v>
      </c>
    </row>
    <row r="29" spans="1:8" x14ac:dyDescent="0.15">
      <c r="A29" s="61" t="s">
        <v>11</v>
      </c>
      <c r="B29" s="61">
        <v>2500</v>
      </c>
      <c r="C29" s="61">
        <v>19</v>
      </c>
      <c r="D29" s="61">
        <v>8.1600000000000006E-2</v>
      </c>
      <c r="E29" s="61">
        <v>383.18389999999999</v>
      </c>
      <c r="F29" s="61">
        <v>14.292999999999999</v>
      </c>
      <c r="G29" s="61">
        <v>75.2256</v>
      </c>
      <c r="H29" s="61">
        <v>1.5498000000000001</v>
      </c>
    </row>
    <row r="30" spans="1:8" x14ac:dyDescent="0.15">
      <c r="A30" s="61" t="s">
        <v>11</v>
      </c>
      <c r="B30" s="61">
        <v>2500</v>
      </c>
      <c r="C30" s="61">
        <v>19</v>
      </c>
      <c r="D30" s="61">
        <v>8.14E-2</v>
      </c>
      <c r="E30" s="61">
        <v>383.8014</v>
      </c>
      <c r="F30" s="61">
        <v>14.316000000000001</v>
      </c>
      <c r="G30" s="61">
        <v>75.346800000000002</v>
      </c>
      <c r="H30" s="61">
        <v>1.5478000000000001</v>
      </c>
    </row>
    <row r="31" spans="1:8" x14ac:dyDescent="0.15">
      <c r="A31" s="61" t="s">
        <v>11</v>
      </c>
      <c r="B31" s="61">
        <v>2500</v>
      </c>
      <c r="C31" s="61">
        <v>19</v>
      </c>
      <c r="D31" s="61">
        <v>8.1299999999999997E-2</v>
      </c>
      <c r="E31" s="61">
        <v>384.38319999999999</v>
      </c>
      <c r="F31" s="61">
        <v>14.337999999999999</v>
      </c>
      <c r="G31" s="61">
        <v>75.460999999999999</v>
      </c>
      <c r="H31" s="61">
        <v>1.5448</v>
      </c>
    </row>
    <row r="32" spans="1:8" x14ac:dyDescent="0.15">
      <c r="A32" s="61" t="s">
        <v>11</v>
      </c>
      <c r="B32" s="61">
        <v>2500</v>
      </c>
      <c r="C32" s="61">
        <v>19</v>
      </c>
      <c r="D32" s="61">
        <v>8.1299999999999997E-2</v>
      </c>
      <c r="E32" s="61">
        <v>384.30970000000002</v>
      </c>
      <c r="F32" s="61">
        <v>14.335000000000001</v>
      </c>
      <c r="G32" s="61">
        <v>75.446600000000004</v>
      </c>
      <c r="H32" s="61">
        <v>1.5458000000000001</v>
      </c>
    </row>
    <row r="33" spans="1:8" x14ac:dyDescent="0.15">
      <c r="A33" s="61" t="s">
        <v>11</v>
      </c>
      <c r="B33" s="61">
        <v>2500</v>
      </c>
      <c r="C33" s="61">
        <v>19</v>
      </c>
      <c r="D33" s="61">
        <v>8.1299999999999997E-2</v>
      </c>
      <c r="E33" s="61">
        <v>384.17270000000002</v>
      </c>
      <c r="F33" s="61">
        <v>14.33</v>
      </c>
      <c r="G33" s="61">
        <v>75.419700000000006</v>
      </c>
      <c r="H33" s="61">
        <v>1.5458000000000001</v>
      </c>
    </row>
    <row r="34" spans="1:8" x14ac:dyDescent="0.15">
      <c r="A34" s="61" t="s">
        <v>11</v>
      </c>
      <c r="B34" s="61">
        <v>2500</v>
      </c>
      <c r="C34" s="61">
        <v>19</v>
      </c>
      <c r="D34" s="61">
        <v>8.1299999999999997E-2</v>
      </c>
      <c r="E34" s="61">
        <v>384.29849999999999</v>
      </c>
      <c r="F34" s="61">
        <v>14.334</v>
      </c>
      <c r="G34" s="61">
        <v>75.444400000000002</v>
      </c>
      <c r="H34" s="61">
        <v>1.5448</v>
      </c>
    </row>
    <row r="35" spans="1:8" x14ac:dyDescent="0.15">
      <c r="A35" s="61" t="s">
        <v>11</v>
      </c>
      <c r="B35" s="61">
        <v>2500</v>
      </c>
      <c r="C35" s="61">
        <v>19</v>
      </c>
      <c r="D35" s="61">
        <v>8.1299999999999997E-2</v>
      </c>
      <c r="E35" s="61">
        <v>384.31819999999999</v>
      </c>
      <c r="F35" s="61">
        <v>14.335000000000001</v>
      </c>
      <c r="G35" s="61">
        <v>75.448300000000003</v>
      </c>
      <c r="H35" s="61">
        <v>1.5458000000000001</v>
      </c>
    </row>
    <row r="36" spans="1:8" x14ac:dyDescent="0.15">
      <c r="A36" s="61" t="s">
        <v>11</v>
      </c>
      <c r="B36" s="61">
        <v>2500</v>
      </c>
      <c r="C36" s="61">
        <v>19</v>
      </c>
      <c r="D36" s="61">
        <v>8.14E-2</v>
      </c>
      <c r="E36" s="61">
        <v>384.07220000000001</v>
      </c>
      <c r="F36" s="61">
        <v>14.326000000000001</v>
      </c>
      <c r="G36" s="61">
        <v>75.400000000000006</v>
      </c>
      <c r="H36" s="61">
        <v>1.5458000000000001</v>
      </c>
    </row>
    <row r="37" spans="1:8" x14ac:dyDescent="0.15">
      <c r="A37" s="61" t="s">
        <v>11</v>
      </c>
      <c r="B37" s="61">
        <v>2500</v>
      </c>
      <c r="C37" s="61">
        <v>19</v>
      </c>
      <c r="D37" s="61">
        <v>8.14E-2</v>
      </c>
      <c r="E37" s="61">
        <v>383.89679999999998</v>
      </c>
      <c r="F37" s="61">
        <v>14.319000000000001</v>
      </c>
      <c r="G37" s="61">
        <v>75.365499999999997</v>
      </c>
      <c r="H37" s="61">
        <v>1.5468</v>
      </c>
    </row>
    <row r="38" spans="1:8" x14ac:dyDescent="0.15">
      <c r="A38" s="61" t="s">
        <v>11</v>
      </c>
      <c r="B38" s="61">
        <v>2500</v>
      </c>
      <c r="C38" s="61">
        <v>19</v>
      </c>
      <c r="D38" s="61">
        <v>8.14E-2</v>
      </c>
      <c r="E38" s="61">
        <v>383.72300000000001</v>
      </c>
      <c r="F38" s="61">
        <v>14.313000000000001</v>
      </c>
      <c r="G38" s="61">
        <v>75.331400000000002</v>
      </c>
      <c r="H38" s="61">
        <v>1.5478000000000001</v>
      </c>
    </row>
    <row r="39" spans="1:8" x14ac:dyDescent="0.15">
      <c r="A39" s="61" t="s">
        <v>11</v>
      </c>
      <c r="B39" s="61">
        <v>2500</v>
      </c>
      <c r="C39" s="61">
        <v>19</v>
      </c>
      <c r="D39" s="61">
        <v>8.14E-2</v>
      </c>
      <c r="E39" s="61">
        <v>384.06020000000001</v>
      </c>
      <c r="F39" s="61">
        <v>14.326000000000001</v>
      </c>
      <c r="G39" s="61">
        <v>75.397599999999997</v>
      </c>
      <c r="H39" s="61">
        <v>1.5458000000000001</v>
      </c>
    </row>
    <row r="40" spans="1:8" x14ac:dyDescent="0.15">
      <c r="A40" s="61" t="s">
        <v>11</v>
      </c>
      <c r="B40" s="61">
        <v>2500</v>
      </c>
      <c r="C40" s="61">
        <v>19</v>
      </c>
      <c r="D40" s="61">
        <v>8.14E-2</v>
      </c>
      <c r="E40" s="61">
        <v>383.95249999999999</v>
      </c>
      <c r="F40" s="61">
        <v>14.321999999999999</v>
      </c>
      <c r="G40" s="61">
        <v>75.376499999999993</v>
      </c>
      <c r="H40" s="61">
        <v>1.5458000000000001</v>
      </c>
    </row>
    <row r="41" spans="1:8" x14ac:dyDescent="0.15">
      <c r="A41" s="61" t="s">
        <v>11</v>
      </c>
      <c r="B41" s="61">
        <v>2500</v>
      </c>
      <c r="C41" s="61">
        <v>19</v>
      </c>
      <c r="D41" s="61">
        <v>8.14E-2</v>
      </c>
      <c r="E41" s="61">
        <v>383.86290000000002</v>
      </c>
      <c r="F41" s="61">
        <v>14.318</v>
      </c>
      <c r="G41" s="61">
        <v>75.358900000000006</v>
      </c>
      <c r="H41" s="61">
        <v>1.5468</v>
      </c>
    </row>
    <row r="42" spans="1:8" x14ac:dyDescent="0.15">
      <c r="A42" s="61" t="s">
        <v>11</v>
      </c>
      <c r="B42" s="61">
        <v>2500</v>
      </c>
      <c r="C42" s="61">
        <v>19</v>
      </c>
      <c r="D42" s="61">
        <v>8.14E-2</v>
      </c>
      <c r="E42" s="61">
        <v>383.9581</v>
      </c>
      <c r="F42" s="61">
        <v>14.321999999999999</v>
      </c>
      <c r="G42" s="61">
        <v>75.377600000000001</v>
      </c>
      <c r="H42" s="61">
        <v>1.5458000000000001</v>
      </c>
    </row>
    <row r="43" spans="1:8" x14ac:dyDescent="0.15">
      <c r="A43" s="61" t="s">
        <v>11</v>
      </c>
      <c r="B43" s="61">
        <v>2500</v>
      </c>
      <c r="C43" s="61">
        <v>19</v>
      </c>
      <c r="D43" s="61">
        <v>8.14E-2</v>
      </c>
      <c r="E43" s="61">
        <v>384.13150000000002</v>
      </c>
      <c r="F43" s="61">
        <v>14.327999999999999</v>
      </c>
      <c r="G43" s="61">
        <v>75.411600000000007</v>
      </c>
      <c r="H43" s="61">
        <v>1.5468</v>
      </c>
    </row>
    <row r="44" spans="1:8" x14ac:dyDescent="0.15">
      <c r="A44" s="61" t="s">
        <v>11</v>
      </c>
      <c r="B44" s="61">
        <v>2500</v>
      </c>
      <c r="C44" s="61">
        <v>19</v>
      </c>
      <c r="D44" s="61">
        <v>8.14E-2</v>
      </c>
      <c r="E44" s="61">
        <v>383.70760000000001</v>
      </c>
      <c r="F44" s="61">
        <v>14.311999999999999</v>
      </c>
      <c r="G44" s="61">
        <v>75.328400000000002</v>
      </c>
      <c r="H44" s="61">
        <v>1.5478000000000001</v>
      </c>
    </row>
    <row r="45" spans="1:8" x14ac:dyDescent="0.15">
      <c r="A45" s="61" t="s">
        <v>11</v>
      </c>
      <c r="B45" s="61">
        <v>2500</v>
      </c>
      <c r="C45" s="61">
        <v>19</v>
      </c>
      <c r="D45" s="61">
        <v>8.14E-2</v>
      </c>
      <c r="E45" s="61">
        <v>384.03269999999998</v>
      </c>
      <c r="F45" s="61">
        <v>14.324999999999999</v>
      </c>
      <c r="G45" s="61">
        <v>75.392200000000003</v>
      </c>
      <c r="H45" s="61">
        <v>1.5458000000000001</v>
      </c>
    </row>
    <row r="46" spans="1:8" x14ac:dyDescent="0.15">
      <c r="A46" s="61" t="s">
        <v>11</v>
      </c>
      <c r="B46" s="61">
        <v>2500</v>
      </c>
      <c r="C46" s="61">
        <v>19</v>
      </c>
      <c r="D46" s="61">
        <v>8.1500000000000003E-2</v>
      </c>
      <c r="E46" s="61">
        <v>383.63440000000003</v>
      </c>
      <c r="F46" s="61">
        <v>14.31</v>
      </c>
      <c r="G46" s="61">
        <v>75.313999999999993</v>
      </c>
      <c r="H46" s="61">
        <v>1.5488</v>
      </c>
    </row>
    <row r="47" spans="1:8" x14ac:dyDescent="0.15">
      <c r="A47" s="61" t="s">
        <v>11</v>
      </c>
      <c r="B47" s="61">
        <v>2500</v>
      </c>
      <c r="C47" s="61">
        <v>19</v>
      </c>
      <c r="D47" s="61">
        <v>8.1299999999999997E-2</v>
      </c>
      <c r="E47" s="61">
        <v>384.25470000000001</v>
      </c>
      <c r="F47" s="61">
        <v>14.333</v>
      </c>
      <c r="G47" s="61">
        <v>75.4358</v>
      </c>
      <c r="H47" s="61">
        <v>1.5448</v>
      </c>
    </row>
    <row r="48" spans="1:8" x14ac:dyDescent="0.15">
      <c r="A48" s="61" t="s">
        <v>11</v>
      </c>
      <c r="B48" s="61">
        <v>2500</v>
      </c>
      <c r="C48" s="61">
        <v>19</v>
      </c>
      <c r="D48" s="61">
        <v>8.14E-2</v>
      </c>
      <c r="E48" s="61">
        <v>383.98669999999998</v>
      </c>
      <c r="F48" s="61">
        <v>14.323</v>
      </c>
      <c r="G48" s="61">
        <v>75.383200000000002</v>
      </c>
      <c r="H48" s="61">
        <v>1.5468</v>
      </c>
    </row>
    <row r="49" spans="1:8" x14ac:dyDescent="0.15">
      <c r="A49" s="61" t="s">
        <v>11</v>
      </c>
      <c r="B49" s="61">
        <v>2500</v>
      </c>
      <c r="C49" s="61">
        <v>19</v>
      </c>
      <c r="D49" s="61">
        <v>8.1299999999999997E-2</v>
      </c>
      <c r="E49" s="61">
        <v>384.4</v>
      </c>
      <c r="F49" s="61">
        <v>14.337999999999999</v>
      </c>
      <c r="G49" s="61">
        <v>75.464299999999994</v>
      </c>
      <c r="H49" s="61">
        <v>1.5458000000000001</v>
      </c>
    </row>
    <row r="50" spans="1:8" x14ac:dyDescent="0.15">
      <c r="A50" s="61" t="s">
        <v>11</v>
      </c>
      <c r="B50" s="61">
        <v>2500</v>
      </c>
      <c r="C50" s="61">
        <v>19</v>
      </c>
      <c r="D50" s="61">
        <v>8.14E-2</v>
      </c>
      <c r="E50" s="61">
        <v>384.00540000000001</v>
      </c>
      <c r="F50" s="61">
        <v>14.324</v>
      </c>
      <c r="G50" s="61">
        <v>75.386899999999997</v>
      </c>
      <c r="H50" s="61">
        <v>1.5458000000000001</v>
      </c>
    </row>
    <row r="51" spans="1:8" x14ac:dyDescent="0.15">
      <c r="A51" s="61" t="s">
        <v>11</v>
      </c>
      <c r="B51" s="61">
        <v>2500</v>
      </c>
      <c r="C51" s="61">
        <v>19</v>
      </c>
      <c r="D51" s="61">
        <v>8.14E-2</v>
      </c>
      <c r="E51" s="61">
        <v>383.93</v>
      </c>
      <c r="F51" s="61">
        <v>14.321</v>
      </c>
      <c r="G51" s="61">
        <v>75.372100000000003</v>
      </c>
      <c r="H51" s="61">
        <v>1.5468</v>
      </c>
    </row>
    <row r="52" spans="1:8" x14ac:dyDescent="0.15">
      <c r="A52" s="61" t="s">
        <v>11</v>
      </c>
      <c r="B52" s="61">
        <v>2500</v>
      </c>
      <c r="C52" s="61">
        <v>19</v>
      </c>
      <c r="D52" s="61">
        <v>8.14E-2</v>
      </c>
      <c r="E52" s="61">
        <v>384.05739999999997</v>
      </c>
      <c r="F52" s="61">
        <v>14.324999999999999</v>
      </c>
      <c r="G52" s="61">
        <v>75.397099999999995</v>
      </c>
      <c r="H52" s="61">
        <v>1.5458000000000001</v>
      </c>
    </row>
    <row r="53" spans="1:8" x14ac:dyDescent="0.15">
      <c r="A53" s="61" t="s">
        <v>11</v>
      </c>
      <c r="B53" s="61">
        <v>2500</v>
      </c>
      <c r="C53" s="61">
        <v>19</v>
      </c>
      <c r="D53" s="61">
        <v>8.1299999999999997E-2</v>
      </c>
      <c r="E53" s="61">
        <v>384.5994</v>
      </c>
      <c r="F53" s="61">
        <v>14.346</v>
      </c>
      <c r="G53" s="61">
        <v>75.503500000000003</v>
      </c>
      <c r="H53" s="61">
        <v>1.5448</v>
      </c>
    </row>
    <row r="54" spans="1:8" x14ac:dyDescent="0.15">
      <c r="A54" s="61" t="s">
        <v>11</v>
      </c>
      <c r="B54" s="61">
        <v>2500</v>
      </c>
      <c r="C54" s="61">
        <v>19</v>
      </c>
      <c r="D54" s="61">
        <v>8.1299999999999997E-2</v>
      </c>
      <c r="E54" s="61">
        <v>384.44420000000002</v>
      </c>
      <c r="F54" s="61">
        <v>14.34</v>
      </c>
      <c r="G54" s="61">
        <v>75.472999999999999</v>
      </c>
      <c r="H54" s="61">
        <v>1.5438000000000001</v>
      </c>
    </row>
    <row r="55" spans="1:8" x14ac:dyDescent="0.15">
      <c r="A55" s="61" t="s">
        <v>11</v>
      </c>
      <c r="B55" s="61">
        <v>2500</v>
      </c>
      <c r="C55" s="61">
        <v>19</v>
      </c>
      <c r="D55" s="61">
        <v>8.14E-2</v>
      </c>
      <c r="E55" s="61">
        <v>383.97230000000002</v>
      </c>
      <c r="F55" s="61">
        <v>14.321999999999999</v>
      </c>
      <c r="G55" s="61">
        <v>75.380399999999995</v>
      </c>
      <c r="H55" s="61">
        <v>1.5468</v>
      </c>
    </row>
    <row r="56" spans="1:8" x14ac:dyDescent="0.15">
      <c r="A56" s="61" t="s">
        <v>11</v>
      </c>
      <c r="B56" s="61">
        <v>2500</v>
      </c>
      <c r="C56" s="61">
        <v>19</v>
      </c>
      <c r="D56" s="61">
        <v>8.14E-2</v>
      </c>
      <c r="E56" s="61">
        <v>383.7894</v>
      </c>
      <c r="F56" s="61">
        <v>14.315</v>
      </c>
      <c r="G56" s="61">
        <v>75.344499999999996</v>
      </c>
      <c r="H56" s="61">
        <v>1.5478000000000001</v>
      </c>
    </row>
    <row r="57" spans="1:8" x14ac:dyDescent="0.15">
      <c r="A57" s="61" t="s">
        <v>11</v>
      </c>
      <c r="B57" s="61">
        <v>2500</v>
      </c>
      <c r="C57" s="61">
        <v>19</v>
      </c>
      <c r="D57" s="61">
        <v>8.14E-2</v>
      </c>
      <c r="E57" s="61">
        <v>384.09410000000003</v>
      </c>
      <c r="F57" s="61">
        <v>14.327</v>
      </c>
      <c r="G57" s="61">
        <v>75.404300000000006</v>
      </c>
      <c r="H57" s="61">
        <v>1.5468</v>
      </c>
    </row>
    <row r="58" spans="1:8" x14ac:dyDescent="0.15">
      <c r="A58" s="61" t="s">
        <v>11</v>
      </c>
      <c r="B58" s="61">
        <v>2500</v>
      </c>
      <c r="C58" s="61">
        <v>19</v>
      </c>
      <c r="D58" s="61">
        <v>8.14E-2</v>
      </c>
      <c r="E58" s="61">
        <v>383.91980000000001</v>
      </c>
      <c r="F58" s="61">
        <v>14.32</v>
      </c>
      <c r="G58" s="61">
        <v>75.370099999999994</v>
      </c>
      <c r="H58" s="61">
        <v>1.5468</v>
      </c>
    </row>
    <row r="59" spans="1:8" x14ac:dyDescent="0.15">
      <c r="A59" s="61" t="s">
        <v>11</v>
      </c>
      <c r="B59" s="61">
        <v>2500</v>
      </c>
      <c r="C59" s="61">
        <v>19</v>
      </c>
      <c r="D59" s="61">
        <v>8.14E-2</v>
      </c>
      <c r="E59" s="61">
        <v>383.85</v>
      </c>
      <c r="F59" s="61">
        <v>14.318</v>
      </c>
      <c r="G59" s="61">
        <v>75.356300000000005</v>
      </c>
      <c r="H59" s="61">
        <v>1.5468</v>
      </c>
    </row>
    <row r="60" spans="1:8" x14ac:dyDescent="0.15">
      <c r="A60" s="61" t="s">
        <v>11</v>
      </c>
      <c r="B60" s="61">
        <v>2500</v>
      </c>
      <c r="C60" s="61">
        <v>19</v>
      </c>
      <c r="D60" s="61">
        <v>8.1600000000000006E-2</v>
      </c>
      <c r="E60" s="61">
        <v>382.8603</v>
      </c>
      <c r="F60" s="61">
        <v>14.281000000000001</v>
      </c>
      <c r="G60" s="61">
        <v>75.162099999999995</v>
      </c>
      <c r="H60" s="61">
        <v>1.5518000000000001</v>
      </c>
    </row>
    <row r="61" spans="1:8" x14ac:dyDescent="0.15">
      <c r="A61" s="61" t="s">
        <v>11</v>
      </c>
      <c r="B61" s="61">
        <v>2500</v>
      </c>
      <c r="C61" s="61">
        <v>19</v>
      </c>
      <c r="D61" s="61">
        <v>8.14E-2</v>
      </c>
      <c r="E61" s="61">
        <v>384.06939999999997</v>
      </c>
      <c r="F61" s="61">
        <v>14.326000000000001</v>
      </c>
      <c r="G61" s="61">
        <v>75.3994</v>
      </c>
      <c r="H61" s="61">
        <v>1.5458000000000001</v>
      </c>
    </row>
    <row r="62" spans="1:8" x14ac:dyDescent="0.15">
      <c r="A62" s="61" t="s">
        <v>11</v>
      </c>
      <c r="B62" s="61">
        <v>2500</v>
      </c>
      <c r="C62" s="61">
        <v>19</v>
      </c>
      <c r="D62" s="61">
        <v>8.1600000000000006E-2</v>
      </c>
      <c r="E62" s="61">
        <v>382.93270000000001</v>
      </c>
      <c r="F62" s="61">
        <v>14.282999999999999</v>
      </c>
      <c r="G62" s="61">
        <v>75.176299999999998</v>
      </c>
      <c r="H62" s="61">
        <v>1.5518000000000001</v>
      </c>
    </row>
    <row r="63" spans="1:8" x14ac:dyDescent="0.15">
      <c r="A63" s="61" t="s">
        <v>11</v>
      </c>
      <c r="B63" s="61">
        <v>2500</v>
      </c>
      <c r="C63" s="61">
        <v>19</v>
      </c>
      <c r="D63" s="61">
        <v>8.14E-2</v>
      </c>
      <c r="E63" s="61">
        <v>384.10539999999997</v>
      </c>
      <c r="F63" s="61">
        <v>14.327</v>
      </c>
      <c r="G63" s="61">
        <v>75.406499999999994</v>
      </c>
      <c r="H63" s="61">
        <v>1.5458000000000001</v>
      </c>
    </row>
    <row r="64" spans="1:8" x14ac:dyDescent="0.15">
      <c r="A64" s="61" t="s">
        <v>11</v>
      </c>
      <c r="B64" s="61">
        <v>2500</v>
      </c>
      <c r="C64" s="61">
        <v>20</v>
      </c>
      <c r="D64" s="61">
        <v>0.15310000000000001</v>
      </c>
      <c r="E64" s="61">
        <v>204.16229999999999</v>
      </c>
      <c r="F64" s="61">
        <v>7.6150000000000002</v>
      </c>
      <c r="G64" s="61">
        <v>38.076500000000003</v>
      </c>
      <c r="H64" s="61">
        <v>2.9096000000000002</v>
      </c>
    </row>
    <row r="65" spans="1:8" x14ac:dyDescent="0.15">
      <c r="A65" s="61" t="s">
        <v>11</v>
      </c>
      <c r="B65" s="61">
        <v>2500</v>
      </c>
      <c r="C65" s="61">
        <v>20</v>
      </c>
      <c r="D65" s="61">
        <v>0.1497</v>
      </c>
      <c r="E65" s="61">
        <v>208.72309999999999</v>
      </c>
      <c r="F65" s="61">
        <v>7.7850000000000001</v>
      </c>
      <c r="G65" s="61">
        <v>38.927100000000003</v>
      </c>
      <c r="H65" s="61">
        <v>2.8445999999999998</v>
      </c>
    </row>
    <row r="66" spans="1:8" x14ac:dyDescent="0.15">
      <c r="A66" s="61" t="s">
        <v>11</v>
      </c>
      <c r="B66" s="61">
        <v>2500</v>
      </c>
      <c r="C66" s="61">
        <v>20</v>
      </c>
      <c r="D66" s="61">
        <v>0.14990000000000001</v>
      </c>
      <c r="E66" s="61">
        <v>208.4958</v>
      </c>
      <c r="F66" s="61">
        <v>7.7770000000000001</v>
      </c>
      <c r="G66" s="61">
        <v>38.884700000000002</v>
      </c>
      <c r="H66" s="61">
        <v>2.8496000000000001</v>
      </c>
    </row>
    <row r="67" spans="1:8" x14ac:dyDescent="0.15">
      <c r="A67" s="61" t="s">
        <v>11</v>
      </c>
      <c r="B67" s="61">
        <v>2500</v>
      </c>
      <c r="C67" s="61">
        <v>20</v>
      </c>
      <c r="D67" s="61">
        <v>0.15140000000000001</v>
      </c>
      <c r="E67" s="61">
        <v>206.3956</v>
      </c>
      <c r="F67" s="61">
        <v>7.6989999999999998</v>
      </c>
      <c r="G67" s="61">
        <v>38.493099999999998</v>
      </c>
      <c r="H67" s="61">
        <v>2.8776000000000002</v>
      </c>
    </row>
    <row r="68" spans="1:8" x14ac:dyDescent="0.15">
      <c r="A68" s="61" t="s">
        <v>11</v>
      </c>
      <c r="B68" s="61">
        <v>2500</v>
      </c>
      <c r="C68" s="61">
        <v>20</v>
      </c>
      <c r="D68" s="61">
        <v>0.1497</v>
      </c>
      <c r="E68" s="61">
        <v>208.7389</v>
      </c>
      <c r="F68" s="61">
        <v>7.7859999999999996</v>
      </c>
      <c r="G68" s="61">
        <v>38.930100000000003</v>
      </c>
      <c r="H68" s="61">
        <v>2.8456000000000001</v>
      </c>
    </row>
    <row r="69" spans="1:8" x14ac:dyDescent="0.15">
      <c r="A69" s="61" t="s">
        <v>11</v>
      </c>
      <c r="B69" s="61">
        <v>2500</v>
      </c>
      <c r="C69" s="61">
        <v>20</v>
      </c>
      <c r="D69" s="61">
        <v>0.14929999999999999</v>
      </c>
      <c r="E69" s="61">
        <v>209.36449999999999</v>
      </c>
      <c r="F69" s="61">
        <v>7.8090000000000002</v>
      </c>
      <c r="G69" s="61">
        <v>39.046700000000001</v>
      </c>
      <c r="H69" s="61">
        <v>2.8365999999999998</v>
      </c>
    </row>
    <row r="70" spans="1:8" x14ac:dyDescent="0.15">
      <c r="A70" s="61" t="s">
        <v>11</v>
      </c>
      <c r="B70" s="61">
        <v>2500</v>
      </c>
      <c r="C70" s="61">
        <v>20</v>
      </c>
      <c r="D70" s="61">
        <v>0.14849999999999999</v>
      </c>
      <c r="E70" s="61">
        <v>210.4633</v>
      </c>
      <c r="F70" s="61">
        <v>7.85</v>
      </c>
      <c r="G70" s="61">
        <v>39.2517</v>
      </c>
      <c r="H70" s="61">
        <v>2.8206000000000002</v>
      </c>
    </row>
    <row r="71" spans="1:8" x14ac:dyDescent="0.15">
      <c r="A71" s="61" t="s">
        <v>11</v>
      </c>
      <c r="B71" s="61">
        <v>2500</v>
      </c>
      <c r="C71" s="61">
        <v>20</v>
      </c>
      <c r="D71" s="61">
        <v>0.14680000000000001</v>
      </c>
      <c r="E71" s="61">
        <v>212.88720000000001</v>
      </c>
      <c r="F71" s="61">
        <v>7.9409999999999998</v>
      </c>
      <c r="G71" s="61">
        <v>39.703699999999998</v>
      </c>
      <c r="H71" s="61">
        <v>2.7896000000000001</v>
      </c>
    </row>
    <row r="72" spans="1:8" x14ac:dyDescent="0.15">
      <c r="A72" s="61" t="s">
        <v>11</v>
      </c>
      <c r="B72" s="61">
        <v>2500</v>
      </c>
      <c r="C72" s="61">
        <v>20</v>
      </c>
      <c r="D72" s="61">
        <v>0.14949999999999999</v>
      </c>
      <c r="E72" s="61">
        <v>209.03620000000001</v>
      </c>
      <c r="F72" s="61">
        <v>7.7969999999999997</v>
      </c>
      <c r="G72" s="61">
        <v>38.985500000000002</v>
      </c>
      <c r="H72" s="61">
        <v>2.8405999999999998</v>
      </c>
    </row>
    <row r="73" spans="1:8" x14ac:dyDescent="0.15">
      <c r="A73" s="61" t="s">
        <v>11</v>
      </c>
      <c r="B73" s="61">
        <v>2500</v>
      </c>
      <c r="C73" s="61">
        <v>20</v>
      </c>
      <c r="D73" s="61">
        <v>0.14649999999999999</v>
      </c>
      <c r="E73" s="61">
        <v>213.37370000000001</v>
      </c>
      <c r="F73" s="61">
        <v>7.9589999999999996</v>
      </c>
      <c r="G73" s="61">
        <v>39.794499999999999</v>
      </c>
      <c r="H73" s="61">
        <v>2.7846000000000002</v>
      </c>
    </row>
    <row r="74" spans="1:8" x14ac:dyDescent="0.15">
      <c r="A74" s="61" t="s">
        <v>11</v>
      </c>
      <c r="B74" s="61">
        <v>2500</v>
      </c>
      <c r="C74" s="61">
        <v>20</v>
      </c>
      <c r="D74" s="61">
        <v>0.14419999999999999</v>
      </c>
      <c r="E74" s="61">
        <v>216.7465</v>
      </c>
      <c r="F74" s="61">
        <v>8.0850000000000009</v>
      </c>
      <c r="G74" s="61">
        <v>40.423499999999997</v>
      </c>
      <c r="H74" s="61">
        <v>2.7395999999999998</v>
      </c>
    </row>
    <row r="75" spans="1:8" x14ac:dyDescent="0.15">
      <c r="A75" s="61" t="s">
        <v>11</v>
      </c>
      <c r="B75" s="61">
        <v>2500</v>
      </c>
      <c r="C75" s="61">
        <v>20</v>
      </c>
      <c r="D75" s="61">
        <v>0.1444</v>
      </c>
      <c r="E75" s="61">
        <v>216.4307</v>
      </c>
      <c r="F75" s="61">
        <v>8.0730000000000004</v>
      </c>
      <c r="G75" s="61">
        <v>40.364600000000003</v>
      </c>
      <c r="H75" s="61">
        <v>2.7446000000000002</v>
      </c>
    </row>
    <row r="76" spans="1:8" x14ac:dyDescent="0.15">
      <c r="A76" s="61" t="s">
        <v>11</v>
      </c>
      <c r="B76" s="61">
        <v>2500</v>
      </c>
      <c r="C76" s="61">
        <v>20</v>
      </c>
      <c r="D76" s="61">
        <v>0.14710000000000001</v>
      </c>
      <c r="E76" s="61">
        <v>212.434</v>
      </c>
      <c r="F76" s="61">
        <v>7.9240000000000004</v>
      </c>
      <c r="G76" s="61">
        <v>39.619199999999999</v>
      </c>
      <c r="H76" s="61">
        <v>2.7926000000000002</v>
      </c>
    </row>
    <row r="77" spans="1:8" x14ac:dyDescent="0.15">
      <c r="A77" s="61" t="s">
        <v>11</v>
      </c>
      <c r="B77" s="61">
        <v>2500</v>
      </c>
      <c r="C77" s="61">
        <v>20</v>
      </c>
      <c r="D77" s="61">
        <v>0.1457</v>
      </c>
      <c r="E77" s="61">
        <v>214.46100000000001</v>
      </c>
      <c r="F77" s="61">
        <v>7.9989999999999997</v>
      </c>
      <c r="G77" s="61">
        <v>39.997300000000003</v>
      </c>
      <c r="H77" s="61">
        <v>2.7696000000000001</v>
      </c>
    </row>
    <row r="78" spans="1:8" x14ac:dyDescent="0.15">
      <c r="A78" s="61" t="s">
        <v>11</v>
      </c>
      <c r="B78" s="61">
        <v>2500</v>
      </c>
      <c r="C78" s="61">
        <v>20</v>
      </c>
      <c r="D78" s="61">
        <v>0.1454</v>
      </c>
      <c r="E78" s="61">
        <v>214.90950000000001</v>
      </c>
      <c r="F78" s="61">
        <v>8.016</v>
      </c>
      <c r="G78" s="61">
        <v>40.0809</v>
      </c>
      <c r="H78" s="61">
        <v>2.7635999999999998</v>
      </c>
    </row>
    <row r="79" spans="1:8" x14ac:dyDescent="0.15">
      <c r="A79" s="61" t="s">
        <v>11</v>
      </c>
      <c r="B79" s="61">
        <v>2500</v>
      </c>
      <c r="C79" s="61">
        <v>20</v>
      </c>
      <c r="D79" s="61">
        <v>0.1406</v>
      </c>
      <c r="E79" s="61">
        <v>222.2363</v>
      </c>
      <c r="F79" s="61">
        <v>8.2889999999999997</v>
      </c>
      <c r="G79" s="61">
        <v>41.447400000000002</v>
      </c>
      <c r="H79" s="61">
        <v>2.6726000000000001</v>
      </c>
    </row>
    <row r="80" spans="1:8" x14ac:dyDescent="0.15">
      <c r="A80" s="61" t="s">
        <v>11</v>
      </c>
      <c r="B80" s="61">
        <v>2500</v>
      </c>
      <c r="C80" s="61">
        <v>20</v>
      </c>
      <c r="D80" s="61">
        <v>0.14480000000000001</v>
      </c>
      <c r="E80" s="61">
        <v>215.78729999999999</v>
      </c>
      <c r="F80" s="61">
        <v>8.0489999999999995</v>
      </c>
      <c r="G80" s="61">
        <v>40.244599999999998</v>
      </c>
      <c r="H80" s="61">
        <v>2.7526000000000002</v>
      </c>
    </row>
    <row r="81" spans="1:8" x14ac:dyDescent="0.15">
      <c r="A81" s="61" t="s">
        <v>11</v>
      </c>
      <c r="B81" s="61">
        <v>2500</v>
      </c>
      <c r="C81" s="61">
        <v>20</v>
      </c>
      <c r="D81" s="61">
        <v>0.13769999999999999</v>
      </c>
      <c r="E81" s="61">
        <v>226.95079999999999</v>
      </c>
      <c r="F81" s="61">
        <v>8.4649999999999999</v>
      </c>
      <c r="G81" s="61">
        <v>42.326599999999999</v>
      </c>
      <c r="H81" s="61">
        <v>2.6166</v>
      </c>
    </row>
    <row r="82" spans="1:8" x14ac:dyDescent="0.15">
      <c r="A82" s="61" t="s">
        <v>11</v>
      </c>
      <c r="B82" s="61">
        <v>2500</v>
      </c>
      <c r="C82" s="61">
        <v>20</v>
      </c>
      <c r="D82" s="61">
        <v>0.14269999999999999</v>
      </c>
      <c r="E82" s="61">
        <v>218.95169999999999</v>
      </c>
      <c r="F82" s="61">
        <v>8.1669999999999998</v>
      </c>
      <c r="G82" s="61">
        <v>40.834800000000001</v>
      </c>
      <c r="H82" s="61">
        <v>2.7126000000000001</v>
      </c>
    </row>
    <row r="83" spans="1:8" x14ac:dyDescent="0.15">
      <c r="A83" s="61" t="s">
        <v>11</v>
      </c>
      <c r="B83" s="61">
        <v>2500</v>
      </c>
      <c r="C83" s="61">
        <v>20</v>
      </c>
      <c r="D83" s="61">
        <v>0.1447</v>
      </c>
      <c r="E83" s="61">
        <v>215.9256</v>
      </c>
      <c r="F83" s="61">
        <v>8.0540000000000003</v>
      </c>
      <c r="G83" s="61">
        <v>40.270400000000002</v>
      </c>
      <c r="H83" s="61">
        <v>2.7505999999999999</v>
      </c>
    </row>
    <row r="84" spans="1:8" x14ac:dyDescent="0.15">
      <c r="A84" s="61" t="s">
        <v>11</v>
      </c>
      <c r="B84" s="61">
        <v>2500</v>
      </c>
      <c r="C84" s="61">
        <v>20</v>
      </c>
      <c r="D84" s="61">
        <v>0.14430000000000001</v>
      </c>
      <c r="E84" s="61">
        <v>216.49279999999999</v>
      </c>
      <c r="F84" s="61">
        <v>8.0749999999999993</v>
      </c>
      <c r="G84" s="61">
        <v>40.376199999999997</v>
      </c>
      <c r="H84" s="61">
        <v>2.7435999999999998</v>
      </c>
    </row>
    <row r="85" spans="1:8" x14ac:dyDescent="0.15">
      <c r="A85" s="61" t="s">
        <v>11</v>
      </c>
      <c r="B85" s="61">
        <v>2500</v>
      </c>
      <c r="C85" s="61">
        <v>20</v>
      </c>
      <c r="D85" s="61">
        <v>0.13619999999999999</v>
      </c>
      <c r="E85" s="61">
        <v>229.46530000000001</v>
      </c>
      <c r="F85" s="61">
        <v>8.5589999999999993</v>
      </c>
      <c r="G85" s="61">
        <v>42.7956</v>
      </c>
      <c r="H85" s="61">
        <v>2.5876000000000001</v>
      </c>
    </row>
    <row r="86" spans="1:8" x14ac:dyDescent="0.15">
      <c r="A86" s="61" t="s">
        <v>11</v>
      </c>
      <c r="B86" s="61">
        <v>2500</v>
      </c>
      <c r="C86" s="61">
        <v>20</v>
      </c>
      <c r="D86" s="61">
        <v>0.14000000000000001</v>
      </c>
      <c r="E86" s="61">
        <v>223.24080000000001</v>
      </c>
      <c r="F86" s="61">
        <v>8.327</v>
      </c>
      <c r="G86" s="61">
        <v>41.634700000000002</v>
      </c>
      <c r="H86" s="61">
        <v>2.6606000000000001</v>
      </c>
    </row>
    <row r="87" spans="1:8" x14ac:dyDescent="0.15">
      <c r="A87" s="61" t="s">
        <v>11</v>
      </c>
      <c r="B87" s="61">
        <v>2500</v>
      </c>
      <c r="C87" s="61">
        <v>20</v>
      </c>
      <c r="D87" s="61">
        <v>0.13930000000000001</v>
      </c>
      <c r="E87" s="61">
        <v>224.29249999999999</v>
      </c>
      <c r="F87" s="61">
        <v>8.3659999999999997</v>
      </c>
      <c r="G87" s="61">
        <v>41.830800000000004</v>
      </c>
      <c r="H87" s="61">
        <v>2.6476000000000002</v>
      </c>
    </row>
    <row r="88" spans="1:8" x14ac:dyDescent="0.15">
      <c r="A88" s="61" t="s">
        <v>11</v>
      </c>
      <c r="B88" s="61">
        <v>2500</v>
      </c>
      <c r="C88" s="61">
        <v>20</v>
      </c>
      <c r="D88" s="61">
        <v>0.14960000000000001</v>
      </c>
      <c r="E88" s="61">
        <v>208.86449999999999</v>
      </c>
      <c r="F88" s="61">
        <v>7.7910000000000004</v>
      </c>
      <c r="G88" s="61">
        <v>38.953499999999998</v>
      </c>
      <c r="H88" s="61">
        <v>2.8445999999999998</v>
      </c>
    </row>
    <row r="89" spans="1:8" x14ac:dyDescent="0.15">
      <c r="A89" s="61" t="s">
        <v>11</v>
      </c>
      <c r="B89" s="61">
        <v>2500</v>
      </c>
      <c r="C89" s="61">
        <v>20</v>
      </c>
      <c r="D89" s="61">
        <v>0.1452</v>
      </c>
      <c r="E89" s="61">
        <v>215.24270000000001</v>
      </c>
      <c r="F89" s="61">
        <v>8.0289999999999999</v>
      </c>
      <c r="G89" s="61">
        <v>40.143099999999997</v>
      </c>
      <c r="H89" s="61">
        <v>2.7595999999999998</v>
      </c>
    </row>
    <row r="90" spans="1:8" x14ac:dyDescent="0.15">
      <c r="A90" s="61" t="s">
        <v>11</v>
      </c>
      <c r="B90" s="61">
        <v>2500</v>
      </c>
      <c r="C90" s="61">
        <v>20</v>
      </c>
      <c r="D90" s="61">
        <v>0.14449999999999999</v>
      </c>
      <c r="E90" s="61">
        <v>216.22290000000001</v>
      </c>
      <c r="F90" s="61">
        <v>8.0649999999999995</v>
      </c>
      <c r="G90" s="61">
        <v>40.325800000000001</v>
      </c>
      <c r="H90" s="61">
        <v>2.7465999999999999</v>
      </c>
    </row>
    <row r="91" spans="1:8" x14ac:dyDescent="0.15">
      <c r="A91" s="61" t="s">
        <v>11</v>
      </c>
      <c r="B91" s="61">
        <v>2500</v>
      </c>
      <c r="C91" s="61">
        <v>20</v>
      </c>
      <c r="D91" s="61">
        <v>0.14319999999999999</v>
      </c>
      <c r="E91" s="61">
        <v>218.20930000000001</v>
      </c>
      <c r="F91" s="61">
        <v>8.1389999999999993</v>
      </c>
      <c r="G91" s="61">
        <v>40.696300000000001</v>
      </c>
      <c r="H91" s="61">
        <v>2.7216</v>
      </c>
    </row>
    <row r="92" spans="1:8" x14ac:dyDescent="0.15">
      <c r="A92" s="61" t="s">
        <v>11</v>
      </c>
      <c r="B92" s="61">
        <v>2500</v>
      </c>
      <c r="C92" s="61">
        <v>20</v>
      </c>
      <c r="D92" s="61">
        <v>0.1376</v>
      </c>
      <c r="E92" s="61">
        <v>227.12979999999999</v>
      </c>
      <c r="F92" s="61">
        <v>8.4719999999999995</v>
      </c>
      <c r="G92" s="61">
        <v>42.36</v>
      </c>
      <c r="H92" s="61">
        <v>2.6156000000000001</v>
      </c>
    </row>
    <row r="93" spans="1:8" x14ac:dyDescent="0.15">
      <c r="A93" s="61" t="s">
        <v>11</v>
      </c>
      <c r="B93" s="61">
        <v>2500</v>
      </c>
      <c r="C93" s="61">
        <v>20</v>
      </c>
      <c r="D93" s="61">
        <v>0.13800000000000001</v>
      </c>
      <c r="E93" s="61">
        <v>226.43090000000001</v>
      </c>
      <c r="F93" s="61">
        <v>8.4459999999999997</v>
      </c>
      <c r="G93" s="61">
        <v>42.229700000000001</v>
      </c>
      <c r="H93" s="61">
        <v>2.6225999999999998</v>
      </c>
    </row>
    <row r="94" spans="1:8" x14ac:dyDescent="0.15">
      <c r="A94" s="61" t="s">
        <v>11</v>
      </c>
      <c r="B94" s="61">
        <v>2500</v>
      </c>
      <c r="C94" s="61">
        <v>20</v>
      </c>
      <c r="D94" s="61">
        <v>0.1404</v>
      </c>
      <c r="E94" s="61">
        <v>222.59119999999999</v>
      </c>
      <c r="F94" s="61">
        <v>8.3030000000000008</v>
      </c>
      <c r="G94" s="61">
        <v>41.513500000000001</v>
      </c>
      <c r="H94" s="61">
        <v>2.6686000000000001</v>
      </c>
    </row>
    <row r="95" spans="1:8" x14ac:dyDescent="0.15">
      <c r="A95" s="61" t="s">
        <v>11</v>
      </c>
      <c r="B95" s="61">
        <v>2500</v>
      </c>
      <c r="C95" s="61">
        <v>20</v>
      </c>
      <c r="D95" s="61">
        <v>0.14119999999999999</v>
      </c>
      <c r="E95" s="61">
        <v>221.321</v>
      </c>
      <c r="F95" s="61">
        <v>8.2550000000000008</v>
      </c>
      <c r="G95" s="61">
        <v>41.276699999999998</v>
      </c>
      <c r="H95" s="61">
        <v>2.6836000000000002</v>
      </c>
    </row>
    <row r="96" spans="1:8" x14ac:dyDescent="0.15">
      <c r="A96" s="61" t="s">
        <v>11</v>
      </c>
      <c r="B96" s="61">
        <v>2500</v>
      </c>
      <c r="C96" s="61">
        <v>20</v>
      </c>
      <c r="D96" s="61">
        <v>0.13869999999999999</v>
      </c>
      <c r="E96" s="61">
        <v>225.35059999999999</v>
      </c>
      <c r="F96" s="61">
        <v>8.4060000000000006</v>
      </c>
      <c r="G96" s="61">
        <v>42.028199999999998</v>
      </c>
      <c r="H96" s="61">
        <v>2.6356000000000002</v>
      </c>
    </row>
    <row r="97" spans="1:8" x14ac:dyDescent="0.15">
      <c r="A97" s="61" t="s">
        <v>11</v>
      </c>
      <c r="B97" s="61">
        <v>2500</v>
      </c>
      <c r="C97" s="61">
        <v>20</v>
      </c>
      <c r="D97" s="61">
        <v>0.14180000000000001</v>
      </c>
      <c r="E97" s="61">
        <v>220.3553</v>
      </c>
      <c r="F97" s="61">
        <v>8.2189999999999994</v>
      </c>
      <c r="G97" s="61">
        <v>41.096600000000002</v>
      </c>
      <c r="H97" s="61">
        <v>2.6956000000000002</v>
      </c>
    </row>
    <row r="98" spans="1:8" x14ac:dyDescent="0.15">
      <c r="A98" s="61" t="s">
        <v>11</v>
      </c>
      <c r="B98" s="61">
        <v>2500</v>
      </c>
      <c r="C98" s="61">
        <v>20</v>
      </c>
      <c r="D98" s="61">
        <v>0.1366</v>
      </c>
      <c r="E98" s="61">
        <v>228.71029999999999</v>
      </c>
      <c r="F98" s="61">
        <v>8.5310000000000006</v>
      </c>
      <c r="G98" s="61">
        <v>42.654800000000002</v>
      </c>
      <c r="H98" s="61">
        <v>2.5966</v>
      </c>
    </row>
    <row r="99" spans="1:8" x14ac:dyDescent="0.15">
      <c r="A99" s="61" t="s">
        <v>11</v>
      </c>
      <c r="B99" s="61">
        <v>2500</v>
      </c>
      <c r="C99" s="61">
        <v>20</v>
      </c>
      <c r="D99" s="61">
        <v>0.1462</v>
      </c>
      <c r="E99" s="61">
        <v>213.79509999999999</v>
      </c>
      <c r="F99" s="61">
        <v>7.9749999999999996</v>
      </c>
      <c r="G99" s="61">
        <v>39.873100000000001</v>
      </c>
      <c r="H99" s="61">
        <v>2.7786</v>
      </c>
    </row>
    <row r="100" spans="1:8" x14ac:dyDescent="0.15">
      <c r="A100" s="61" t="s">
        <v>11</v>
      </c>
      <c r="B100" s="61">
        <v>2500</v>
      </c>
      <c r="C100" s="61">
        <v>20</v>
      </c>
      <c r="D100" s="61">
        <v>0.14199999999999999</v>
      </c>
      <c r="E100" s="61">
        <v>220.01910000000001</v>
      </c>
      <c r="F100" s="61">
        <v>8.2070000000000007</v>
      </c>
      <c r="G100" s="61">
        <v>41.033900000000003</v>
      </c>
      <c r="H100" s="61">
        <v>2.6985999999999999</v>
      </c>
    </row>
    <row r="101" spans="1:8" x14ac:dyDescent="0.15">
      <c r="A101" s="61" t="s">
        <v>11</v>
      </c>
      <c r="B101" s="61">
        <v>2500</v>
      </c>
      <c r="C101" s="61">
        <v>20</v>
      </c>
      <c r="D101" s="61">
        <v>0.13880000000000001</v>
      </c>
      <c r="E101" s="61">
        <v>225.2064</v>
      </c>
      <c r="F101" s="61">
        <v>8.4</v>
      </c>
      <c r="G101" s="61">
        <v>42.001300000000001</v>
      </c>
      <c r="H101" s="61">
        <v>2.6375999999999999</v>
      </c>
    </row>
    <row r="102" spans="1:8" x14ac:dyDescent="0.15">
      <c r="A102" s="61" t="s">
        <v>11</v>
      </c>
      <c r="B102" s="61">
        <v>2500</v>
      </c>
      <c r="C102" s="61">
        <v>20</v>
      </c>
      <c r="D102" s="61">
        <v>0.1368</v>
      </c>
      <c r="E102" s="61">
        <v>228.512</v>
      </c>
      <c r="F102" s="61">
        <v>8.5239999999999991</v>
      </c>
      <c r="G102" s="61">
        <v>42.617800000000003</v>
      </c>
      <c r="H102" s="61">
        <v>2.5996000000000001</v>
      </c>
    </row>
    <row r="103" spans="1:8" x14ac:dyDescent="0.15">
      <c r="A103" s="61" t="s">
        <v>11</v>
      </c>
      <c r="B103" s="61">
        <v>2500</v>
      </c>
      <c r="C103" s="61">
        <v>20</v>
      </c>
      <c r="D103" s="61">
        <v>0.1469</v>
      </c>
      <c r="E103" s="61">
        <v>212.77279999999999</v>
      </c>
      <c r="F103" s="61">
        <v>7.9359999999999999</v>
      </c>
      <c r="G103" s="61">
        <v>39.682400000000001</v>
      </c>
      <c r="H103" s="61">
        <v>2.7915999999999999</v>
      </c>
    </row>
    <row r="104" spans="1:8" x14ac:dyDescent="0.15">
      <c r="A104" s="61" t="s">
        <v>11</v>
      </c>
      <c r="B104" s="61">
        <v>2500</v>
      </c>
      <c r="C104" s="61">
        <v>20</v>
      </c>
      <c r="D104" s="61">
        <v>0.1497</v>
      </c>
      <c r="E104" s="61">
        <v>208.75360000000001</v>
      </c>
      <c r="F104" s="61">
        <v>7.7869999999999999</v>
      </c>
      <c r="G104" s="61">
        <v>38.9328</v>
      </c>
      <c r="H104" s="61">
        <v>2.8445999999999998</v>
      </c>
    </row>
    <row r="105" spans="1:8" x14ac:dyDescent="0.15">
      <c r="A105" s="61" t="s">
        <v>11</v>
      </c>
      <c r="B105" s="61">
        <v>2500</v>
      </c>
      <c r="C105" s="61">
        <v>20</v>
      </c>
      <c r="D105" s="61">
        <v>0.1497</v>
      </c>
      <c r="E105" s="61">
        <v>208.7944</v>
      </c>
      <c r="F105" s="61">
        <v>7.7880000000000003</v>
      </c>
      <c r="G105" s="61">
        <v>38.940399999999997</v>
      </c>
      <c r="H105" s="61">
        <v>2.8445999999999998</v>
      </c>
    </row>
    <row r="106" spans="1:8" x14ac:dyDescent="0.15">
      <c r="A106" s="61" t="s">
        <v>11</v>
      </c>
      <c r="B106" s="61">
        <v>2500</v>
      </c>
      <c r="C106" s="61">
        <v>20</v>
      </c>
      <c r="D106" s="61">
        <v>0.15129999999999999</v>
      </c>
      <c r="E106" s="61">
        <v>206.4957</v>
      </c>
      <c r="F106" s="61">
        <v>7.702</v>
      </c>
      <c r="G106" s="61">
        <v>38.511699999999998</v>
      </c>
      <c r="H106" s="61">
        <v>2.8696000000000002</v>
      </c>
    </row>
    <row r="107" spans="1:8" x14ac:dyDescent="0.15">
      <c r="A107" s="61" t="s">
        <v>11</v>
      </c>
      <c r="B107" s="61">
        <v>2500</v>
      </c>
      <c r="C107" s="61">
        <v>20</v>
      </c>
      <c r="D107" s="61">
        <v>0.1515</v>
      </c>
      <c r="E107" s="61">
        <v>206.22219999999999</v>
      </c>
      <c r="F107" s="61">
        <v>7.6920000000000002</v>
      </c>
      <c r="G107" s="61">
        <v>38.460700000000003</v>
      </c>
      <c r="H107" s="61">
        <v>2.8795999999999999</v>
      </c>
    </row>
    <row r="108" spans="1:8" x14ac:dyDescent="0.15">
      <c r="A108" s="61" t="s">
        <v>11</v>
      </c>
      <c r="B108" s="61">
        <v>2500</v>
      </c>
      <c r="C108" s="61">
        <v>20</v>
      </c>
      <c r="D108" s="61">
        <v>0.14949999999999999</v>
      </c>
      <c r="E108" s="61">
        <v>209.05879999999999</v>
      </c>
      <c r="F108" s="61">
        <v>7.798</v>
      </c>
      <c r="G108" s="61">
        <v>38.989800000000002</v>
      </c>
      <c r="H108" s="61">
        <v>2.8416000000000001</v>
      </c>
    </row>
    <row r="109" spans="1:8" x14ac:dyDescent="0.15">
      <c r="A109" s="61" t="s">
        <v>11</v>
      </c>
      <c r="B109" s="61">
        <v>2500</v>
      </c>
      <c r="C109" s="61">
        <v>20</v>
      </c>
      <c r="D109" s="61">
        <v>0.14949999999999999</v>
      </c>
      <c r="E109" s="61">
        <v>208.96799999999999</v>
      </c>
      <c r="F109" s="61">
        <v>7.7949999999999999</v>
      </c>
      <c r="G109" s="61">
        <v>38.972799999999999</v>
      </c>
      <c r="H109" s="61">
        <v>2.8416000000000001</v>
      </c>
    </row>
    <row r="110" spans="1:8" x14ac:dyDescent="0.15">
      <c r="A110" s="61" t="s">
        <v>11</v>
      </c>
      <c r="B110" s="61">
        <v>2500</v>
      </c>
      <c r="C110" s="61">
        <v>20</v>
      </c>
      <c r="D110" s="61">
        <v>0.14979999999999999</v>
      </c>
      <c r="E110" s="61">
        <v>208.6284</v>
      </c>
      <c r="F110" s="61">
        <v>7.782</v>
      </c>
      <c r="G110" s="61">
        <v>38.909500000000001</v>
      </c>
      <c r="H110" s="61">
        <v>2.8475999999999999</v>
      </c>
    </row>
    <row r="111" spans="1:8" x14ac:dyDescent="0.15">
      <c r="A111" s="61" t="s">
        <v>11</v>
      </c>
      <c r="B111" s="61">
        <v>2500</v>
      </c>
      <c r="C111" s="61">
        <v>20</v>
      </c>
      <c r="D111" s="61">
        <v>0.15029999999999999</v>
      </c>
      <c r="E111" s="61">
        <v>207.8492</v>
      </c>
      <c r="F111" s="61">
        <v>7.7530000000000001</v>
      </c>
      <c r="G111" s="61">
        <v>38.764200000000002</v>
      </c>
      <c r="H111" s="61">
        <v>2.8576000000000001</v>
      </c>
    </row>
    <row r="112" spans="1:8" x14ac:dyDescent="0.15">
      <c r="A112" s="61" t="s">
        <v>11</v>
      </c>
      <c r="B112" s="61">
        <v>2500</v>
      </c>
      <c r="C112" s="61">
        <v>20</v>
      </c>
      <c r="D112" s="61">
        <v>0.14810000000000001</v>
      </c>
      <c r="E112" s="61">
        <v>210.99799999999999</v>
      </c>
      <c r="F112" s="61">
        <v>7.87</v>
      </c>
      <c r="G112" s="61">
        <v>39.351399999999998</v>
      </c>
      <c r="H112" s="61">
        <v>2.8146</v>
      </c>
    </row>
    <row r="113" spans="1:8" x14ac:dyDescent="0.15">
      <c r="A113" s="61" t="s">
        <v>11</v>
      </c>
      <c r="B113" s="61">
        <v>2500</v>
      </c>
      <c r="C113" s="61">
        <v>20</v>
      </c>
      <c r="D113" s="61">
        <v>0.15079999999999999</v>
      </c>
      <c r="E113" s="61">
        <v>207.16630000000001</v>
      </c>
      <c r="F113" s="61">
        <v>7.7270000000000003</v>
      </c>
      <c r="G113" s="61">
        <v>38.636800000000001</v>
      </c>
      <c r="H113" s="61">
        <v>2.8666</v>
      </c>
    </row>
    <row r="114" spans="1:8" x14ac:dyDescent="0.15">
      <c r="A114" s="61" t="s">
        <v>11</v>
      </c>
      <c r="B114" s="61">
        <v>2500</v>
      </c>
      <c r="C114" s="61">
        <v>20</v>
      </c>
      <c r="D114" s="61">
        <v>0.15340000000000001</v>
      </c>
      <c r="E114" s="61">
        <v>203.77770000000001</v>
      </c>
      <c r="F114" s="61">
        <v>7.601</v>
      </c>
      <c r="G114" s="61">
        <v>38.004800000000003</v>
      </c>
      <c r="H114" s="61">
        <v>2.9156</v>
      </c>
    </row>
    <row r="115" spans="1:8" x14ac:dyDescent="0.15">
      <c r="A115" s="61" t="s">
        <v>11</v>
      </c>
      <c r="B115" s="61">
        <v>2505</v>
      </c>
      <c r="C115" s="61">
        <v>1</v>
      </c>
      <c r="D115" s="61">
        <v>1.1841999999999999</v>
      </c>
      <c r="E115" s="61">
        <v>26.5486</v>
      </c>
      <c r="F115" s="61">
        <v>1</v>
      </c>
      <c r="G115" s="61">
        <v>100</v>
      </c>
      <c r="H115" s="61">
        <v>1.1848000000000001</v>
      </c>
    </row>
    <row r="116" spans="1:8" x14ac:dyDescent="0.15">
      <c r="A116" s="61" t="s">
        <v>11</v>
      </c>
      <c r="B116" s="61">
        <v>2505</v>
      </c>
      <c r="C116" s="61">
        <v>1</v>
      </c>
      <c r="D116" s="61">
        <v>1.1711</v>
      </c>
      <c r="E116" s="61">
        <v>26.844799999999999</v>
      </c>
      <c r="F116" s="61">
        <v>1.0109999999999999</v>
      </c>
      <c r="G116" s="61">
        <v>101.11579999999999</v>
      </c>
      <c r="H116" s="61">
        <v>1.1708000000000001</v>
      </c>
    </row>
    <row r="117" spans="1:8" x14ac:dyDescent="0.15">
      <c r="A117" s="61" t="s">
        <v>11</v>
      </c>
      <c r="B117" s="61">
        <v>2505</v>
      </c>
      <c r="C117" s="61">
        <v>1</v>
      </c>
      <c r="D117" s="61">
        <v>1.1765000000000001</v>
      </c>
      <c r="E117" s="61">
        <v>26.722000000000001</v>
      </c>
      <c r="F117" s="61">
        <v>1.0069999999999999</v>
      </c>
      <c r="G117" s="61">
        <v>100.6532</v>
      </c>
      <c r="H117" s="61">
        <v>1.1778</v>
      </c>
    </row>
    <row r="118" spans="1:8" x14ac:dyDescent="0.15">
      <c r="A118" s="61" t="s">
        <v>11</v>
      </c>
      <c r="B118" s="61">
        <v>2505</v>
      </c>
      <c r="C118" s="61">
        <v>1</v>
      </c>
      <c r="D118" s="61">
        <v>1.1741999999999999</v>
      </c>
      <c r="E118" s="61">
        <v>26.774699999999999</v>
      </c>
      <c r="F118" s="61">
        <v>1.0089999999999999</v>
      </c>
      <c r="G118" s="61">
        <v>100.8516</v>
      </c>
      <c r="H118" s="61">
        <v>1.1738</v>
      </c>
    </row>
    <row r="119" spans="1:8" x14ac:dyDescent="0.15">
      <c r="A119" s="61" t="s">
        <v>11</v>
      </c>
      <c r="B119" s="61">
        <v>2505</v>
      </c>
      <c r="C119" s="61">
        <v>1</v>
      </c>
      <c r="D119" s="61">
        <v>1.1728000000000001</v>
      </c>
      <c r="E119" s="61">
        <v>26.805299999999999</v>
      </c>
      <c r="F119" s="61">
        <v>1.01</v>
      </c>
      <c r="G119" s="61">
        <v>100.9671</v>
      </c>
      <c r="H119" s="61">
        <v>1.1738</v>
      </c>
    </row>
    <row r="120" spans="1:8" x14ac:dyDescent="0.15">
      <c r="A120" s="61" t="s">
        <v>11</v>
      </c>
      <c r="B120" s="61">
        <v>2505</v>
      </c>
      <c r="C120" s="61">
        <v>1</v>
      </c>
      <c r="D120" s="61">
        <v>1.1707000000000001</v>
      </c>
      <c r="E120" s="61">
        <v>26.854900000000001</v>
      </c>
      <c r="F120" s="61">
        <v>1.012</v>
      </c>
      <c r="G120" s="61">
        <v>101.154</v>
      </c>
      <c r="H120" s="61">
        <v>1.1718</v>
      </c>
    </row>
    <row r="121" spans="1:8" x14ac:dyDescent="0.15">
      <c r="A121" s="61" t="s">
        <v>11</v>
      </c>
      <c r="B121" s="61">
        <v>2505</v>
      </c>
      <c r="C121" s="61">
        <v>19</v>
      </c>
      <c r="D121" s="61">
        <v>8.72E-2</v>
      </c>
      <c r="E121" s="61">
        <v>360.5378</v>
      </c>
      <c r="F121" s="61">
        <v>13.58</v>
      </c>
      <c r="G121" s="61">
        <v>71.475399999999993</v>
      </c>
      <c r="H121" s="61">
        <v>1.6476999999999999</v>
      </c>
    </row>
    <row r="122" spans="1:8" x14ac:dyDescent="0.15">
      <c r="A122" s="61" t="s">
        <v>11</v>
      </c>
      <c r="B122" s="61">
        <v>2505</v>
      </c>
      <c r="C122" s="61">
        <v>19</v>
      </c>
      <c r="D122" s="61">
        <v>8.1799999999999998E-2</v>
      </c>
      <c r="E122" s="61">
        <v>384.11180000000002</v>
      </c>
      <c r="F122" s="61">
        <v>14.468</v>
      </c>
      <c r="G122" s="61">
        <v>76.148799999999994</v>
      </c>
      <c r="H122" s="61">
        <v>1.5558000000000001</v>
      </c>
    </row>
    <row r="123" spans="1:8" x14ac:dyDescent="0.15">
      <c r="A123" s="61" t="s">
        <v>11</v>
      </c>
      <c r="B123" s="61">
        <v>2505</v>
      </c>
      <c r="C123" s="61">
        <v>19</v>
      </c>
      <c r="D123" s="61">
        <v>8.1799999999999998E-2</v>
      </c>
      <c r="E123" s="61">
        <v>384.30090000000001</v>
      </c>
      <c r="F123" s="61">
        <v>14.475</v>
      </c>
      <c r="G123" s="61">
        <v>76.186300000000003</v>
      </c>
      <c r="H123" s="61">
        <v>1.5548</v>
      </c>
    </row>
    <row r="124" spans="1:8" x14ac:dyDescent="0.15">
      <c r="A124" s="61" t="s">
        <v>11</v>
      </c>
      <c r="B124" s="61">
        <v>2505</v>
      </c>
      <c r="C124" s="61">
        <v>19</v>
      </c>
      <c r="D124" s="61">
        <v>8.1799999999999998E-2</v>
      </c>
      <c r="E124" s="61">
        <v>384.33089999999999</v>
      </c>
      <c r="F124" s="61">
        <v>14.477</v>
      </c>
      <c r="G124" s="61">
        <v>76.1922</v>
      </c>
      <c r="H124" s="61">
        <v>1.5548</v>
      </c>
    </row>
    <row r="125" spans="1:8" x14ac:dyDescent="0.15">
      <c r="A125" s="61" t="s">
        <v>11</v>
      </c>
      <c r="B125" s="61">
        <v>2505</v>
      </c>
      <c r="C125" s="61">
        <v>19</v>
      </c>
      <c r="D125" s="61">
        <v>8.1900000000000001E-2</v>
      </c>
      <c r="E125" s="61">
        <v>383.89569999999998</v>
      </c>
      <c r="F125" s="61">
        <v>14.46</v>
      </c>
      <c r="G125" s="61">
        <v>76.105999999999995</v>
      </c>
      <c r="H125" s="61">
        <v>1.5558000000000001</v>
      </c>
    </row>
    <row r="126" spans="1:8" x14ac:dyDescent="0.15">
      <c r="A126" s="61" t="s">
        <v>11</v>
      </c>
      <c r="B126" s="61">
        <v>2505</v>
      </c>
      <c r="C126" s="61">
        <v>19</v>
      </c>
      <c r="D126" s="61">
        <v>8.1799999999999998E-2</v>
      </c>
      <c r="E126" s="61">
        <v>384.30399999999997</v>
      </c>
      <c r="F126" s="61">
        <v>14.476000000000001</v>
      </c>
      <c r="G126" s="61">
        <v>76.186899999999994</v>
      </c>
      <c r="H126" s="61">
        <v>1.5548</v>
      </c>
    </row>
    <row r="127" spans="1:8" x14ac:dyDescent="0.15">
      <c r="A127" s="61" t="s">
        <v>11</v>
      </c>
      <c r="B127" s="61">
        <v>2505</v>
      </c>
      <c r="C127" s="61">
        <v>19</v>
      </c>
      <c r="D127" s="61">
        <v>8.1799999999999998E-2</v>
      </c>
      <c r="E127" s="61">
        <v>384.27269999999999</v>
      </c>
      <c r="F127" s="61">
        <v>14.474</v>
      </c>
      <c r="G127" s="61">
        <v>76.180700000000002</v>
      </c>
      <c r="H127" s="61">
        <v>1.5548</v>
      </c>
    </row>
    <row r="128" spans="1:8" x14ac:dyDescent="0.15">
      <c r="A128" s="61" t="s">
        <v>11</v>
      </c>
      <c r="B128" s="61">
        <v>2505</v>
      </c>
      <c r="C128" s="61">
        <v>19</v>
      </c>
      <c r="D128" s="61">
        <v>8.1699999999999995E-2</v>
      </c>
      <c r="E128" s="61">
        <v>384.72949999999997</v>
      </c>
      <c r="F128" s="61">
        <v>14.492000000000001</v>
      </c>
      <c r="G128" s="61">
        <v>76.271299999999997</v>
      </c>
      <c r="H128" s="61">
        <v>1.5528</v>
      </c>
    </row>
    <row r="129" spans="1:8" x14ac:dyDescent="0.15">
      <c r="A129" s="61" t="s">
        <v>11</v>
      </c>
      <c r="B129" s="61">
        <v>2505</v>
      </c>
      <c r="C129" s="61">
        <v>19</v>
      </c>
      <c r="D129" s="61">
        <v>8.1799999999999998E-2</v>
      </c>
      <c r="E129" s="61">
        <v>384.4074</v>
      </c>
      <c r="F129" s="61">
        <v>14.478999999999999</v>
      </c>
      <c r="G129" s="61">
        <v>76.207400000000007</v>
      </c>
      <c r="H129" s="61">
        <v>1.5548</v>
      </c>
    </row>
    <row r="130" spans="1:8" x14ac:dyDescent="0.15">
      <c r="A130" s="61" t="s">
        <v>11</v>
      </c>
      <c r="B130" s="61">
        <v>2505</v>
      </c>
      <c r="C130" s="61">
        <v>19</v>
      </c>
      <c r="D130" s="61">
        <v>8.1799999999999998E-2</v>
      </c>
      <c r="E130" s="61">
        <v>384.51339999999999</v>
      </c>
      <c r="F130" s="61">
        <v>14.483000000000001</v>
      </c>
      <c r="G130" s="61">
        <v>76.228399999999993</v>
      </c>
      <c r="H130" s="61">
        <v>1.5538000000000001</v>
      </c>
    </row>
    <row r="131" spans="1:8" x14ac:dyDescent="0.15">
      <c r="A131" s="61" t="s">
        <v>11</v>
      </c>
      <c r="B131" s="61">
        <v>2505</v>
      </c>
      <c r="C131" s="61">
        <v>19</v>
      </c>
      <c r="D131" s="61">
        <v>8.1699999999999995E-2</v>
      </c>
      <c r="E131" s="61">
        <v>384.5729</v>
      </c>
      <c r="F131" s="61">
        <v>14.486000000000001</v>
      </c>
      <c r="G131" s="61">
        <v>76.240200000000002</v>
      </c>
      <c r="H131" s="61">
        <v>1.5538000000000001</v>
      </c>
    </row>
    <row r="132" spans="1:8" x14ac:dyDescent="0.15">
      <c r="A132" s="61" t="s">
        <v>11</v>
      </c>
      <c r="B132" s="61">
        <v>2505</v>
      </c>
      <c r="C132" s="61">
        <v>19</v>
      </c>
      <c r="D132" s="61">
        <v>8.1699999999999995E-2</v>
      </c>
      <c r="E132" s="61">
        <v>384.6302</v>
      </c>
      <c r="F132" s="61">
        <v>14.488</v>
      </c>
      <c r="G132" s="61">
        <v>76.251599999999996</v>
      </c>
      <c r="H132" s="61">
        <v>1.5538000000000001</v>
      </c>
    </row>
    <row r="133" spans="1:8" x14ac:dyDescent="0.15">
      <c r="A133" s="61" t="s">
        <v>11</v>
      </c>
      <c r="B133" s="61">
        <v>2505</v>
      </c>
      <c r="C133" s="61">
        <v>19</v>
      </c>
      <c r="D133" s="61">
        <v>8.1799999999999998E-2</v>
      </c>
      <c r="E133" s="61">
        <v>384.4984</v>
      </c>
      <c r="F133" s="61">
        <v>14.483000000000001</v>
      </c>
      <c r="G133" s="61">
        <v>76.225399999999993</v>
      </c>
      <c r="H133" s="61">
        <v>1.5538000000000001</v>
      </c>
    </row>
    <row r="134" spans="1:8" x14ac:dyDescent="0.15">
      <c r="A134" s="61" t="s">
        <v>11</v>
      </c>
      <c r="B134" s="61">
        <v>2505</v>
      </c>
      <c r="C134" s="61">
        <v>19</v>
      </c>
      <c r="D134" s="61">
        <v>8.1699999999999995E-2</v>
      </c>
      <c r="E134" s="61">
        <v>384.56349999999998</v>
      </c>
      <c r="F134" s="61">
        <v>14.484999999999999</v>
      </c>
      <c r="G134" s="61">
        <v>76.238299999999995</v>
      </c>
      <c r="H134" s="61">
        <v>1.5538000000000001</v>
      </c>
    </row>
    <row r="135" spans="1:8" x14ac:dyDescent="0.15">
      <c r="A135" s="61" t="s">
        <v>11</v>
      </c>
      <c r="B135" s="61">
        <v>2505</v>
      </c>
      <c r="C135" s="61">
        <v>19</v>
      </c>
      <c r="D135" s="61">
        <v>8.1799999999999998E-2</v>
      </c>
      <c r="E135" s="61">
        <v>384.39699999999999</v>
      </c>
      <c r="F135" s="61">
        <v>14.478999999999999</v>
      </c>
      <c r="G135" s="61">
        <v>76.205299999999994</v>
      </c>
      <c r="H135" s="61">
        <v>1.5538000000000001</v>
      </c>
    </row>
    <row r="136" spans="1:8" x14ac:dyDescent="0.15">
      <c r="A136" s="61" t="s">
        <v>11</v>
      </c>
      <c r="B136" s="61">
        <v>2505</v>
      </c>
      <c r="C136" s="61">
        <v>19</v>
      </c>
      <c r="D136" s="61">
        <v>8.3199999999999996E-2</v>
      </c>
      <c r="E136" s="61">
        <v>377.95940000000002</v>
      </c>
      <c r="F136" s="61">
        <v>14.237</v>
      </c>
      <c r="G136" s="61">
        <v>74.929100000000005</v>
      </c>
      <c r="H136" s="61">
        <v>1.5788</v>
      </c>
    </row>
    <row r="137" spans="1:8" x14ac:dyDescent="0.15">
      <c r="A137" s="61" t="s">
        <v>11</v>
      </c>
      <c r="B137" s="61">
        <v>2505</v>
      </c>
      <c r="C137" s="61">
        <v>19</v>
      </c>
      <c r="D137" s="61">
        <v>8.1699999999999995E-2</v>
      </c>
      <c r="E137" s="61">
        <v>384.60989999999998</v>
      </c>
      <c r="F137" s="61">
        <v>14.487</v>
      </c>
      <c r="G137" s="61">
        <v>76.247600000000006</v>
      </c>
      <c r="H137" s="61">
        <v>1.5528</v>
      </c>
    </row>
    <row r="138" spans="1:8" x14ac:dyDescent="0.15">
      <c r="A138" s="61" t="s">
        <v>11</v>
      </c>
      <c r="B138" s="61">
        <v>2505</v>
      </c>
      <c r="C138" s="61">
        <v>19</v>
      </c>
      <c r="D138" s="61">
        <v>8.1799999999999998E-2</v>
      </c>
      <c r="E138" s="61">
        <v>384.3023</v>
      </c>
      <c r="F138" s="61">
        <v>14.475</v>
      </c>
      <c r="G138" s="61">
        <v>76.186599999999999</v>
      </c>
      <c r="H138" s="61">
        <v>1.5548</v>
      </c>
    </row>
    <row r="139" spans="1:8" x14ac:dyDescent="0.15">
      <c r="A139" s="61" t="s">
        <v>11</v>
      </c>
      <c r="B139" s="61">
        <v>2505</v>
      </c>
      <c r="C139" s="61">
        <v>19</v>
      </c>
      <c r="D139" s="61">
        <v>8.1699999999999995E-2</v>
      </c>
      <c r="E139" s="61">
        <v>384.7192</v>
      </c>
      <c r="F139" s="61">
        <v>14.491</v>
      </c>
      <c r="G139" s="61">
        <v>76.269199999999998</v>
      </c>
      <c r="H139" s="61">
        <v>1.5528</v>
      </c>
    </row>
    <row r="140" spans="1:8" x14ac:dyDescent="0.15">
      <c r="A140" s="61" t="s">
        <v>11</v>
      </c>
      <c r="B140" s="61">
        <v>2505</v>
      </c>
      <c r="C140" s="61">
        <v>19</v>
      </c>
      <c r="D140" s="61">
        <v>8.1799999999999998E-2</v>
      </c>
      <c r="E140" s="61">
        <v>384.43430000000001</v>
      </c>
      <c r="F140" s="61">
        <v>14.48</v>
      </c>
      <c r="G140" s="61">
        <v>76.212699999999998</v>
      </c>
      <c r="H140" s="61">
        <v>1.5548</v>
      </c>
    </row>
    <row r="141" spans="1:8" x14ac:dyDescent="0.15">
      <c r="A141" s="61" t="s">
        <v>11</v>
      </c>
      <c r="B141" s="61">
        <v>2505</v>
      </c>
      <c r="C141" s="61">
        <v>19</v>
      </c>
      <c r="D141" s="61">
        <v>8.1699999999999995E-2</v>
      </c>
      <c r="E141" s="61">
        <v>384.62279999999998</v>
      </c>
      <c r="F141" s="61">
        <v>14.488</v>
      </c>
      <c r="G141" s="61">
        <v>76.250100000000003</v>
      </c>
      <c r="H141" s="61">
        <v>1.5538000000000001</v>
      </c>
    </row>
    <row r="142" spans="1:8" x14ac:dyDescent="0.15">
      <c r="A142" s="61" t="s">
        <v>11</v>
      </c>
      <c r="B142" s="61">
        <v>2505</v>
      </c>
      <c r="C142" s="61">
        <v>19</v>
      </c>
      <c r="D142" s="61">
        <v>8.1699999999999995E-2</v>
      </c>
      <c r="E142" s="61">
        <v>384.59559999999999</v>
      </c>
      <c r="F142" s="61">
        <v>14.486000000000001</v>
      </c>
      <c r="G142" s="61">
        <v>76.244699999999995</v>
      </c>
      <c r="H142" s="61">
        <v>1.5528</v>
      </c>
    </row>
    <row r="143" spans="1:8" x14ac:dyDescent="0.15">
      <c r="A143" s="61" t="s">
        <v>11</v>
      </c>
      <c r="B143" s="61">
        <v>2505</v>
      </c>
      <c r="C143" s="61">
        <v>19</v>
      </c>
      <c r="D143" s="61">
        <v>8.1699999999999995E-2</v>
      </c>
      <c r="E143" s="61">
        <v>384.63600000000002</v>
      </c>
      <c r="F143" s="61">
        <v>14.488</v>
      </c>
      <c r="G143" s="61">
        <v>76.252700000000004</v>
      </c>
      <c r="H143" s="61">
        <v>1.5538000000000001</v>
      </c>
    </row>
    <row r="144" spans="1:8" x14ac:dyDescent="0.15">
      <c r="A144" s="61" t="s">
        <v>11</v>
      </c>
      <c r="B144" s="61">
        <v>2505</v>
      </c>
      <c r="C144" s="61">
        <v>19</v>
      </c>
      <c r="D144" s="61">
        <v>8.1799999999999998E-2</v>
      </c>
      <c r="E144" s="61">
        <v>384.33359999999999</v>
      </c>
      <c r="F144" s="61">
        <v>14.477</v>
      </c>
      <c r="G144" s="61">
        <v>76.192800000000005</v>
      </c>
      <c r="H144" s="61">
        <v>1.5548</v>
      </c>
    </row>
    <row r="145" spans="1:8" x14ac:dyDescent="0.15">
      <c r="A145" s="61" t="s">
        <v>11</v>
      </c>
      <c r="B145" s="61">
        <v>2505</v>
      </c>
      <c r="C145" s="61">
        <v>19</v>
      </c>
      <c r="D145" s="61">
        <v>8.1799999999999998E-2</v>
      </c>
      <c r="E145" s="61">
        <v>384.55410000000001</v>
      </c>
      <c r="F145" s="61">
        <v>14.484999999999999</v>
      </c>
      <c r="G145" s="61">
        <v>76.236500000000007</v>
      </c>
      <c r="H145" s="61">
        <v>1.5538000000000001</v>
      </c>
    </row>
    <row r="146" spans="1:8" x14ac:dyDescent="0.15">
      <c r="A146" s="61" t="s">
        <v>11</v>
      </c>
      <c r="B146" s="61">
        <v>2505</v>
      </c>
      <c r="C146" s="61">
        <v>19</v>
      </c>
      <c r="D146" s="61">
        <v>8.1799999999999998E-2</v>
      </c>
      <c r="E146" s="61">
        <v>384.55900000000003</v>
      </c>
      <c r="F146" s="61">
        <v>14.484999999999999</v>
      </c>
      <c r="G146" s="61">
        <v>76.237499999999997</v>
      </c>
      <c r="H146" s="61">
        <v>1.5538000000000001</v>
      </c>
    </row>
    <row r="147" spans="1:8" x14ac:dyDescent="0.15">
      <c r="A147" s="61" t="s">
        <v>11</v>
      </c>
      <c r="B147" s="61">
        <v>2505</v>
      </c>
      <c r="C147" s="61">
        <v>19</v>
      </c>
      <c r="D147" s="61">
        <v>8.1699999999999995E-2</v>
      </c>
      <c r="E147" s="61">
        <v>384.57299999999998</v>
      </c>
      <c r="F147" s="61">
        <v>14.486000000000001</v>
      </c>
      <c r="G147" s="61">
        <v>76.240200000000002</v>
      </c>
      <c r="H147" s="61">
        <v>1.5538000000000001</v>
      </c>
    </row>
    <row r="148" spans="1:8" x14ac:dyDescent="0.15">
      <c r="A148" s="61" t="s">
        <v>11</v>
      </c>
      <c r="B148" s="61">
        <v>2505</v>
      </c>
      <c r="C148" s="61">
        <v>19</v>
      </c>
      <c r="D148" s="61">
        <v>8.1799999999999998E-2</v>
      </c>
      <c r="E148" s="61">
        <v>384.51429999999999</v>
      </c>
      <c r="F148" s="61">
        <v>14.483000000000001</v>
      </c>
      <c r="G148" s="61">
        <v>76.2286</v>
      </c>
      <c r="H148" s="61">
        <v>1.5538000000000001</v>
      </c>
    </row>
    <row r="149" spans="1:8" x14ac:dyDescent="0.15">
      <c r="A149" s="61" t="s">
        <v>11</v>
      </c>
      <c r="B149" s="61">
        <v>2505</v>
      </c>
      <c r="C149" s="61">
        <v>19</v>
      </c>
      <c r="D149" s="61">
        <v>8.1799999999999998E-2</v>
      </c>
      <c r="E149" s="61">
        <v>384.4701</v>
      </c>
      <c r="F149" s="61">
        <v>14.481999999999999</v>
      </c>
      <c r="G149" s="61">
        <v>76.219800000000006</v>
      </c>
      <c r="H149" s="61">
        <v>1.5538000000000001</v>
      </c>
    </row>
    <row r="150" spans="1:8" x14ac:dyDescent="0.15">
      <c r="A150" s="61" t="s">
        <v>11</v>
      </c>
      <c r="B150" s="61">
        <v>2505</v>
      </c>
      <c r="C150" s="61">
        <v>19</v>
      </c>
      <c r="D150" s="61">
        <v>8.1900000000000001E-2</v>
      </c>
      <c r="E150" s="61">
        <v>384.07190000000003</v>
      </c>
      <c r="F150" s="61">
        <v>14.467000000000001</v>
      </c>
      <c r="G150" s="61">
        <v>76.140900000000002</v>
      </c>
      <c r="H150" s="61">
        <v>1.5558000000000001</v>
      </c>
    </row>
    <row r="151" spans="1:8" x14ac:dyDescent="0.15">
      <c r="A151" s="61" t="s">
        <v>11</v>
      </c>
      <c r="B151" s="61">
        <v>2505</v>
      </c>
      <c r="C151" s="61">
        <v>19</v>
      </c>
      <c r="D151" s="61">
        <v>8.1799999999999998E-2</v>
      </c>
      <c r="E151" s="61">
        <v>384.51560000000001</v>
      </c>
      <c r="F151" s="61">
        <v>14.483000000000001</v>
      </c>
      <c r="G151" s="61">
        <v>76.228899999999996</v>
      </c>
      <c r="H151" s="61">
        <v>1.5538000000000001</v>
      </c>
    </row>
    <row r="152" spans="1:8" x14ac:dyDescent="0.15">
      <c r="A152" s="61" t="s">
        <v>11</v>
      </c>
      <c r="B152" s="61">
        <v>2505</v>
      </c>
      <c r="C152" s="61">
        <v>19</v>
      </c>
      <c r="D152" s="61">
        <v>8.1699999999999995E-2</v>
      </c>
      <c r="E152" s="61">
        <v>384.61540000000002</v>
      </c>
      <c r="F152" s="61">
        <v>14.487</v>
      </c>
      <c r="G152" s="61">
        <v>76.248599999999996</v>
      </c>
      <c r="H152" s="61">
        <v>1.5528</v>
      </c>
    </row>
    <row r="153" spans="1:8" x14ac:dyDescent="0.15">
      <c r="A153" s="61" t="s">
        <v>11</v>
      </c>
      <c r="B153" s="61">
        <v>2505</v>
      </c>
      <c r="C153" s="61">
        <v>19</v>
      </c>
      <c r="D153" s="61">
        <v>8.1799999999999998E-2</v>
      </c>
      <c r="E153" s="61">
        <v>384.51400000000001</v>
      </c>
      <c r="F153" s="61">
        <v>14.483000000000001</v>
      </c>
      <c r="G153" s="61">
        <v>76.228499999999997</v>
      </c>
      <c r="H153" s="61">
        <v>1.5538000000000001</v>
      </c>
    </row>
    <row r="154" spans="1:8" x14ac:dyDescent="0.15">
      <c r="A154" s="61" t="s">
        <v>11</v>
      </c>
      <c r="B154" s="61">
        <v>2505</v>
      </c>
      <c r="C154" s="61">
        <v>19</v>
      </c>
      <c r="D154" s="61">
        <v>8.1699999999999995E-2</v>
      </c>
      <c r="E154" s="61">
        <v>384.5736</v>
      </c>
      <c r="F154" s="61">
        <v>14.486000000000001</v>
      </c>
      <c r="G154" s="61">
        <v>76.240300000000005</v>
      </c>
      <c r="H154" s="61">
        <v>1.5528</v>
      </c>
    </row>
    <row r="155" spans="1:8" x14ac:dyDescent="0.15">
      <c r="A155" s="61" t="s">
        <v>11</v>
      </c>
      <c r="B155" s="61">
        <v>2505</v>
      </c>
      <c r="C155" s="61">
        <v>19</v>
      </c>
      <c r="D155" s="61">
        <v>8.1799999999999998E-2</v>
      </c>
      <c r="E155" s="61">
        <v>384.44330000000002</v>
      </c>
      <c r="F155" s="61">
        <v>14.481</v>
      </c>
      <c r="G155" s="61">
        <v>76.214500000000001</v>
      </c>
      <c r="H155" s="61">
        <v>1.5548</v>
      </c>
    </row>
    <row r="156" spans="1:8" x14ac:dyDescent="0.15">
      <c r="A156" s="61" t="s">
        <v>11</v>
      </c>
      <c r="B156" s="61">
        <v>2505</v>
      </c>
      <c r="C156" s="61">
        <v>19</v>
      </c>
      <c r="D156" s="61">
        <v>8.1699999999999995E-2</v>
      </c>
      <c r="E156" s="61">
        <v>384.61900000000003</v>
      </c>
      <c r="F156" s="61">
        <v>14.487</v>
      </c>
      <c r="G156" s="61">
        <v>76.249399999999994</v>
      </c>
      <c r="H156" s="61">
        <v>1.5528</v>
      </c>
    </row>
    <row r="157" spans="1:8" x14ac:dyDescent="0.15">
      <c r="A157" s="61" t="s">
        <v>11</v>
      </c>
      <c r="B157" s="61">
        <v>2505</v>
      </c>
      <c r="C157" s="61">
        <v>19</v>
      </c>
      <c r="D157" s="61">
        <v>8.1699999999999995E-2</v>
      </c>
      <c r="E157" s="61">
        <v>384.57690000000002</v>
      </c>
      <c r="F157" s="61">
        <v>14.486000000000001</v>
      </c>
      <c r="G157" s="61">
        <v>76.241</v>
      </c>
      <c r="H157" s="61">
        <v>1.5528</v>
      </c>
    </row>
    <row r="158" spans="1:8" x14ac:dyDescent="0.15">
      <c r="A158" s="61" t="s">
        <v>11</v>
      </c>
      <c r="B158" s="61">
        <v>2505</v>
      </c>
      <c r="C158" s="61">
        <v>19</v>
      </c>
      <c r="D158" s="61">
        <v>8.1699999999999995E-2</v>
      </c>
      <c r="E158" s="61">
        <v>384.69459999999998</v>
      </c>
      <c r="F158" s="61">
        <v>14.49</v>
      </c>
      <c r="G158" s="61">
        <v>76.264300000000006</v>
      </c>
      <c r="H158" s="61">
        <v>1.5538000000000001</v>
      </c>
    </row>
    <row r="159" spans="1:8" x14ac:dyDescent="0.15">
      <c r="A159" s="61" t="s">
        <v>11</v>
      </c>
      <c r="B159" s="61">
        <v>2505</v>
      </c>
      <c r="C159" s="61">
        <v>19</v>
      </c>
      <c r="D159" s="61">
        <v>8.1799999999999998E-2</v>
      </c>
      <c r="E159" s="61">
        <v>384.51220000000001</v>
      </c>
      <c r="F159" s="61">
        <v>14.483000000000001</v>
      </c>
      <c r="G159" s="61">
        <v>76.228200000000001</v>
      </c>
      <c r="H159" s="61">
        <v>1.5538000000000001</v>
      </c>
    </row>
    <row r="160" spans="1:8" x14ac:dyDescent="0.15">
      <c r="A160" s="61" t="s">
        <v>11</v>
      </c>
      <c r="B160" s="61">
        <v>2505</v>
      </c>
      <c r="C160" s="61">
        <v>19</v>
      </c>
      <c r="D160" s="61">
        <v>8.1799999999999998E-2</v>
      </c>
      <c r="E160" s="61">
        <v>384.3775</v>
      </c>
      <c r="F160" s="61">
        <v>14.478</v>
      </c>
      <c r="G160" s="61">
        <v>76.201499999999996</v>
      </c>
      <c r="H160" s="61">
        <v>1.5538000000000001</v>
      </c>
    </row>
    <row r="161" spans="1:8" x14ac:dyDescent="0.15">
      <c r="A161" s="61" t="s">
        <v>11</v>
      </c>
      <c r="B161" s="61">
        <v>2505</v>
      </c>
      <c r="C161" s="61">
        <v>19</v>
      </c>
      <c r="D161" s="61">
        <v>8.1699999999999995E-2</v>
      </c>
      <c r="E161" s="61">
        <v>384.60849999999999</v>
      </c>
      <c r="F161" s="61">
        <v>14.487</v>
      </c>
      <c r="G161" s="61">
        <v>76.247299999999996</v>
      </c>
      <c r="H161" s="61">
        <v>1.5528</v>
      </c>
    </row>
    <row r="162" spans="1:8" x14ac:dyDescent="0.15">
      <c r="A162" s="61" t="s">
        <v>11</v>
      </c>
      <c r="B162" s="61">
        <v>2505</v>
      </c>
      <c r="C162" s="61">
        <v>19</v>
      </c>
      <c r="D162" s="61">
        <v>8.1799999999999998E-2</v>
      </c>
      <c r="E162" s="61">
        <v>384.43540000000002</v>
      </c>
      <c r="F162" s="61">
        <v>14.48</v>
      </c>
      <c r="G162" s="61">
        <v>76.212999999999994</v>
      </c>
      <c r="H162" s="61">
        <v>1.5538000000000001</v>
      </c>
    </row>
    <row r="163" spans="1:8" x14ac:dyDescent="0.15">
      <c r="A163" s="61" t="s">
        <v>11</v>
      </c>
      <c r="B163" s="61">
        <v>2505</v>
      </c>
      <c r="C163" s="61">
        <v>19</v>
      </c>
      <c r="D163" s="61">
        <v>8.1799999999999998E-2</v>
      </c>
      <c r="E163" s="61">
        <v>384.55790000000002</v>
      </c>
      <c r="F163" s="61">
        <v>14.484999999999999</v>
      </c>
      <c r="G163" s="61">
        <v>76.237200000000001</v>
      </c>
      <c r="H163" s="61">
        <v>1.5538000000000001</v>
      </c>
    </row>
    <row r="164" spans="1:8" x14ac:dyDescent="0.15">
      <c r="A164" s="61" t="s">
        <v>11</v>
      </c>
      <c r="B164" s="61">
        <v>2505</v>
      </c>
      <c r="C164" s="61">
        <v>19</v>
      </c>
      <c r="D164" s="61">
        <v>8.1699999999999995E-2</v>
      </c>
      <c r="E164" s="61">
        <v>384.59089999999998</v>
      </c>
      <c r="F164" s="61">
        <v>14.486000000000001</v>
      </c>
      <c r="G164" s="61">
        <v>76.243799999999993</v>
      </c>
      <c r="H164" s="61">
        <v>1.5538000000000001</v>
      </c>
    </row>
    <row r="165" spans="1:8" x14ac:dyDescent="0.15">
      <c r="A165" s="61" t="s">
        <v>11</v>
      </c>
      <c r="B165" s="61">
        <v>2505</v>
      </c>
      <c r="C165" s="61">
        <v>19</v>
      </c>
      <c r="D165" s="61">
        <v>8.1799999999999998E-2</v>
      </c>
      <c r="E165" s="61">
        <v>384.4984</v>
      </c>
      <c r="F165" s="61">
        <v>14.483000000000001</v>
      </c>
      <c r="G165" s="61">
        <v>76.225399999999993</v>
      </c>
      <c r="H165" s="61">
        <v>1.5538000000000001</v>
      </c>
    </row>
    <row r="166" spans="1:8" x14ac:dyDescent="0.15">
      <c r="A166" s="61" t="s">
        <v>11</v>
      </c>
      <c r="B166" s="61">
        <v>2505</v>
      </c>
      <c r="C166" s="61">
        <v>19</v>
      </c>
      <c r="D166" s="61">
        <v>8.1699999999999995E-2</v>
      </c>
      <c r="E166" s="61">
        <v>384.71170000000001</v>
      </c>
      <c r="F166" s="61">
        <v>14.491</v>
      </c>
      <c r="G166" s="61">
        <v>76.267700000000005</v>
      </c>
      <c r="H166" s="61">
        <v>1.5538000000000001</v>
      </c>
    </row>
    <row r="167" spans="1:8" x14ac:dyDescent="0.15">
      <c r="A167" s="61" t="s">
        <v>11</v>
      </c>
      <c r="B167" s="61">
        <v>2505</v>
      </c>
      <c r="C167" s="61">
        <v>19</v>
      </c>
      <c r="D167" s="61">
        <v>8.1699999999999995E-2</v>
      </c>
      <c r="E167" s="61">
        <v>384.60680000000002</v>
      </c>
      <c r="F167" s="61">
        <v>14.487</v>
      </c>
      <c r="G167" s="61">
        <v>76.246899999999997</v>
      </c>
      <c r="H167" s="61">
        <v>1.5528</v>
      </c>
    </row>
    <row r="168" spans="1:8" x14ac:dyDescent="0.15">
      <c r="A168" s="61" t="s">
        <v>11</v>
      </c>
      <c r="B168" s="61">
        <v>2505</v>
      </c>
      <c r="C168" s="61">
        <v>19</v>
      </c>
      <c r="D168" s="61">
        <v>8.1699999999999995E-2</v>
      </c>
      <c r="E168" s="61">
        <v>384.65129999999999</v>
      </c>
      <c r="F168" s="61">
        <v>14.489000000000001</v>
      </c>
      <c r="G168" s="61">
        <v>76.255799999999994</v>
      </c>
      <c r="H168" s="61">
        <v>1.5538000000000001</v>
      </c>
    </row>
    <row r="169" spans="1:8" x14ac:dyDescent="0.15">
      <c r="A169" s="61" t="s">
        <v>11</v>
      </c>
      <c r="B169" s="61">
        <v>2505</v>
      </c>
      <c r="C169" s="61">
        <v>19</v>
      </c>
      <c r="D169" s="61">
        <v>8.1699999999999995E-2</v>
      </c>
      <c r="E169" s="61">
        <v>384.7987</v>
      </c>
      <c r="F169" s="61">
        <v>14.494</v>
      </c>
      <c r="G169" s="61">
        <v>76.284999999999997</v>
      </c>
      <c r="H169" s="61">
        <v>1.5528</v>
      </c>
    </row>
    <row r="170" spans="1:8" x14ac:dyDescent="0.15">
      <c r="A170" s="61" t="s">
        <v>11</v>
      </c>
      <c r="B170" s="61">
        <v>2505</v>
      </c>
      <c r="C170" s="61">
        <v>19</v>
      </c>
      <c r="D170" s="61">
        <v>8.1699999999999995E-2</v>
      </c>
      <c r="E170" s="61">
        <v>384.58609999999999</v>
      </c>
      <c r="F170" s="61">
        <v>14.486000000000001</v>
      </c>
      <c r="G170" s="61">
        <v>76.242800000000003</v>
      </c>
      <c r="H170" s="61">
        <v>1.5538000000000001</v>
      </c>
    </row>
    <row r="171" spans="1:8" x14ac:dyDescent="0.15">
      <c r="A171" s="61" t="s">
        <v>11</v>
      </c>
      <c r="B171" s="61">
        <v>2505</v>
      </c>
      <c r="C171" s="61">
        <v>19</v>
      </c>
      <c r="D171" s="61">
        <v>8.1699999999999995E-2</v>
      </c>
      <c r="E171" s="61">
        <v>384.67680000000001</v>
      </c>
      <c r="F171" s="61">
        <v>14.49</v>
      </c>
      <c r="G171" s="61">
        <v>76.260800000000003</v>
      </c>
      <c r="H171" s="61">
        <v>1.5528</v>
      </c>
    </row>
    <row r="172" spans="1:8" x14ac:dyDescent="0.15">
      <c r="A172" s="61" t="s">
        <v>11</v>
      </c>
      <c r="B172" s="61">
        <v>2505</v>
      </c>
      <c r="C172" s="61">
        <v>20</v>
      </c>
      <c r="D172" s="61">
        <v>0.1613</v>
      </c>
      <c r="E172" s="61">
        <v>194.9246</v>
      </c>
      <c r="F172" s="61">
        <v>7.3419999999999996</v>
      </c>
      <c r="G172" s="61">
        <v>36.710999999999999</v>
      </c>
      <c r="H172" s="61">
        <v>3.0655000000000001</v>
      </c>
    </row>
    <row r="173" spans="1:8" x14ac:dyDescent="0.15">
      <c r="A173" s="61" t="s">
        <v>11</v>
      </c>
      <c r="B173" s="61">
        <v>2505</v>
      </c>
      <c r="C173" s="61">
        <v>20</v>
      </c>
      <c r="D173" s="61">
        <v>0.15329999999999999</v>
      </c>
      <c r="E173" s="61">
        <v>205.12100000000001</v>
      </c>
      <c r="F173" s="61">
        <v>7.726</v>
      </c>
      <c r="G173" s="61">
        <v>38.631300000000003</v>
      </c>
      <c r="H173" s="61">
        <v>2.9125999999999999</v>
      </c>
    </row>
    <row r="174" spans="1:8" x14ac:dyDescent="0.15">
      <c r="A174" s="61" t="s">
        <v>11</v>
      </c>
      <c r="B174" s="61">
        <v>2505</v>
      </c>
      <c r="C174" s="61">
        <v>20</v>
      </c>
      <c r="D174" s="61">
        <v>0.15279999999999999</v>
      </c>
      <c r="E174" s="61">
        <v>205.74780000000001</v>
      </c>
      <c r="F174" s="61">
        <v>7.75</v>
      </c>
      <c r="G174" s="61">
        <v>38.749299999999998</v>
      </c>
      <c r="H174" s="61">
        <v>2.9045999999999998</v>
      </c>
    </row>
    <row r="175" spans="1:8" x14ac:dyDescent="0.15">
      <c r="A175" s="61" t="s">
        <v>11</v>
      </c>
      <c r="B175" s="61">
        <v>2505</v>
      </c>
      <c r="C175" s="61">
        <v>20</v>
      </c>
      <c r="D175" s="61">
        <v>0.153</v>
      </c>
      <c r="E175" s="61">
        <v>205.4709</v>
      </c>
      <c r="F175" s="61">
        <v>7.7389999999999999</v>
      </c>
      <c r="G175" s="61">
        <v>38.697200000000002</v>
      </c>
      <c r="H175" s="61">
        <v>2.9085999999999999</v>
      </c>
    </row>
    <row r="176" spans="1:8" x14ac:dyDescent="0.15">
      <c r="A176" s="61" t="s">
        <v>11</v>
      </c>
      <c r="B176" s="61">
        <v>2505</v>
      </c>
      <c r="C176" s="61">
        <v>20</v>
      </c>
      <c r="D176" s="61">
        <v>0.14779999999999999</v>
      </c>
      <c r="E176" s="61">
        <v>212.7561</v>
      </c>
      <c r="F176" s="61">
        <v>8.0139999999999993</v>
      </c>
      <c r="G176" s="61">
        <v>40.069200000000002</v>
      </c>
      <c r="H176" s="61">
        <v>2.8086000000000002</v>
      </c>
    </row>
    <row r="177" spans="1:8" x14ac:dyDescent="0.15">
      <c r="A177" s="61" t="s">
        <v>11</v>
      </c>
      <c r="B177" s="61">
        <v>2505</v>
      </c>
      <c r="C177" s="61">
        <v>20</v>
      </c>
      <c r="D177" s="61">
        <v>0.15210000000000001</v>
      </c>
      <c r="E177" s="61">
        <v>206.6601</v>
      </c>
      <c r="F177" s="61">
        <v>7.7839999999999998</v>
      </c>
      <c r="G177" s="61">
        <v>38.921100000000003</v>
      </c>
      <c r="H177" s="61">
        <v>2.8906000000000001</v>
      </c>
    </row>
    <row r="178" spans="1:8" x14ac:dyDescent="0.15">
      <c r="A178" s="61" t="s">
        <v>11</v>
      </c>
      <c r="B178" s="61">
        <v>2505</v>
      </c>
      <c r="C178" s="61">
        <v>20</v>
      </c>
      <c r="D178" s="61">
        <v>0.153</v>
      </c>
      <c r="E178" s="61">
        <v>205.51689999999999</v>
      </c>
      <c r="F178" s="61">
        <v>7.7409999999999997</v>
      </c>
      <c r="G178" s="61">
        <v>38.705800000000004</v>
      </c>
      <c r="H178" s="61">
        <v>2.9066000000000001</v>
      </c>
    </row>
    <row r="179" spans="1:8" x14ac:dyDescent="0.15">
      <c r="A179" s="61" t="s">
        <v>11</v>
      </c>
      <c r="B179" s="61">
        <v>2505</v>
      </c>
      <c r="C179" s="61">
        <v>20</v>
      </c>
      <c r="D179" s="61">
        <v>0.152</v>
      </c>
      <c r="E179" s="61">
        <v>206.81</v>
      </c>
      <c r="F179" s="61">
        <v>7.79</v>
      </c>
      <c r="G179" s="61">
        <v>38.949399999999997</v>
      </c>
      <c r="H179" s="61">
        <v>2.8896000000000002</v>
      </c>
    </row>
    <row r="180" spans="1:8" x14ac:dyDescent="0.15">
      <c r="A180" s="61" t="s">
        <v>11</v>
      </c>
      <c r="B180" s="61">
        <v>2505</v>
      </c>
      <c r="C180" s="61">
        <v>20</v>
      </c>
      <c r="D180" s="61">
        <v>0.154</v>
      </c>
      <c r="E180" s="61">
        <v>204.13650000000001</v>
      </c>
      <c r="F180" s="61">
        <v>7.6890000000000001</v>
      </c>
      <c r="G180" s="61">
        <v>38.445900000000002</v>
      </c>
      <c r="H180" s="61">
        <v>2.9266000000000001</v>
      </c>
    </row>
    <row r="181" spans="1:8" x14ac:dyDescent="0.15">
      <c r="A181" s="61" t="s">
        <v>11</v>
      </c>
      <c r="B181" s="61">
        <v>2505</v>
      </c>
      <c r="C181" s="61">
        <v>20</v>
      </c>
      <c r="D181" s="61">
        <v>0.1525</v>
      </c>
      <c r="E181" s="61">
        <v>206.209</v>
      </c>
      <c r="F181" s="61">
        <v>7.7670000000000003</v>
      </c>
      <c r="G181" s="61">
        <v>38.836199999999998</v>
      </c>
      <c r="H181" s="61">
        <v>2.8976000000000002</v>
      </c>
    </row>
    <row r="182" spans="1:8" x14ac:dyDescent="0.15">
      <c r="A182" s="61" t="s">
        <v>11</v>
      </c>
      <c r="B182" s="61">
        <v>2505</v>
      </c>
      <c r="C182" s="61">
        <v>20</v>
      </c>
      <c r="D182" s="61">
        <v>0.15240000000000001</v>
      </c>
      <c r="E182" s="61">
        <v>206.23050000000001</v>
      </c>
      <c r="F182" s="61">
        <v>7.7679999999999998</v>
      </c>
      <c r="G182" s="61">
        <v>38.840200000000003</v>
      </c>
      <c r="H182" s="61">
        <v>2.8976000000000002</v>
      </c>
    </row>
    <row r="183" spans="1:8" x14ac:dyDescent="0.15">
      <c r="A183" s="61" t="s">
        <v>11</v>
      </c>
      <c r="B183" s="61">
        <v>2505</v>
      </c>
      <c r="C183" s="61">
        <v>20</v>
      </c>
      <c r="D183" s="61">
        <v>0.15160000000000001</v>
      </c>
      <c r="E183" s="61">
        <v>207.3415</v>
      </c>
      <c r="F183" s="61">
        <v>7.81</v>
      </c>
      <c r="G183" s="61">
        <v>39.049500000000002</v>
      </c>
      <c r="H183" s="61">
        <v>2.8826000000000001</v>
      </c>
    </row>
    <row r="184" spans="1:8" x14ac:dyDescent="0.15">
      <c r="A184" s="61" t="s">
        <v>11</v>
      </c>
      <c r="B184" s="61">
        <v>2505</v>
      </c>
      <c r="C184" s="61">
        <v>20</v>
      </c>
      <c r="D184" s="61">
        <v>0.14879999999999999</v>
      </c>
      <c r="E184" s="61">
        <v>211.26249999999999</v>
      </c>
      <c r="F184" s="61">
        <v>7.9580000000000002</v>
      </c>
      <c r="G184" s="61">
        <v>39.7879</v>
      </c>
      <c r="H184" s="61">
        <v>2.8275999999999999</v>
      </c>
    </row>
    <row r="185" spans="1:8" x14ac:dyDescent="0.15">
      <c r="A185" s="61" t="s">
        <v>11</v>
      </c>
      <c r="B185" s="61">
        <v>2505</v>
      </c>
      <c r="C185" s="61">
        <v>20</v>
      </c>
      <c r="D185" s="61">
        <v>0.153</v>
      </c>
      <c r="E185" s="61">
        <v>205.4639</v>
      </c>
      <c r="F185" s="61">
        <v>7.7389999999999999</v>
      </c>
      <c r="G185" s="61">
        <v>38.695900000000002</v>
      </c>
      <c r="H185" s="61">
        <v>2.9066000000000001</v>
      </c>
    </row>
    <row r="186" spans="1:8" x14ac:dyDescent="0.15">
      <c r="A186" s="61" t="s">
        <v>11</v>
      </c>
      <c r="B186" s="61">
        <v>2505</v>
      </c>
      <c r="C186" s="61">
        <v>20</v>
      </c>
      <c r="D186" s="61">
        <v>0.15379999999999999</v>
      </c>
      <c r="E186" s="61">
        <v>204.46870000000001</v>
      </c>
      <c r="F186" s="61">
        <v>7.702</v>
      </c>
      <c r="G186" s="61">
        <v>38.508400000000002</v>
      </c>
      <c r="H186" s="61">
        <v>2.9216000000000002</v>
      </c>
    </row>
    <row r="187" spans="1:8" x14ac:dyDescent="0.15">
      <c r="A187" s="61" t="s">
        <v>11</v>
      </c>
      <c r="B187" s="61">
        <v>2505</v>
      </c>
      <c r="C187" s="61">
        <v>20</v>
      </c>
      <c r="D187" s="61">
        <v>0.14849999999999999</v>
      </c>
      <c r="E187" s="61">
        <v>211.74459999999999</v>
      </c>
      <c r="F187" s="61">
        <v>7.976</v>
      </c>
      <c r="G187" s="61">
        <v>39.878700000000002</v>
      </c>
      <c r="H187" s="61">
        <v>2.8226</v>
      </c>
    </row>
    <row r="188" spans="1:8" x14ac:dyDescent="0.15">
      <c r="A188" s="61" t="s">
        <v>11</v>
      </c>
      <c r="B188" s="61">
        <v>2505</v>
      </c>
      <c r="C188" s="61">
        <v>20</v>
      </c>
      <c r="D188" s="61">
        <v>0.15310000000000001</v>
      </c>
      <c r="E188" s="61">
        <v>205.3194</v>
      </c>
      <c r="F188" s="61">
        <v>7.734</v>
      </c>
      <c r="G188" s="61">
        <v>38.668700000000001</v>
      </c>
      <c r="H188" s="61">
        <v>2.9106000000000001</v>
      </c>
    </row>
    <row r="189" spans="1:8" x14ac:dyDescent="0.15">
      <c r="A189" s="61" t="s">
        <v>11</v>
      </c>
      <c r="B189" s="61">
        <v>2505</v>
      </c>
      <c r="C189" s="61">
        <v>20</v>
      </c>
      <c r="D189" s="61">
        <v>0.1545</v>
      </c>
      <c r="E189" s="61">
        <v>203.4504</v>
      </c>
      <c r="F189" s="61">
        <v>7.6630000000000003</v>
      </c>
      <c r="G189" s="61">
        <v>38.316699999999997</v>
      </c>
      <c r="H189" s="61">
        <v>2.9365999999999999</v>
      </c>
    </row>
    <row r="190" spans="1:8" x14ac:dyDescent="0.15">
      <c r="A190" s="61" t="s">
        <v>11</v>
      </c>
      <c r="B190" s="61">
        <v>2505</v>
      </c>
      <c r="C190" s="61">
        <v>20</v>
      </c>
      <c r="D190" s="61">
        <v>0.15390000000000001</v>
      </c>
      <c r="E190" s="61">
        <v>204.22499999999999</v>
      </c>
      <c r="F190" s="61">
        <v>7.6929999999999996</v>
      </c>
      <c r="G190" s="61">
        <v>38.462499999999999</v>
      </c>
      <c r="H190" s="61">
        <v>2.9256000000000002</v>
      </c>
    </row>
    <row r="191" spans="1:8" x14ac:dyDescent="0.15">
      <c r="A191" s="61" t="s">
        <v>11</v>
      </c>
      <c r="B191" s="61">
        <v>2505</v>
      </c>
      <c r="C191" s="61">
        <v>20</v>
      </c>
      <c r="D191" s="61">
        <v>0.15509999999999999</v>
      </c>
      <c r="E191" s="61">
        <v>202.64660000000001</v>
      </c>
      <c r="F191" s="61">
        <v>7.633</v>
      </c>
      <c r="G191" s="61">
        <v>38.165300000000002</v>
      </c>
      <c r="H191" s="61">
        <v>2.9485999999999999</v>
      </c>
    </row>
    <row r="192" spans="1:8" x14ac:dyDescent="0.15">
      <c r="A192" s="61" t="s">
        <v>11</v>
      </c>
      <c r="B192" s="61">
        <v>2505</v>
      </c>
      <c r="C192" s="61">
        <v>20</v>
      </c>
      <c r="D192" s="61">
        <v>0.1542</v>
      </c>
      <c r="E192" s="61">
        <v>203.92169999999999</v>
      </c>
      <c r="F192" s="61">
        <v>7.681</v>
      </c>
      <c r="G192" s="61">
        <v>38.4054</v>
      </c>
      <c r="H192" s="61">
        <v>2.9296000000000002</v>
      </c>
    </row>
    <row r="193" spans="1:8" x14ac:dyDescent="0.15">
      <c r="A193" s="61" t="s">
        <v>11</v>
      </c>
      <c r="B193" s="61">
        <v>2505</v>
      </c>
      <c r="C193" s="61">
        <v>20</v>
      </c>
      <c r="D193" s="61">
        <v>0.15340000000000001</v>
      </c>
      <c r="E193" s="61">
        <v>204.96729999999999</v>
      </c>
      <c r="F193" s="61">
        <v>7.72</v>
      </c>
      <c r="G193" s="61">
        <v>38.6023</v>
      </c>
      <c r="H193" s="61">
        <v>2.9155000000000002</v>
      </c>
    </row>
    <row r="194" spans="1:8" x14ac:dyDescent="0.15">
      <c r="A194" s="61" t="s">
        <v>11</v>
      </c>
      <c r="B194" s="61">
        <v>2505</v>
      </c>
      <c r="C194" s="61">
        <v>20</v>
      </c>
      <c r="D194" s="61">
        <v>0.1547</v>
      </c>
      <c r="E194" s="61">
        <v>203.2499</v>
      </c>
      <c r="F194" s="61">
        <v>7.6559999999999997</v>
      </c>
      <c r="G194" s="61">
        <v>38.2789</v>
      </c>
      <c r="H194" s="61">
        <v>2.9396</v>
      </c>
    </row>
    <row r="195" spans="1:8" x14ac:dyDescent="0.15">
      <c r="A195" s="61" t="s">
        <v>11</v>
      </c>
      <c r="B195" s="61">
        <v>2505</v>
      </c>
      <c r="C195" s="61">
        <v>20</v>
      </c>
      <c r="D195" s="61">
        <v>0.155</v>
      </c>
      <c r="E195" s="61">
        <v>202.8313</v>
      </c>
      <c r="F195" s="61">
        <v>7.64</v>
      </c>
      <c r="G195" s="61">
        <v>38.200099999999999</v>
      </c>
      <c r="H195" s="61">
        <v>2.9456000000000002</v>
      </c>
    </row>
    <row r="196" spans="1:8" x14ac:dyDescent="0.15">
      <c r="A196" s="61" t="s">
        <v>11</v>
      </c>
      <c r="B196" s="61">
        <v>2505</v>
      </c>
      <c r="C196" s="61">
        <v>20</v>
      </c>
      <c r="D196" s="61">
        <v>0.1552</v>
      </c>
      <c r="E196" s="61">
        <v>202.565</v>
      </c>
      <c r="F196" s="61">
        <v>7.63</v>
      </c>
      <c r="G196" s="61">
        <v>38.149900000000002</v>
      </c>
      <c r="H196" s="61">
        <v>2.9504999999999999</v>
      </c>
    </row>
    <row r="197" spans="1:8" x14ac:dyDescent="0.15">
      <c r="A197" s="61" t="s">
        <v>11</v>
      </c>
      <c r="B197" s="61">
        <v>2505</v>
      </c>
      <c r="C197" s="61">
        <v>20</v>
      </c>
      <c r="D197" s="61">
        <v>0.15509999999999999</v>
      </c>
      <c r="E197" s="61">
        <v>202.70910000000001</v>
      </c>
      <c r="F197" s="61">
        <v>7.6349999999999998</v>
      </c>
      <c r="G197" s="61">
        <v>38.177</v>
      </c>
      <c r="H197" s="61">
        <v>2.9476</v>
      </c>
    </row>
    <row r="198" spans="1:8" x14ac:dyDescent="0.15">
      <c r="A198" s="61" t="s">
        <v>11</v>
      </c>
      <c r="B198" s="61">
        <v>2505</v>
      </c>
      <c r="C198" s="61">
        <v>20</v>
      </c>
      <c r="D198" s="61">
        <v>0.15090000000000001</v>
      </c>
      <c r="E198" s="61">
        <v>208.26830000000001</v>
      </c>
      <c r="F198" s="61">
        <v>7.8449999999999998</v>
      </c>
      <c r="G198" s="61">
        <v>39.223999999999997</v>
      </c>
      <c r="H198" s="61">
        <v>2.8685999999999998</v>
      </c>
    </row>
    <row r="199" spans="1:8" x14ac:dyDescent="0.15">
      <c r="A199" s="61" t="s">
        <v>11</v>
      </c>
      <c r="B199" s="61">
        <v>2505</v>
      </c>
      <c r="C199" s="61">
        <v>20</v>
      </c>
      <c r="D199" s="61">
        <v>0.14879999999999999</v>
      </c>
      <c r="E199" s="61">
        <v>211.26509999999999</v>
      </c>
      <c r="F199" s="61">
        <v>7.9580000000000002</v>
      </c>
      <c r="G199" s="61">
        <v>39.788400000000003</v>
      </c>
      <c r="H199" s="61">
        <v>2.8285999999999998</v>
      </c>
    </row>
    <row r="200" spans="1:8" x14ac:dyDescent="0.15">
      <c r="A200" s="61" t="s">
        <v>11</v>
      </c>
      <c r="B200" s="61">
        <v>2505</v>
      </c>
      <c r="C200" s="61">
        <v>20</v>
      </c>
      <c r="D200" s="61">
        <v>0.15359999999999999</v>
      </c>
      <c r="E200" s="61">
        <v>204.6874</v>
      </c>
      <c r="F200" s="61">
        <v>7.71</v>
      </c>
      <c r="G200" s="61">
        <v>38.549599999999998</v>
      </c>
      <c r="H200" s="61">
        <v>2.9196</v>
      </c>
    </row>
    <row r="201" spans="1:8" x14ac:dyDescent="0.15">
      <c r="A201" s="61" t="s">
        <v>11</v>
      </c>
      <c r="B201" s="61">
        <v>2505</v>
      </c>
      <c r="C201" s="61">
        <v>20</v>
      </c>
      <c r="D201" s="61">
        <v>0.15229999999999999</v>
      </c>
      <c r="E201" s="61">
        <v>206.3717</v>
      </c>
      <c r="F201" s="61">
        <v>7.7729999999999997</v>
      </c>
      <c r="G201" s="61">
        <v>38.866799999999998</v>
      </c>
      <c r="H201" s="61">
        <v>2.8956</v>
      </c>
    </row>
    <row r="202" spans="1:8" x14ac:dyDescent="0.15">
      <c r="A202" s="61" t="s">
        <v>11</v>
      </c>
      <c r="B202" s="61">
        <v>2505</v>
      </c>
      <c r="C202" s="61">
        <v>20</v>
      </c>
      <c r="D202" s="61">
        <v>0.15240000000000001</v>
      </c>
      <c r="E202" s="61">
        <v>206.3134</v>
      </c>
      <c r="F202" s="61">
        <v>7.7709999999999999</v>
      </c>
      <c r="G202" s="61">
        <v>38.855899999999998</v>
      </c>
      <c r="H202" s="61">
        <v>2.8956</v>
      </c>
    </row>
    <row r="203" spans="1:8" x14ac:dyDescent="0.15">
      <c r="A203" s="61" t="s">
        <v>11</v>
      </c>
      <c r="B203" s="61">
        <v>2505</v>
      </c>
      <c r="C203" s="61">
        <v>20</v>
      </c>
      <c r="D203" s="61">
        <v>0.15290000000000001</v>
      </c>
      <c r="E203" s="61">
        <v>205.6259</v>
      </c>
      <c r="F203" s="61">
        <v>7.7450000000000001</v>
      </c>
      <c r="G203" s="61">
        <v>38.726399999999998</v>
      </c>
      <c r="H203" s="61">
        <v>2.9066000000000001</v>
      </c>
    </row>
    <row r="204" spans="1:8" x14ac:dyDescent="0.15">
      <c r="A204" s="61" t="s">
        <v>11</v>
      </c>
      <c r="B204" s="61">
        <v>2505</v>
      </c>
      <c r="C204" s="61">
        <v>20</v>
      </c>
      <c r="D204" s="61">
        <v>0.15240000000000001</v>
      </c>
      <c r="E204" s="61">
        <v>206.23650000000001</v>
      </c>
      <c r="F204" s="61">
        <v>7.7679999999999998</v>
      </c>
      <c r="G204" s="61">
        <v>38.8414</v>
      </c>
      <c r="H204" s="61">
        <v>2.8965999999999998</v>
      </c>
    </row>
    <row r="205" spans="1:8" x14ac:dyDescent="0.15">
      <c r="A205" s="61" t="s">
        <v>11</v>
      </c>
      <c r="B205" s="61">
        <v>2505</v>
      </c>
      <c r="C205" s="61">
        <v>20</v>
      </c>
      <c r="D205" s="61">
        <v>0.15279999999999999</v>
      </c>
      <c r="E205" s="61">
        <v>205.68860000000001</v>
      </c>
      <c r="F205" s="61">
        <v>7.7480000000000002</v>
      </c>
      <c r="G205" s="61">
        <v>38.738199999999999</v>
      </c>
      <c r="H205" s="61">
        <v>2.9045999999999998</v>
      </c>
    </row>
    <row r="206" spans="1:8" x14ac:dyDescent="0.15">
      <c r="A206" s="61" t="s">
        <v>11</v>
      </c>
      <c r="B206" s="61">
        <v>2505</v>
      </c>
      <c r="C206" s="61">
        <v>20</v>
      </c>
      <c r="D206" s="61">
        <v>0.1527</v>
      </c>
      <c r="E206" s="61">
        <v>205.9282</v>
      </c>
      <c r="F206" s="61">
        <v>7.7569999999999997</v>
      </c>
      <c r="G206" s="61">
        <v>38.783299999999997</v>
      </c>
      <c r="H206" s="61">
        <v>2.9026000000000001</v>
      </c>
    </row>
    <row r="207" spans="1:8" x14ac:dyDescent="0.15">
      <c r="A207" s="61" t="s">
        <v>11</v>
      </c>
      <c r="B207" s="61">
        <v>2505</v>
      </c>
      <c r="C207" s="61">
        <v>20</v>
      </c>
      <c r="D207" s="61">
        <v>0.15279999999999999</v>
      </c>
      <c r="E207" s="61">
        <v>205.77869999999999</v>
      </c>
      <c r="F207" s="61">
        <v>7.7510000000000003</v>
      </c>
      <c r="G207" s="61">
        <v>38.755200000000002</v>
      </c>
      <c r="H207" s="61">
        <v>2.9036</v>
      </c>
    </row>
    <row r="208" spans="1:8" x14ac:dyDescent="0.15">
      <c r="A208" s="61" t="s">
        <v>11</v>
      </c>
      <c r="B208" s="61">
        <v>2505</v>
      </c>
      <c r="C208" s="61">
        <v>20</v>
      </c>
      <c r="D208" s="61">
        <v>0.15260000000000001</v>
      </c>
      <c r="E208" s="61">
        <v>205.9581</v>
      </c>
      <c r="F208" s="61">
        <v>7.758</v>
      </c>
      <c r="G208" s="61">
        <v>38.788899999999998</v>
      </c>
      <c r="H208" s="61">
        <v>2.9016000000000002</v>
      </c>
    </row>
    <row r="209" spans="1:8" x14ac:dyDescent="0.15">
      <c r="A209" s="61" t="s">
        <v>11</v>
      </c>
      <c r="B209" s="61">
        <v>2505</v>
      </c>
      <c r="C209" s="61">
        <v>20</v>
      </c>
      <c r="D209" s="61">
        <v>0.1532</v>
      </c>
      <c r="E209" s="61">
        <v>205.1874</v>
      </c>
      <c r="F209" s="61">
        <v>7.7290000000000001</v>
      </c>
      <c r="G209" s="61">
        <v>38.643799999999999</v>
      </c>
      <c r="H209" s="61">
        <v>2.9106000000000001</v>
      </c>
    </row>
    <row r="210" spans="1:8" x14ac:dyDescent="0.15">
      <c r="A210" s="61" t="s">
        <v>11</v>
      </c>
      <c r="B210" s="61">
        <v>2505</v>
      </c>
      <c r="C210" s="61">
        <v>20</v>
      </c>
      <c r="D210" s="61">
        <v>0.1492</v>
      </c>
      <c r="E210" s="61">
        <v>210.70349999999999</v>
      </c>
      <c r="F210" s="61">
        <v>7.9370000000000003</v>
      </c>
      <c r="G210" s="61">
        <v>39.682699999999997</v>
      </c>
      <c r="H210" s="61">
        <v>2.8355999999999999</v>
      </c>
    </row>
    <row r="211" spans="1:8" x14ac:dyDescent="0.15">
      <c r="A211" s="61" t="s">
        <v>11</v>
      </c>
      <c r="B211" s="61">
        <v>2505</v>
      </c>
      <c r="C211" s="61">
        <v>20</v>
      </c>
      <c r="D211" s="61">
        <v>0.15570000000000001</v>
      </c>
      <c r="E211" s="61">
        <v>201.8991</v>
      </c>
      <c r="F211" s="61">
        <v>7.6050000000000004</v>
      </c>
      <c r="G211" s="61">
        <v>38.024500000000003</v>
      </c>
      <c r="H211" s="61">
        <v>2.9575999999999998</v>
      </c>
    </row>
    <row r="212" spans="1:8" x14ac:dyDescent="0.15">
      <c r="A212" s="61" t="s">
        <v>11</v>
      </c>
      <c r="B212" s="61">
        <v>2505</v>
      </c>
      <c r="C212" s="61">
        <v>20</v>
      </c>
      <c r="D212" s="61">
        <v>0.1527</v>
      </c>
      <c r="E212" s="61">
        <v>205.87200000000001</v>
      </c>
      <c r="F212" s="61">
        <v>7.7549999999999999</v>
      </c>
      <c r="G212" s="61">
        <v>38.7727</v>
      </c>
      <c r="H212" s="61">
        <v>2.9016000000000002</v>
      </c>
    </row>
    <row r="213" spans="1:8" x14ac:dyDescent="0.15">
      <c r="A213" s="61" t="s">
        <v>11</v>
      </c>
      <c r="B213" s="61">
        <v>2505</v>
      </c>
      <c r="C213" s="61">
        <v>20</v>
      </c>
      <c r="D213" s="61">
        <v>0.13930000000000001</v>
      </c>
      <c r="E213" s="61">
        <v>225.7</v>
      </c>
      <c r="F213" s="61">
        <v>8.5009999999999994</v>
      </c>
      <c r="G213" s="61">
        <v>42.506999999999998</v>
      </c>
      <c r="H213" s="61">
        <v>2.6636000000000002</v>
      </c>
    </row>
    <row r="214" spans="1:8" x14ac:dyDescent="0.15">
      <c r="A214" s="61" t="s">
        <v>11</v>
      </c>
      <c r="B214" s="61">
        <v>2505</v>
      </c>
      <c r="C214" s="61">
        <v>20</v>
      </c>
      <c r="D214" s="61">
        <v>8.0199999999999994E-2</v>
      </c>
      <c r="E214" s="61">
        <v>391.9169</v>
      </c>
      <c r="F214" s="61">
        <v>14.762</v>
      </c>
      <c r="G214" s="61">
        <v>73.811300000000003</v>
      </c>
      <c r="H214" s="61">
        <v>1.6028</v>
      </c>
    </row>
    <row r="215" spans="1:8" x14ac:dyDescent="0.15">
      <c r="A215" s="61" t="s">
        <v>11</v>
      </c>
      <c r="B215" s="61">
        <v>2505</v>
      </c>
      <c r="C215" s="61">
        <v>20</v>
      </c>
      <c r="D215" s="61">
        <v>0.08</v>
      </c>
      <c r="E215" s="61">
        <v>392.83300000000003</v>
      </c>
      <c r="F215" s="61">
        <v>14.797000000000001</v>
      </c>
      <c r="G215" s="61">
        <v>73.983900000000006</v>
      </c>
      <c r="H215" s="61">
        <v>1.6017999999999999</v>
      </c>
    </row>
    <row r="216" spans="1:8" x14ac:dyDescent="0.15">
      <c r="A216" s="61" t="s">
        <v>11</v>
      </c>
      <c r="B216" s="61">
        <v>2505</v>
      </c>
      <c r="C216" s="61">
        <v>20</v>
      </c>
      <c r="D216" s="61">
        <v>8.0100000000000005E-2</v>
      </c>
      <c r="E216" s="61">
        <v>392.67529999999999</v>
      </c>
      <c r="F216" s="61">
        <v>14.791</v>
      </c>
      <c r="G216" s="61">
        <v>73.9542</v>
      </c>
      <c r="H216" s="61">
        <v>1.6008</v>
      </c>
    </row>
    <row r="217" spans="1:8" x14ac:dyDescent="0.15">
      <c r="A217" s="61" t="s">
        <v>11</v>
      </c>
      <c r="B217" s="61">
        <v>2505</v>
      </c>
      <c r="C217" s="61">
        <v>20</v>
      </c>
      <c r="D217" s="61">
        <v>0.08</v>
      </c>
      <c r="E217" s="61">
        <v>392.77589999999998</v>
      </c>
      <c r="F217" s="61">
        <v>14.795</v>
      </c>
      <c r="G217" s="61">
        <v>73.973100000000002</v>
      </c>
      <c r="H217" s="61">
        <v>1.6008</v>
      </c>
    </row>
    <row r="218" spans="1:8" x14ac:dyDescent="0.15">
      <c r="A218" s="61" t="s">
        <v>11</v>
      </c>
      <c r="B218" s="61">
        <v>2505</v>
      </c>
      <c r="C218" s="61">
        <v>20</v>
      </c>
      <c r="D218" s="61">
        <v>8.0199999999999994E-2</v>
      </c>
      <c r="E218" s="61">
        <v>392.09730000000002</v>
      </c>
      <c r="F218" s="61">
        <v>14.769</v>
      </c>
      <c r="G218" s="61">
        <v>73.845299999999995</v>
      </c>
      <c r="H218" s="61">
        <v>1.6048</v>
      </c>
    </row>
    <row r="219" spans="1:8" x14ac:dyDescent="0.15">
      <c r="A219" s="61" t="s">
        <v>11</v>
      </c>
      <c r="B219" s="61">
        <v>2505</v>
      </c>
      <c r="C219" s="61">
        <v>20</v>
      </c>
      <c r="D219" s="61">
        <v>8.0100000000000005E-2</v>
      </c>
      <c r="E219" s="61">
        <v>392.46289999999999</v>
      </c>
      <c r="F219" s="61">
        <v>14.782999999999999</v>
      </c>
      <c r="G219" s="61">
        <v>73.914199999999994</v>
      </c>
      <c r="H219" s="61">
        <v>1.6028</v>
      </c>
    </row>
    <row r="220" spans="1:8" x14ac:dyDescent="0.15">
      <c r="A220" s="61" t="s">
        <v>11</v>
      </c>
      <c r="B220" s="61">
        <v>2505</v>
      </c>
      <c r="C220" s="61">
        <v>20</v>
      </c>
      <c r="D220" s="61">
        <v>8.0100000000000005E-2</v>
      </c>
      <c r="E220" s="61">
        <v>392.4889</v>
      </c>
      <c r="F220" s="61">
        <v>14.784000000000001</v>
      </c>
      <c r="G220" s="61">
        <v>73.9191</v>
      </c>
      <c r="H220" s="61">
        <v>1.6016999999999999</v>
      </c>
    </row>
    <row r="221" spans="1:8" x14ac:dyDescent="0.15">
      <c r="A221" s="61" t="s">
        <v>11</v>
      </c>
      <c r="B221" s="61">
        <v>2505</v>
      </c>
      <c r="C221" s="61">
        <v>20</v>
      </c>
      <c r="D221" s="61">
        <v>0.08</v>
      </c>
      <c r="E221" s="61">
        <v>393.0376</v>
      </c>
      <c r="F221" s="61">
        <v>14.804</v>
      </c>
      <c r="G221" s="61">
        <v>74.022400000000005</v>
      </c>
      <c r="H221" s="61">
        <v>1.6008</v>
      </c>
    </row>
    <row r="222" spans="1:8" x14ac:dyDescent="0.15">
      <c r="A222" s="61" t="s">
        <v>11</v>
      </c>
      <c r="B222" s="61">
        <v>2505</v>
      </c>
      <c r="C222" s="61">
        <v>20</v>
      </c>
      <c r="D222" s="61">
        <v>8.5300000000000001E-2</v>
      </c>
      <c r="E222" s="61">
        <v>368.41879999999998</v>
      </c>
      <c r="F222" s="61">
        <v>13.877000000000001</v>
      </c>
      <c r="G222" s="61">
        <v>69.385800000000003</v>
      </c>
      <c r="H222" s="61">
        <v>1.6987000000000001</v>
      </c>
    </row>
    <row r="223" spans="1:8" x14ac:dyDescent="0.15">
      <c r="A223" s="61" t="s">
        <v>11</v>
      </c>
      <c r="B223" s="61">
        <v>2510</v>
      </c>
      <c r="C223" s="61">
        <v>1</v>
      </c>
      <c r="D223" s="61">
        <v>1.1791</v>
      </c>
      <c r="E223" s="61">
        <v>26.822299999999998</v>
      </c>
      <c r="F223" s="61">
        <v>1</v>
      </c>
      <c r="G223" s="61">
        <v>100</v>
      </c>
      <c r="H223" s="61">
        <v>1.1788000000000001</v>
      </c>
    </row>
    <row r="224" spans="1:8" x14ac:dyDescent="0.15">
      <c r="A224" s="61" t="s">
        <v>11</v>
      </c>
      <c r="B224" s="61">
        <v>2510</v>
      </c>
      <c r="C224" s="61">
        <v>1</v>
      </c>
      <c r="D224" s="61">
        <v>1.1674</v>
      </c>
      <c r="E224" s="61">
        <v>27.090499999999999</v>
      </c>
      <c r="F224" s="61">
        <v>1.01</v>
      </c>
      <c r="G224" s="61">
        <v>100.9999</v>
      </c>
      <c r="H224" s="61">
        <v>1.1688000000000001</v>
      </c>
    </row>
    <row r="225" spans="1:8" x14ac:dyDescent="0.15">
      <c r="A225" s="61" t="s">
        <v>11</v>
      </c>
      <c r="B225" s="61">
        <v>2510</v>
      </c>
      <c r="C225" s="61">
        <v>1</v>
      </c>
      <c r="D225" s="61">
        <v>1.1738</v>
      </c>
      <c r="E225" s="61">
        <v>26.943999999999999</v>
      </c>
      <c r="F225" s="61">
        <v>1.0049999999999999</v>
      </c>
      <c r="G225" s="61">
        <v>100.4539</v>
      </c>
      <c r="H225" s="61">
        <v>1.1738</v>
      </c>
    </row>
    <row r="226" spans="1:8" x14ac:dyDescent="0.15">
      <c r="A226" s="61" t="s">
        <v>11</v>
      </c>
      <c r="B226" s="61">
        <v>2510</v>
      </c>
      <c r="C226" s="61">
        <v>1</v>
      </c>
      <c r="D226" s="61">
        <v>1.1698999999999999</v>
      </c>
      <c r="E226" s="61">
        <v>27.032499999999999</v>
      </c>
      <c r="F226" s="61">
        <v>1.008</v>
      </c>
      <c r="G226" s="61">
        <v>100.7839</v>
      </c>
      <c r="H226" s="61">
        <v>1.1698</v>
      </c>
    </row>
    <row r="227" spans="1:8" x14ac:dyDescent="0.15">
      <c r="A227" s="61" t="s">
        <v>11</v>
      </c>
      <c r="B227" s="61">
        <v>2510</v>
      </c>
      <c r="C227" s="61">
        <v>1</v>
      </c>
      <c r="D227" s="61">
        <v>1.1669</v>
      </c>
      <c r="E227" s="61">
        <v>27.103300000000001</v>
      </c>
      <c r="F227" s="61">
        <v>1.01</v>
      </c>
      <c r="G227" s="61">
        <v>101.0476</v>
      </c>
      <c r="H227" s="61">
        <v>1.1677999999999999</v>
      </c>
    </row>
    <row r="228" spans="1:8" x14ac:dyDescent="0.15">
      <c r="A228" s="61" t="s">
        <v>11</v>
      </c>
      <c r="B228" s="61">
        <v>2510</v>
      </c>
      <c r="C228" s="61">
        <v>1</v>
      </c>
      <c r="D228" s="61">
        <v>1.1675</v>
      </c>
      <c r="E228" s="61">
        <v>27.0898</v>
      </c>
      <c r="F228" s="61">
        <v>1.01</v>
      </c>
      <c r="G228" s="61">
        <v>100.99720000000001</v>
      </c>
      <c r="H228" s="61">
        <v>1.1688000000000001</v>
      </c>
    </row>
    <row r="229" spans="1:8" x14ac:dyDescent="0.15">
      <c r="A229" s="61" t="s">
        <v>11</v>
      </c>
      <c r="B229" s="61">
        <v>2510</v>
      </c>
      <c r="C229" s="61">
        <v>19</v>
      </c>
      <c r="D229" s="61">
        <v>8.48E-2</v>
      </c>
      <c r="E229" s="61">
        <v>372.82769999999999</v>
      </c>
      <c r="F229" s="61">
        <v>13.9</v>
      </c>
      <c r="G229" s="61">
        <v>73.157499999999999</v>
      </c>
      <c r="H229" s="61">
        <v>1.6077999999999999</v>
      </c>
    </row>
    <row r="230" spans="1:8" x14ac:dyDescent="0.15">
      <c r="A230" s="61" t="s">
        <v>11</v>
      </c>
      <c r="B230" s="61">
        <v>2510</v>
      </c>
      <c r="C230" s="61">
        <v>19</v>
      </c>
      <c r="D230" s="61">
        <v>8.3000000000000004E-2</v>
      </c>
      <c r="E230" s="61">
        <v>381.24369999999999</v>
      </c>
      <c r="F230" s="61">
        <v>14.214</v>
      </c>
      <c r="G230" s="61">
        <v>74.808899999999994</v>
      </c>
      <c r="H230" s="61">
        <v>1.5768</v>
      </c>
    </row>
    <row r="231" spans="1:8" x14ac:dyDescent="0.15">
      <c r="A231" s="61" t="s">
        <v>11</v>
      </c>
      <c r="B231" s="61">
        <v>2510</v>
      </c>
      <c r="C231" s="61">
        <v>19</v>
      </c>
      <c r="D231" s="61">
        <v>8.2900000000000001E-2</v>
      </c>
      <c r="E231" s="61">
        <v>381.53649999999999</v>
      </c>
      <c r="F231" s="61">
        <v>14.225</v>
      </c>
      <c r="G231" s="61">
        <v>74.866299999999995</v>
      </c>
      <c r="H231" s="61">
        <v>1.5758000000000001</v>
      </c>
    </row>
    <row r="232" spans="1:8" x14ac:dyDescent="0.15">
      <c r="A232" s="61" t="s">
        <v>11</v>
      </c>
      <c r="B232" s="61">
        <v>2510</v>
      </c>
      <c r="C232" s="61">
        <v>19</v>
      </c>
      <c r="D232" s="61">
        <v>8.2900000000000001E-2</v>
      </c>
      <c r="E232" s="61">
        <v>381.41980000000001</v>
      </c>
      <c r="F232" s="61">
        <v>14.22</v>
      </c>
      <c r="G232" s="61">
        <v>74.843400000000003</v>
      </c>
      <c r="H232" s="61">
        <v>1.5758000000000001</v>
      </c>
    </row>
    <row r="233" spans="1:8" x14ac:dyDescent="0.15">
      <c r="A233" s="61" t="s">
        <v>11</v>
      </c>
      <c r="B233" s="61">
        <v>2510</v>
      </c>
      <c r="C233" s="61">
        <v>19</v>
      </c>
      <c r="D233" s="61">
        <v>8.2699999999999996E-2</v>
      </c>
      <c r="E233" s="61">
        <v>382.65379999999999</v>
      </c>
      <c r="F233" s="61">
        <v>14.266</v>
      </c>
      <c r="G233" s="61">
        <v>75.085599999999999</v>
      </c>
      <c r="H233" s="61">
        <v>1.5708</v>
      </c>
    </row>
    <row r="234" spans="1:8" x14ac:dyDescent="0.15">
      <c r="A234" s="61" t="s">
        <v>11</v>
      </c>
      <c r="B234" s="61">
        <v>2510</v>
      </c>
      <c r="C234" s="61">
        <v>19</v>
      </c>
      <c r="D234" s="61">
        <v>8.2799999999999999E-2</v>
      </c>
      <c r="E234" s="61">
        <v>381.93770000000001</v>
      </c>
      <c r="F234" s="61">
        <v>14.24</v>
      </c>
      <c r="G234" s="61">
        <v>74.945099999999996</v>
      </c>
      <c r="H234" s="61">
        <v>1.5738000000000001</v>
      </c>
    </row>
    <row r="235" spans="1:8" x14ac:dyDescent="0.15">
      <c r="A235" s="61" t="s">
        <v>11</v>
      </c>
      <c r="B235" s="61">
        <v>2510</v>
      </c>
      <c r="C235" s="61">
        <v>19</v>
      </c>
      <c r="D235" s="61">
        <v>8.2699999999999996E-2</v>
      </c>
      <c r="E235" s="61">
        <v>382.51220000000001</v>
      </c>
      <c r="F235" s="61">
        <v>14.260999999999999</v>
      </c>
      <c r="G235" s="61">
        <v>75.0578</v>
      </c>
      <c r="H235" s="61">
        <v>1.5708</v>
      </c>
    </row>
    <row r="236" spans="1:8" x14ac:dyDescent="0.15">
      <c r="A236" s="61" t="s">
        <v>11</v>
      </c>
      <c r="B236" s="61">
        <v>2510</v>
      </c>
      <c r="C236" s="61">
        <v>19</v>
      </c>
      <c r="D236" s="61">
        <v>8.2900000000000001E-2</v>
      </c>
      <c r="E236" s="61">
        <v>381.27550000000002</v>
      </c>
      <c r="F236" s="61">
        <v>14.215</v>
      </c>
      <c r="G236" s="61">
        <v>74.815100000000001</v>
      </c>
      <c r="H236" s="61">
        <v>1.5768</v>
      </c>
    </row>
    <row r="237" spans="1:8" x14ac:dyDescent="0.15">
      <c r="A237" s="61" t="s">
        <v>11</v>
      </c>
      <c r="B237" s="61">
        <v>2510</v>
      </c>
      <c r="C237" s="61">
        <v>19</v>
      </c>
      <c r="D237" s="61">
        <v>8.2900000000000001E-2</v>
      </c>
      <c r="E237" s="61">
        <v>381.57029999999997</v>
      </c>
      <c r="F237" s="61">
        <v>14.226000000000001</v>
      </c>
      <c r="G237" s="61">
        <v>74.872900000000001</v>
      </c>
      <c r="H237" s="61">
        <v>1.5748</v>
      </c>
    </row>
    <row r="238" spans="1:8" x14ac:dyDescent="0.15">
      <c r="A238" s="61" t="s">
        <v>11</v>
      </c>
      <c r="B238" s="61">
        <v>2510</v>
      </c>
      <c r="C238" s="61">
        <v>19</v>
      </c>
      <c r="D238" s="61">
        <v>8.2699999999999996E-2</v>
      </c>
      <c r="E238" s="61">
        <v>382.42099999999999</v>
      </c>
      <c r="F238" s="61">
        <v>14.257999999999999</v>
      </c>
      <c r="G238" s="61">
        <v>75.039900000000003</v>
      </c>
      <c r="H238" s="61">
        <v>1.5718000000000001</v>
      </c>
    </row>
    <row r="239" spans="1:8" x14ac:dyDescent="0.15">
      <c r="A239" s="61" t="s">
        <v>11</v>
      </c>
      <c r="B239" s="61">
        <v>2510</v>
      </c>
      <c r="C239" s="61">
        <v>19</v>
      </c>
      <c r="D239" s="61">
        <v>8.2699999999999996E-2</v>
      </c>
      <c r="E239" s="61">
        <v>382.32150000000001</v>
      </c>
      <c r="F239" s="61">
        <v>14.254</v>
      </c>
      <c r="G239" s="61">
        <v>75.020399999999995</v>
      </c>
      <c r="H239" s="61">
        <v>1.5718000000000001</v>
      </c>
    </row>
    <row r="240" spans="1:8" x14ac:dyDescent="0.15">
      <c r="A240" s="61" t="s">
        <v>11</v>
      </c>
      <c r="B240" s="61">
        <v>2510</v>
      </c>
      <c r="C240" s="61">
        <v>19</v>
      </c>
      <c r="D240" s="61">
        <v>8.2799999999999999E-2</v>
      </c>
      <c r="E240" s="61">
        <v>381.79059999999998</v>
      </c>
      <c r="F240" s="61">
        <v>14.234</v>
      </c>
      <c r="G240" s="61">
        <v>74.916200000000003</v>
      </c>
      <c r="H240" s="61">
        <v>1.5738000000000001</v>
      </c>
    </row>
    <row r="241" spans="1:8" x14ac:dyDescent="0.15">
      <c r="A241" s="61" t="s">
        <v>11</v>
      </c>
      <c r="B241" s="61">
        <v>2510</v>
      </c>
      <c r="C241" s="61">
        <v>19</v>
      </c>
      <c r="D241" s="61">
        <v>8.2699999999999996E-2</v>
      </c>
      <c r="E241" s="61">
        <v>382.2912</v>
      </c>
      <c r="F241" s="61">
        <v>14.253</v>
      </c>
      <c r="G241" s="61">
        <v>75.014399999999995</v>
      </c>
      <c r="H241" s="61">
        <v>1.5728</v>
      </c>
    </row>
    <row r="242" spans="1:8" x14ac:dyDescent="0.15">
      <c r="A242" s="61" t="s">
        <v>11</v>
      </c>
      <c r="B242" s="61">
        <v>2510</v>
      </c>
      <c r="C242" s="61">
        <v>19</v>
      </c>
      <c r="D242" s="61">
        <v>8.2699999999999996E-2</v>
      </c>
      <c r="E242" s="61">
        <v>382.34710000000001</v>
      </c>
      <c r="F242" s="61">
        <v>14.255000000000001</v>
      </c>
      <c r="G242" s="61">
        <v>75.025400000000005</v>
      </c>
      <c r="H242" s="61">
        <v>1.5718000000000001</v>
      </c>
    </row>
    <row r="243" spans="1:8" x14ac:dyDescent="0.15">
      <c r="A243" s="61" t="s">
        <v>11</v>
      </c>
      <c r="B243" s="61">
        <v>2510</v>
      </c>
      <c r="C243" s="61">
        <v>19</v>
      </c>
      <c r="D243" s="61">
        <v>8.2699999999999996E-2</v>
      </c>
      <c r="E243" s="61">
        <v>382.23559999999998</v>
      </c>
      <c r="F243" s="61">
        <v>14.250999999999999</v>
      </c>
      <c r="G243" s="61">
        <v>75.003500000000003</v>
      </c>
      <c r="H243" s="61">
        <v>1.5728</v>
      </c>
    </row>
    <row r="244" spans="1:8" x14ac:dyDescent="0.15">
      <c r="A244" s="61" t="s">
        <v>11</v>
      </c>
      <c r="B244" s="61">
        <v>2510</v>
      </c>
      <c r="C244" s="61">
        <v>19</v>
      </c>
      <c r="D244" s="61">
        <v>8.2799999999999999E-2</v>
      </c>
      <c r="E244" s="61">
        <v>381.85079999999999</v>
      </c>
      <c r="F244" s="61">
        <v>14.236000000000001</v>
      </c>
      <c r="G244" s="61">
        <v>74.927999999999997</v>
      </c>
      <c r="H244" s="61">
        <v>1.5738000000000001</v>
      </c>
    </row>
    <row r="245" spans="1:8" x14ac:dyDescent="0.15">
      <c r="A245" s="61" t="s">
        <v>11</v>
      </c>
      <c r="B245" s="61">
        <v>2510</v>
      </c>
      <c r="C245" s="61">
        <v>19</v>
      </c>
      <c r="D245" s="61">
        <v>8.2699999999999996E-2</v>
      </c>
      <c r="E245" s="61">
        <v>382.57139999999998</v>
      </c>
      <c r="F245" s="61">
        <v>14.263</v>
      </c>
      <c r="G245" s="61">
        <v>75.069400000000002</v>
      </c>
      <c r="H245" s="61">
        <v>1.5708</v>
      </c>
    </row>
    <row r="246" spans="1:8" x14ac:dyDescent="0.15">
      <c r="A246" s="61" t="s">
        <v>11</v>
      </c>
      <c r="B246" s="61">
        <v>2510</v>
      </c>
      <c r="C246" s="61">
        <v>19</v>
      </c>
      <c r="D246" s="61">
        <v>8.2799999999999999E-2</v>
      </c>
      <c r="E246" s="61">
        <v>381.79770000000002</v>
      </c>
      <c r="F246" s="61">
        <v>14.234</v>
      </c>
      <c r="G246" s="61">
        <v>74.917599999999993</v>
      </c>
      <c r="H246" s="61">
        <v>1.5748</v>
      </c>
    </row>
    <row r="247" spans="1:8" x14ac:dyDescent="0.15">
      <c r="A247" s="61" t="s">
        <v>11</v>
      </c>
      <c r="B247" s="61">
        <v>2510</v>
      </c>
      <c r="C247" s="61">
        <v>19</v>
      </c>
      <c r="D247" s="61">
        <v>8.2799999999999999E-2</v>
      </c>
      <c r="E247" s="61">
        <v>382.13619999999997</v>
      </c>
      <c r="F247" s="61">
        <v>14.247</v>
      </c>
      <c r="G247" s="61">
        <v>74.983999999999995</v>
      </c>
      <c r="H247" s="61">
        <v>1.5728</v>
      </c>
    </row>
    <row r="248" spans="1:8" x14ac:dyDescent="0.15">
      <c r="A248" s="61" t="s">
        <v>11</v>
      </c>
      <c r="B248" s="61">
        <v>2510</v>
      </c>
      <c r="C248" s="61">
        <v>19</v>
      </c>
      <c r="D248" s="61">
        <v>8.2799999999999999E-2</v>
      </c>
      <c r="E248" s="61">
        <v>381.88659999999999</v>
      </c>
      <c r="F248" s="61">
        <v>14.238</v>
      </c>
      <c r="G248" s="61">
        <v>74.935000000000002</v>
      </c>
      <c r="H248" s="61">
        <v>1.5738000000000001</v>
      </c>
    </row>
    <row r="249" spans="1:8" x14ac:dyDescent="0.15">
      <c r="A249" s="61" t="s">
        <v>11</v>
      </c>
      <c r="B249" s="61">
        <v>2510</v>
      </c>
      <c r="C249" s="61">
        <v>19</v>
      </c>
      <c r="D249" s="61">
        <v>8.2900000000000001E-2</v>
      </c>
      <c r="E249" s="61">
        <v>381.43990000000002</v>
      </c>
      <c r="F249" s="61">
        <v>14.221</v>
      </c>
      <c r="G249" s="61">
        <v>74.847399999999993</v>
      </c>
      <c r="H249" s="61">
        <v>1.5758000000000001</v>
      </c>
    </row>
    <row r="250" spans="1:8" x14ac:dyDescent="0.15">
      <c r="A250" s="61" t="s">
        <v>11</v>
      </c>
      <c r="B250" s="61">
        <v>2510</v>
      </c>
      <c r="C250" s="61">
        <v>19</v>
      </c>
      <c r="D250" s="61">
        <v>8.2799999999999999E-2</v>
      </c>
      <c r="E250" s="61">
        <v>382.0265</v>
      </c>
      <c r="F250" s="61">
        <v>14.243</v>
      </c>
      <c r="G250" s="61">
        <v>74.962500000000006</v>
      </c>
      <c r="H250" s="61">
        <v>1.5728</v>
      </c>
    </row>
    <row r="251" spans="1:8" x14ac:dyDescent="0.15">
      <c r="A251" s="61" t="s">
        <v>11</v>
      </c>
      <c r="B251" s="61">
        <v>2510</v>
      </c>
      <c r="C251" s="61">
        <v>19</v>
      </c>
      <c r="D251" s="61">
        <v>8.2799999999999999E-2</v>
      </c>
      <c r="E251" s="61">
        <v>382.11779999999999</v>
      </c>
      <c r="F251" s="61">
        <v>14.246</v>
      </c>
      <c r="G251" s="61">
        <v>74.980400000000003</v>
      </c>
      <c r="H251" s="61">
        <v>1.5728</v>
      </c>
    </row>
    <row r="252" spans="1:8" x14ac:dyDescent="0.15">
      <c r="A252" s="61" t="s">
        <v>11</v>
      </c>
      <c r="B252" s="61">
        <v>2510</v>
      </c>
      <c r="C252" s="61">
        <v>19</v>
      </c>
      <c r="D252" s="61">
        <v>8.2799999999999999E-2</v>
      </c>
      <c r="E252" s="61">
        <v>382.14350000000002</v>
      </c>
      <c r="F252" s="61">
        <v>14.247</v>
      </c>
      <c r="G252" s="61">
        <v>74.985399999999998</v>
      </c>
      <c r="H252" s="61">
        <v>1.5728</v>
      </c>
    </row>
    <row r="253" spans="1:8" x14ac:dyDescent="0.15">
      <c r="A253" s="61" t="s">
        <v>11</v>
      </c>
      <c r="B253" s="61">
        <v>2510</v>
      </c>
      <c r="C253" s="61">
        <v>19</v>
      </c>
      <c r="D253" s="61">
        <v>8.2699999999999996E-2</v>
      </c>
      <c r="E253" s="61">
        <v>382.53949999999998</v>
      </c>
      <c r="F253" s="61">
        <v>14.262</v>
      </c>
      <c r="G253" s="61">
        <v>75.063100000000006</v>
      </c>
      <c r="H253" s="61">
        <v>1.5708</v>
      </c>
    </row>
    <row r="254" spans="1:8" x14ac:dyDescent="0.15">
      <c r="A254" s="61" t="s">
        <v>11</v>
      </c>
      <c r="B254" s="61">
        <v>2510</v>
      </c>
      <c r="C254" s="61">
        <v>19</v>
      </c>
      <c r="D254" s="61">
        <v>8.2699999999999996E-2</v>
      </c>
      <c r="E254" s="61">
        <v>382.2278</v>
      </c>
      <c r="F254" s="61">
        <v>14.25</v>
      </c>
      <c r="G254" s="61">
        <v>75.001999999999995</v>
      </c>
      <c r="H254" s="61">
        <v>1.5728</v>
      </c>
    </row>
    <row r="255" spans="1:8" x14ac:dyDescent="0.15">
      <c r="A255" s="61" t="s">
        <v>11</v>
      </c>
      <c r="B255" s="61">
        <v>2510</v>
      </c>
      <c r="C255" s="61">
        <v>19</v>
      </c>
      <c r="D255" s="61">
        <v>8.2699999999999996E-2</v>
      </c>
      <c r="E255" s="61">
        <v>382.29109999999997</v>
      </c>
      <c r="F255" s="61">
        <v>14.253</v>
      </c>
      <c r="G255" s="61">
        <v>75.014399999999995</v>
      </c>
      <c r="H255" s="61">
        <v>1.5728</v>
      </c>
    </row>
    <row r="256" spans="1:8" x14ac:dyDescent="0.15">
      <c r="A256" s="61" t="s">
        <v>11</v>
      </c>
      <c r="B256" s="61">
        <v>2510</v>
      </c>
      <c r="C256" s="61">
        <v>19</v>
      </c>
      <c r="D256" s="61">
        <v>8.2699999999999996E-2</v>
      </c>
      <c r="E256" s="61">
        <v>382.40260000000001</v>
      </c>
      <c r="F256" s="61">
        <v>14.257</v>
      </c>
      <c r="G256" s="61">
        <v>75.036299999999997</v>
      </c>
      <c r="H256" s="61">
        <v>1.5718000000000001</v>
      </c>
    </row>
    <row r="257" spans="1:8" x14ac:dyDescent="0.15">
      <c r="A257" s="61" t="s">
        <v>11</v>
      </c>
      <c r="B257" s="61">
        <v>2510</v>
      </c>
      <c r="C257" s="61">
        <v>19</v>
      </c>
      <c r="D257" s="61">
        <v>8.2699999999999996E-2</v>
      </c>
      <c r="E257" s="61">
        <v>382.24540000000002</v>
      </c>
      <c r="F257" s="61">
        <v>14.250999999999999</v>
      </c>
      <c r="G257" s="61">
        <v>75.005399999999995</v>
      </c>
      <c r="H257" s="61">
        <v>1.5718000000000001</v>
      </c>
    </row>
    <row r="258" spans="1:8" x14ac:dyDescent="0.15">
      <c r="A258" s="61" t="s">
        <v>11</v>
      </c>
      <c r="B258" s="61">
        <v>2510</v>
      </c>
      <c r="C258" s="61">
        <v>19</v>
      </c>
      <c r="D258" s="61">
        <v>8.2699999999999996E-2</v>
      </c>
      <c r="E258" s="61">
        <v>382.51850000000002</v>
      </c>
      <c r="F258" s="61">
        <v>14.260999999999999</v>
      </c>
      <c r="G258" s="61">
        <v>75.058999999999997</v>
      </c>
      <c r="H258" s="61">
        <v>1.5708</v>
      </c>
    </row>
    <row r="259" spans="1:8" x14ac:dyDescent="0.15">
      <c r="A259" s="61" t="s">
        <v>11</v>
      </c>
      <c r="B259" s="61">
        <v>2510</v>
      </c>
      <c r="C259" s="61">
        <v>19</v>
      </c>
      <c r="D259" s="61">
        <v>8.3400000000000002E-2</v>
      </c>
      <c r="E259" s="61">
        <v>379.41899999999998</v>
      </c>
      <c r="F259" s="61">
        <v>14.146000000000001</v>
      </c>
      <c r="G259" s="61">
        <v>74.450800000000001</v>
      </c>
      <c r="H259" s="61">
        <v>1.5818000000000001</v>
      </c>
    </row>
    <row r="260" spans="1:8" x14ac:dyDescent="0.15">
      <c r="A260" s="61" t="s">
        <v>11</v>
      </c>
      <c r="B260" s="61">
        <v>2510</v>
      </c>
      <c r="C260" s="61">
        <v>19</v>
      </c>
      <c r="D260" s="61">
        <v>8.2699999999999996E-2</v>
      </c>
      <c r="E260" s="61">
        <v>382.28800000000001</v>
      </c>
      <c r="F260" s="61">
        <v>14.253</v>
      </c>
      <c r="G260" s="61">
        <v>75.013800000000003</v>
      </c>
      <c r="H260" s="61">
        <v>1.5718000000000001</v>
      </c>
    </row>
    <row r="261" spans="1:8" x14ac:dyDescent="0.15">
      <c r="A261" s="61" t="s">
        <v>11</v>
      </c>
      <c r="B261" s="61">
        <v>2510</v>
      </c>
      <c r="C261" s="61">
        <v>19</v>
      </c>
      <c r="D261" s="61">
        <v>8.2799999999999999E-2</v>
      </c>
      <c r="E261" s="61">
        <v>381.94150000000002</v>
      </c>
      <c r="F261" s="61">
        <v>14.24</v>
      </c>
      <c r="G261" s="61">
        <v>74.945800000000006</v>
      </c>
      <c r="H261" s="61">
        <v>1.5728</v>
      </c>
    </row>
    <row r="262" spans="1:8" x14ac:dyDescent="0.15">
      <c r="A262" s="61" t="s">
        <v>11</v>
      </c>
      <c r="B262" s="61">
        <v>2510</v>
      </c>
      <c r="C262" s="61">
        <v>19</v>
      </c>
      <c r="D262" s="61">
        <v>8.2699999999999996E-2</v>
      </c>
      <c r="E262" s="61">
        <v>382.33170000000001</v>
      </c>
      <c r="F262" s="61">
        <v>14.254</v>
      </c>
      <c r="G262" s="61">
        <v>75.022400000000005</v>
      </c>
      <c r="H262" s="61">
        <v>1.5728</v>
      </c>
    </row>
    <row r="263" spans="1:8" x14ac:dyDescent="0.15">
      <c r="A263" s="61" t="s">
        <v>11</v>
      </c>
      <c r="B263" s="61">
        <v>2510</v>
      </c>
      <c r="C263" s="61">
        <v>19</v>
      </c>
      <c r="D263" s="61">
        <v>8.2699999999999996E-2</v>
      </c>
      <c r="E263" s="61">
        <v>382.26929999999999</v>
      </c>
      <c r="F263" s="61">
        <v>14.252000000000001</v>
      </c>
      <c r="G263" s="61">
        <v>75.010099999999994</v>
      </c>
      <c r="H263" s="61">
        <v>1.5718000000000001</v>
      </c>
    </row>
    <row r="264" spans="1:8" x14ac:dyDescent="0.15">
      <c r="A264" s="61" t="s">
        <v>11</v>
      </c>
      <c r="B264" s="61">
        <v>2510</v>
      </c>
      <c r="C264" s="61">
        <v>19</v>
      </c>
      <c r="D264" s="61">
        <v>8.2699999999999996E-2</v>
      </c>
      <c r="E264" s="61">
        <v>382.47390000000001</v>
      </c>
      <c r="F264" s="61">
        <v>14.26</v>
      </c>
      <c r="G264" s="61">
        <v>75.050299999999993</v>
      </c>
      <c r="H264" s="61">
        <v>1.5718000000000001</v>
      </c>
    </row>
    <row r="265" spans="1:8" x14ac:dyDescent="0.15">
      <c r="A265" s="61" t="s">
        <v>11</v>
      </c>
      <c r="B265" s="61">
        <v>2510</v>
      </c>
      <c r="C265" s="61">
        <v>19</v>
      </c>
      <c r="D265" s="61">
        <v>8.2799999999999999E-2</v>
      </c>
      <c r="E265" s="61">
        <v>382.01150000000001</v>
      </c>
      <c r="F265" s="61">
        <v>14.242000000000001</v>
      </c>
      <c r="G265" s="61">
        <v>74.959500000000006</v>
      </c>
      <c r="H265" s="61">
        <v>1.5738000000000001</v>
      </c>
    </row>
    <row r="266" spans="1:8" x14ac:dyDescent="0.15">
      <c r="A266" s="61" t="s">
        <v>11</v>
      </c>
      <c r="B266" s="61">
        <v>2510</v>
      </c>
      <c r="C266" s="61">
        <v>19</v>
      </c>
      <c r="D266" s="61">
        <v>8.2799999999999999E-2</v>
      </c>
      <c r="E266" s="61">
        <v>381.74610000000001</v>
      </c>
      <c r="F266" s="61">
        <v>14.231999999999999</v>
      </c>
      <c r="G266" s="61">
        <v>74.907499999999999</v>
      </c>
      <c r="H266" s="61">
        <v>1.5748</v>
      </c>
    </row>
    <row r="267" spans="1:8" x14ac:dyDescent="0.15">
      <c r="A267" s="61" t="s">
        <v>11</v>
      </c>
      <c r="B267" s="61">
        <v>2510</v>
      </c>
      <c r="C267" s="61">
        <v>19</v>
      </c>
      <c r="D267" s="61">
        <v>8.2699999999999996E-2</v>
      </c>
      <c r="E267" s="61">
        <v>382.3698</v>
      </c>
      <c r="F267" s="61">
        <v>14.256</v>
      </c>
      <c r="G267" s="61">
        <v>75.029799999999994</v>
      </c>
      <c r="H267" s="61">
        <v>1.5718000000000001</v>
      </c>
    </row>
    <row r="268" spans="1:8" x14ac:dyDescent="0.15">
      <c r="A268" s="61" t="s">
        <v>11</v>
      </c>
      <c r="B268" s="61">
        <v>2510</v>
      </c>
      <c r="C268" s="61">
        <v>19</v>
      </c>
      <c r="D268" s="61">
        <v>8.2600000000000007E-2</v>
      </c>
      <c r="E268" s="61">
        <v>382.7747</v>
      </c>
      <c r="F268" s="61">
        <v>14.271000000000001</v>
      </c>
      <c r="G268" s="61">
        <v>75.109300000000005</v>
      </c>
      <c r="H268" s="61">
        <v>1.5698000000000001</v>
      </c>
    </row>
    <row r="269" spans="1:8" x14ac:dyDescent="0.15">
      <c r="A269" s="61" t="s">
        <v>11</v>
      </c>
      <c r="B269" s="61">
        <v>2510</v>
      </c>
      <c r="C269" s="61">
        <v>19</v>
      </c>
      <c r="D269" s="61">
        <v>8.2699999999999996E-2</v>
      </c>
      <c r="E269" s="61">
        <v>382.31650000000002</v>
      </c>
      <c r="F269" s="61">
        <v>14.254</v>
      </c>
      <c r="G269" s="61">
        <v>75.019400000000005</v>
      </c>
      <c r="H269" s="61">
        <v>1.5728</v>
      </c>
    </row>
    <row r="270" spans="1:8" x14ac:dyDescent="0.15">
      <c r="A270" s="61" t="s">
        <v>11</v>
      </c>
      <c r="B270" s="61">
        <v>2510</v>
      </c>
      <c r="C270" s="61">
        <v>19</v>
      </c>
      <c r="D270" s="61">
        <v>8.2799999999999999E-2</v>
      </c>
      <c r="E270" s="61">
        <v>382.18009999999998</v>
      </c>
      <c r="F270" s="61">
        <v>14.249000000000001</v>
      </c>
      <c r="G270" s="61">
        <v>74.992599999999996</v>
      </c>
      <c r="H270" s="61">
        <v>1.5718000000000001</v>
      </c>
    </row>
    <row r="271" spans="1:8" x14ac:dyDescent="0.15">
      <c r="A271" s="61" t="s">
        <v>11</v>
      </c>
      <c r="B271" s="61">
        <v>2510</v>
      </c>
      <c r="C271" s="61">
        <v>19</v>
      </c>
      <c r="D271" s="61">
        <v>8.2799999999999999E-2</v>
      </c>
      <c r="E271" s="61">
        <v>381.98700000000002</v>
      </c>
      <c r="F271" s="61">
        <v>14.241</v>
      </c>
      <c r="G271" s="61">
        <v>74.954700000000003</v>
      </c>
      <c r="H271" s="61">
        <v>1.5728</v>
      </c>
    </row>
    <row r="272" spans="1:8" x14ac:dyDescent="0.15">
      <c r="A272" s="61" t="s">
        <v>11</v>
      </c>
      <c r="B272" s="61">
        <v>2510</v>
      </c>
      <c r="C272" s="61">
        <v>19</v>
      </c>
      <c r="D272" s="61">
        <v>8.2900000000000001E-2</v>
      </c>
      <c r="E272" s="61">
        <v>381.5342</v>
      </c>
      <c r="F272" s="61">
        <v>14.225</v>
      </c>
      <c r="G272" s="61">
        <v>74.865899999999996</v>
      </c>
      <c r="H272" s="61">
        <v>1.5758000000000001</v>
      </c>
    </row>
    <row r="273" spans="1:8" x14ac:dyDescent="0.15">
      <c r="A273" s="61" t="s">
        <v>11</v>
      </c>
      <c r="B273" s="61">
        <v>2510</v>
      </c>
      <c r="C273" s="61">
        <v>19</v>
      </c>
      <c r="D273" s="61">
        <v>8.2900000000000001E-2</v>
      </c>
      <c r="E273" s="61">
        <v>381.35849999999999</v>
      </c>
      <c r="F273" s="61">
        <v>14.218</v>
      </c>
      <c r="G273" s="61">
        <v>74.831400000000002</v>
      </c>
      <c r="H273" s="61">
        <v>1.5758000000000001</v>
      </c>
    </row>
    <row r="274" spans="1:8" x14ac:dyDescent="0.15">
      <c r="A274" s="61" t="s">
        <v>11</v>
      </c>
      <c r="B274" s="61">
        <v>2510</v>
      </c>
      <c r="C274" s="61">
        <v>19</v>
      </c>
      <c r="D274" s="61">
        <v>8.2900000000000001E-2</v>
      </c>
      <c r="E274" s="61">
        <v>381.31290000000001</v>
      </c>
      <c r="F274" s="61">
        <v>14.215999999999999</v>
      </c>
      <c r="G274" s="61">
        <v>74.822500000000005</v>
      </c>
      <c r="H274" s="61">
        <v>1.5758000000000001</v>
      </c>
    </row>
    <row r="275" spans="1:8" x14ac:dyDescent="0.15">
      <c r="A275" s="61" t="s">
        <v>11</v>
      </c>
      <c r="B275" s="61">
        <v>2510</v>
      </c>
      <c r="C275" s="61">
        <v>19</v>
      </c>
      <c r="D275" s="61">
        <v>8.2799999999999999E-2</v>
      </c>
      <c r="E275" s="61">
        <v>382.03590000000003</v>
      </c>
      <c r="F275" s="61">
        <v>14.243</v>
      </c>
      <c r="G275" s="61">
        <v>74.964299999999994</v>
      </c>
      <c r="H275" s="61">
        <v>1.5738000000000001</v>
      </c>
    </row>
    <row r="276" spans="1:8" x14ac:dyDescent="0.15">
      <c r="A276" s="61" t="s">
        <v>11</v>
      </c>
      <c r="B276" s="61">
        <v>2510</v>
      </c>
      <c r="C276" s="61">
        <v>19</v>
      </c>
      <c r="D276" s="61">
        <v>8.2799999999999999E-2</v>
      </c>
      <c r="E276" s="61">
        <v>382.05689999999998</v>
      </c>
      <c r="F276" s="61">
        <v>14.244</v>
      </c>
      <c r="G276" s="61">
        <v>74.968400000000003</v>
      </c>
      <c r="H276" s="61">
        <v>1.5728</v>
      </c>
    </row>
    <row r="277" spans="1:8" x14ac:dyDescent="0.15">
      <c r="A277" s="61" t="s">
        <v>11</v>
      </c>
      <c r="B277" s="61">
        <v>2510</v>
      </c>
      <c r="C277" s="61">
        <v>19</v>
      </c>
      <c r="D277" s="61">
        <v>8.2900000000000001E-2</v>
      </c>
      <c r="E277" s="61">
        <v>381.39190000000002</v>
      </c>
      <c r="F277" s="61">
        <v>14.218999999999999</v>
      </c>
      <c r="G277" s="61">
        <v>74.837999999999994</v>
      </c>
      <c r="H277" s="61">
        <v>1.5768</v>
      </c>
    </row>
    <row r="278" spans="1:8" x14ac:dyDescent="0.15">
      <c r="A278" s="61" t="s">
        <v>11</v>
      </c>
      <c r="B278" s="61">
        <v>2510</v>
      </c>
      <c r="C278" s="61">
        <v>19</v>
      </c>
      <c r="D278" s="61">
        <v>8.2699999999999996E-2</v>
      </c>
      <c r="E278" s="61">
        <v>382.39890000000003</v>
      </c>
      <c r="F278" s="61">
        <v>14.257</v>
      </c>
      <c r="G278" s="61">
        <v>75.035600000000002</v>
      </c>
      <c r="H278" s="61">
        <v>1.5718000000000001</v>
      </c>
    </row>
    <row r="279" spans="1:8" x14ac:dyDescent="0.15">
      <c r="A279" s="61" t="s">
        <v>11</v>
      </c>
      <c r="B279" s="61">
        <v>2510</v>
      </c>
      <c r="C279" s="61">
        <v>19</v>
      </c>
      <c r="D279" s="61">
        <v>8.2699999999999996E-2</v>
      </c>
      <c r="E279" s="61">
        <v>382.34179999999998</v>
      </c>
      <c r="F279" s="61">
        <v>14.255000000000001</v>
      </c>
      <c r="G279" s="61">
        <v>75.024299999999997</v>
      </c>
      <c r="H279" s="61">
        <v>1.5718000000000001</v>
      </c>
    </row>
    <row r="280" spans="1:8" x14ac:dyDescent="0.15">
      <c r="A280" s="61" t="s">
        <v>11</v>
      </c>
      <c r="B280" s="61">
        <v>2510</v>
      </c>
      <c r="C280" s="61">
        <v>20</v>
      </c>
      <c r="D280" s="61">
        <v>0.15870000000000001</v>
      </c>
      <c r="E280" s="61">
        <v>199.32339999999999</v>
      </c>
      <c r="F280" s="61">
        <v>7.431</v>
      </c>
      <c r="G280" s="61">
        <v>37.156300000000002</v>
      </c>
      <c r="H280" s="61">
        <v>3.0154999999999998</v>
      </c>
    </row>
    <row r="281" spans="1:8" x14ac:dyDescent="0.15">
      <c r="A281" s="61" t="s">
        <v>11</v>
      </c>
      <c r="B281" s="61">
        <v>2510</v>
      </c>
      <c r="C281" s="61">
        <v>20</v>
      </c>
      <c r="D281" s="61">
        <v>0.15859999999999999</v>
      </c>
      <c r="E281" s="61">
        <v>199.45830000000001</v>
      </c>
      <c r="F281" s="61">
        <v>7.4359999999999999</v>
      </c>
      <c r="G281" s="61">
        <v>37.181399999999996</v>
      </c>
      <c r="H281" s="61">
        <v>3.0135000000000001</v>
      </c>
    </row>
    <row r="282" spans="1:8" x14ac:dyDescent="0.15">
      <c r="A282" s="61" t="s">
        <v>11</v>
      </c>
      <c r="B282" s="61">
        <v>2510</v>
      </c>
      <c r="C282" s="61">
        <v>20</v>
      </c>
      <c r="D282" s="61">
        <v>0.15859999999999999</v>
      </c>
      <c r="E282" s="61">
        <v>199.405</v>
      </c>
      <c r="F282" s="61">
        <v>7.4340000000000002</v>
      </c>
      <c r="G282" s="61">
        <v>37.171500000000002</v>
      </c>
      <c r="H282" s="61">
        <v>3.0135000000000001</v>
      </c>
    </row>
    <row r="283" spans="1:8" x14ac:dyDescent="0.15">
      <c r="A283" s="61" t="s">
        <v>11</v>
      </c>
      <c r="B283" s="61">
        <v>2510</v>
      </c>
      <c r="C283" s="61">
        <v>20</v>
      </c>
      <c r="D283" s="61">
        <v>0.14860000000000001</v>
      </c>
      <c r="E283" s="61">
        <v>212.78819999999999</v>
      </c>
      <c r="F283" s="61">
        <v>7.9329999999999998</v>
      </c>
      <c r="G283" s="61">
        <v>39.6663</v>
      </c>
      <c r="H283" s="61">
        <v>2.8256000000000001</v>
      </c>
    </row>
    <row r="284" spans="1:8" x14ac:dyDescent="0.15">
      <c r="A284" s="61" t="s">
        <v>11</v>
      </c>
      <c r="B284" s="61">
        <v>2510</v>
      </c>
      <c r="C284" s="61">
        <v>20</v>
      </c>
      <c r="D284" s="61">
        <v>0.152</v>
      </c>
      <c r="E284" s="61">
        <v>208.1061</v>
      </c>
      <c r="F284" s="61">
        <v>7.7590000000000003</v>
      </c>
      <c r="G284" s="61">
        <v>38.793500000000002</v>
      </c>
      <c r="H284" s="61">
        <v>2.8885999999999998</v>
      </c>
    </row>
    <row r="285" spans="1:8" x14ac:dyDescent="0.15">
      <c r="A285" s="61" t="s">
        <v>11</v>
      </c>
      <c r="B285" s="61">
        <v>2510</v>
      </c>
      <c r="C285" s="61">
        <v>20</v>
      </c>
      <c r="D285" s="61">
        <v>0.1515</v>
      </c>
      <c r="E285" s="61">
        <v>208.7055</v>
      </c>
      <c r="F285" s="61">
        <v>7.7809999999999997</v>
      </c>
      <c r="G285" s="61">
        <v>38.905200000000001</v>
      </c>
      <c r="H285" s="61">
        <v>2.8805999999999998</v>
      </c>
    </row>
    <row r="286" spans="1:8" x14ac:dyDescent="0.15">
      <c r="A286" s="61" t="s">
        <v>11</v>
      </c>
      <c r="B286" s="61">
        <v>2510</v>
      </c>
      <c r="C286" s="61">
        <v>20</v>
      </c>
      <c r="D286" s="61">
        <v>0.15240000000000001</v>
      </c>
      <c r="E286" s="61">
        <v>207.54820000000001</v>
      </c>
      <c r="F286" s="61">
        <v>7.7380000000000004</v>
      </c>
      <c r="G286" s="61">
        <v>38.689500000000002</v>
      </c>
      <c r="H286" s="61">
        <v>2.8956</v>
      </c>
    </row>
    <row r="287" spans="1:8" x14ac:dyDescent="0.15">
      <c r="A287" s="61" t="s">
        <v>11</v>
      </c>
      <c r="B287" s="61">
        <v>2510</v>
      </c>
      <c r="C287" s="61">
        <v>20</v>
      </c>
      <c r="D287" s="61">
        <v>0.15390000000000001</v>
      </c>
      <c r="E287" s="61">
        <v>205.48869999999999</v>
      </c>
      <c r="F287" s="61">
        <v>7.6609999999999996</v>
      </c>
      <c r="G287" s="61">
        <v>38.305599999999998</v>
      </c>
      <c r="H287" s="61">
        <v>2.9256000000000002</v>
      </c>
    </row>
    <row r="288" spans="1:8" x14ac:dyDescent="0.15">
      <c r="A288" s="61" t="s">
        <v>11</v>
      </c>
      <c r="B288" s="61">
        <v>2510</v>
      </c>
      <c r="C288" s="61">
        <v>20</v>
      </c>
      <c r="D288" s="61">
        <v>0.15310000000000001</v>
      </c>
      <c r="E288" s="61">
        <v>206.54599999999999</v>
      </c>
      <c r="F288" s="61">
        <v>7.7009999999999996</v>
      </c>
      <c r="G288" s="61">
        <v>38.502699999999997</v>
      </c>
      <c r="H288" s="61">
        <v>2.9106000000000001</v>
      </c>
    </row>
    <row r="289" spans="1:8" x14ac:dyDescent="0.15">
      <c r="A289" s="61" t="s">
        <v>11</v>
      </c>
      <c r="B289" s="61">
        <v>2510</v>
      </c>
      <c r="C289" s="61">
        <v>20</v>
      </c>
      <c r="D289" s="61">
        <v>0.15290000000000001</v>
      </c>
      <c r="E289" s="61">
        <v>206.8348</v>
      </c>
      <c r="F289" s="61">
        <v>7.7110000000000003</v>
      </c>
      <c r="G289" s="61">
        <v>38.5565</v>
      </c>
      <c r="H289" s="61">
        <v>2.9056000000000002</v>
      </c>
    </row>
    <row r="290" spans="1:8" x14ac:dyDescent="0.15">
      <c r="A290" s="61" t="s">
        <v>11</v>
      </c>
      <c r="B290" s="61">
        <v>2510</v>
      </c>
      <c r="C290" s="61">
        <v>20</v>
      </c>
      <c r="D290" s="61">
        <v>0.1515</v>
      </c>
      <c r="E290" s="61">
        <v>208.82069999999999</v>
      </c>
      <c r="F290" s="61">
        <v>7.7850000000000001</v>
      </c>
      <c r="G290" s="61">
        <v>38.926699999999997</v>
      </c>
      <c r="H290" s="61">
        <v>2.8786</v>
      </c>
    </row>
    <row r="291" spans="1:8" x14ac:dyDescent="0.15">
      <c r="A291" s="61" t="s">
        <v>11</v>
      </c>
      <c r="B291" s="61">
        <v>2510</v>
      </c>
      <c r="C291" s="61">
        <v>20</v>
      </c>
      <c r="D291" s="61">
        <v>0.151</v>
      </c>
      <c r="E291" s="61">
        <v>209.48589999999999</v>
      </c>
      <c r="F291" s="61">
        <v>7.81</v>
      </c>
      <c r="G291" s="61">
        <v>39.050699999999999</v>
      </c>
      <c r="H291" s="61">
        <v>2.8696000000000002</v>
      </c>
    </row>
    <row r="292" spans="1:8" x14ac:dyDescent="0.15">
      <c r="A292" s="61" t="s">
        <v>11</v>
      </c>
      <c r="B292" s="61">
        <v>2510</v>
      </c>
      <c r="C292" s="61">
        <v>20</v>
      </c>
      <c r="D292" s="61">
        <v>0.13819999999999999</v>
      </c>
      <c r="E292" s="61">
        <v>228.81710000000001</v>
      </c>
      <c r="F292" s="61">
        <v>8.5310000000000006</v>
      </c>
      <c r="G292" s="61">
        <v>42.654299999999999</v>
      </c>
      <c r="H292" s="61">
        <v>2.6276000000000002</v>
      </c>
    </row>
    <row r="293" spans="1:8" x14ac:dyDescent="0.15">
      <c r="A293" s="61" t="s">
        <v>11</v>
      </c>
      <c r="B293" s="61">
        <v>2510</v>
      </c>
      <c r="C293" s="61">
        <v>20</v>
      </c>
      <c r="D293" s="61">
        <v>0.1512</v>
      </c>
      <c r="E293" s="61">
        <v>209.20400000000001</v>
      </c>
      <c r="F293" s="61">
        <v>7.8</v>
      </c>
      <c r="G293" s="61">
        <v>38.998100000000001</v>
      </c>
      <c r="H293" s="61">
        <v>2.8725999999999998</v>
      </c>
    </row>
    <row r="294" spans="1:8" x14ac:dyDescent="0.15">
      <c r="A294" s="61" t="s">
        <v>11</v>
      </c>
      <c r="B294" s="61">
        <v>2510</v>
      </c>
      <c r="C294" s="61">
        <v>20</v>
      </c>
      <c r="D294" s="61">
        <v>0.15329999999999999</v>
      </c>
      <c r="E294" s="61">
        <v>206.25559999999999</v>
      </c>
      <c r="F294" s="61">
        <v>7.69</v>
      </c>
      <c r="G294" s="61">
        <v>38.448500000000003</v>
      </c>
      <c r="H294" s="61">
        <v>2.9155000000000002</v>
      </c>
    </row>
    <row r="295" spans="1:8" x14ac:dyDescent="0.15">
      <c r="A295" s="61" t="s">
        <v>11</v>
      </c>
      <c r="B295" s="61">
        <v>2510</v>
      </c>
      <c r="C295" s="61">
        <v>20</v>
      </c>
      <c r="D295" s="61">
        <v>0.15240000000000001</v>
      </c>
      <c r="E295" s="61">
        <v>207.46530000000001</v>
      </c>
      <c r="F295" s="61">
        <v>7.7350000000000003</v>
      </c>
      <c r="G295" s="61">
        <v>38.673999999999999</v>
      </c>
      <c r="H295" s="61">
        <v>2.8965999999999998</v>
      </c>
    </row>
    <row r="296" spans="1:8" x14ac:dyDescent="0.15">
      <c r="A296" s="61" t="s">
        <v>11</v>
      </c>
      <c r="B296" s="61">
        <v>2510</v>
      </c>
      <c r="C296" s="61">
        <v>20</v>
      </c>
      <c r="D296" s="61">
        <v>0.1479</v>
      </c>
      <c r="E296" s="61">
        <v>213.77539999999999</v>
      </c>
      <c r="F296" s="61">
        <v>7.97</v>
      </c>
      <c r="G296" s="61">
        <v>39.850299999999997</v>
      </c>
      <c r="H296" s="61">
        <v>2.8115999999999999</v>
      </c>
    </row>
    <row r="297" spans="1:8" x14ac:dyDescent="0.15">
      <c r="A297" s="61" t="s">
        <v>11</v>
      </c>
      <c r="B297" s="61">
        <v>2510</v>
      </c>
      <c r="C297" s="61">
        <v>20</v>
      </c>
      <c r="D297" s="61">
        <v>0.14749999999999999</v>
      </c>
      <c r="E297" s="61">
        <v>214.48060000000001</v>
      </c>
      <c r="F297" s="61">
        <v>7.9960000000000004</v>
      </c>
      <c r="G297" s="61">
        <v>39.9818</v>
      </c>
      <c r="H297" s="61">
        <v>2.8035999999999999</v>
      </c>
    </row>
    <row r="298" spans="1:8" x14ac:dyDescent="0.15">
      <c r="A298" s="61" t="s">
        <v>11</v>
      </c>
      <c r="B298" s="61">
        <v>2510</v>
      </c>
      <c r="C298" s="61">
        <v>20</v>
      </c>
      <c r="D298" s="61">
        <v>0.15090000000000001</v>
      </c>
      <c r="E298" s="61">
        <v>209.61600000000001</v>
      </c>
      <c r="F298" s="61">
        <v>7.8150000000000004</v>
      </c>
      <c r="G298" s="61">
        <v>39.075000000000003</v>
      </c>
      <c r="H298" s="61">
        <v>2.8675999999999999</v>
      </c>
    </row>
    <row r="299" spans="1:8" x14ac:dyDescent="0.15">
      <c r="A299" s="61" t="s">
        <v>11</v>
      </c>
      <c r="B299" s="61">
        <v>2510</v>
      </c>
      <c r="C299" s="61">
        <v>20</v>
      </c>
      <c r="D299" s="61">
        <v>0.1416</v>
      </c>
      <c r="E299" s="61">
        <v>223.3596</v>
      </c>
      <c r="F299" s="61">
        <v>8.327</v>
      </c>
      <c r="G299" s="61">
        <v>41.636899999999997</v>
      </c>
      <c r="H299" s="61">
        <v>2.6905999999999999</v>
      </c>
    </row>
    <row r="300" spans="1:8" x14ac:dyDescent="0.15">
      <c r="A300" s="61" t="s">
        <v>11</v>
      </c>
      <c r="B300" s="61">
        <v>2510</v>
      </c>
      <c r="C300" s="61">
        <v>20</v>
      </c>
      <c r="D300" s="61">
        <v>0.15229999999999999</v>
      </c>
      <c r="E300" s="61">
        <v>207.6464</v>
      </c>
      <c r="F300" s="61">
        <v>7.742</v>
      </c>
      <c r="G300" s="61">
        <v>38.707799999999999</v>
      </c>
      <c r="H300" s="61">
        <v>2.8956</v>
      </c>
    </row>
    <row r="301" spans="1:8" x14ac:dyDescent="0.15">
      <c r="A301" s="61" t="s">
        <v>11</v>
      </c>
      <c r="B301" s="61">
        <v>2510</v>
      </c>
      <c r="C301" s="61">
        <v>20</v>
      </c>
      <c r="D301" s="61">
        <v>0.1489</v>
      </c>
      <c r="E301" s="61">
        <v>212.35</v>
      </c>
      <c r="F301" s="61">
        <v>7.9169999999999998</v>
      </c>
      <c r="G301" s="61">
        <v>39.584600000000002</v>
      </c>
      <c r="H301" s="61">
        <v>2.8306</v>
      </c>
    </row>
    <row r="302" spans="1:8" x14ac:dyDescent="0.15">
      <c r="A302" s="61" t="s">
        <v>11</v>
      </c>
      <c r="B302" s="61">
        <v>2510</v>
      </c>
      <c r="C302" s="61">
        <v>20</v>
      </c>
      <c r="D302" s="61">
        <v>0.14940000000000001</v>
      </c>
      <c r="E302" s="61">
        <v>211.69820000000001</v>
      </c>
      <c r="F302" s="61">
        <v>7.8929999999999998</v>
      </c>
      <c r="G302" s="61">
        <v>39.463099999999997</v>
      </c>
      <c r="H302" s="61">
        <v>2.8386</v>
      </c>
    </row>
    <row r="303" spans="1:8" x14ac:dyDescent="0.15">
      <c r="A303" s="61" t="s">
        <v>11</v>
      </c>
      <c r="B303" s="61">
        <v>2510</v>
      </c>
      <c r="C303" s="61">
        <v>20</v>
      </c>
      <c r="D303" s="61">
        <v>0.1515</v>
      </c>
      <c r="E303" s="61">
        <v>208.76089999999999</v>
      </c>
      <c r="F303" s="61">
        <v>7.7830000000000004</v>
      </c>
      <c r="G303" s="61">
        <v>38.915599999999998</v>
      </c>
      <c r="H303" s="61">
        <v>2.8795999999999999</v>
      </c>
    </row>
    <row r="304" spans="1:8" x14ac:dyDescent="0.15">
      <c r="A304" s="61" t="s">
        <v>11</v>
      </c>
      <c r="B304" s="61">
        <v>2510</v>
      </c>
      <c r="C304" s="61">
        <v>20</v>
      </c>
      <c r="D304" s="61">
        <v>0.15210000000000001</v>
      </c>
      <c r="E304" s="61">
        <v>207.93600000000001</v>
      </c>
      <c r="F304" s="61">
        <v>7.7519999999999998</v>
      </c>
      <c r="G304" s="61">
        <v>38.761800000000001</v>
      </c>
      <c r="H304" s="61">
        <v>2.8906000000000001</v>
      </c>
    </row>
    <row r="305" spans="1:8" x14ac:dyDescent="0.15">
      <c r="A305" s="61" t="s">
        <v>11</v>
      </c>
      <c r="B305" s="61">
        <v>2510</v>
      </c>
      <c r="C305" s="61">
        <v>20</v>
      </c>
      <c r="D305" s="61">
        <v>0.14810000000000001</v>
      </c>
      <c r="E305" s="61">
        <v>213.51179999999999</v>
      </c>
      <c r="F305" s="61">
        <v>7.96</v>
      </c>
      <c r="G305" s="61">
        <v>39.801200000000001</v>
      </c>
      <c r="H305" s="61">
        <v>2.8155999999999999</v>
      </c>
    </row>
    <row r="306" spans="1:8" x14ac:dyDescent="0.15">
      <c r="A306" s="61" t="s">
        <v>11</v>
      </c>
      <c r="B306" s="61">
        <v>2510</v>
      </c>
      <c r="C306" s="61">
        <v>20</v>
      </c>
      <c r="D306" s="61">
        <v>0.15379999999999999</v>
      </c>
      <c r="E306" s="61">
        <v>205.58070000000001</v>
      </c>
      <c r="F306" s="61">
        <v>7.665</v>
      </c>
      <c r="G306" s="61">
        <v>38.322699999999998</v>
      </c>
      <c r="H306" s="61">
        <v>2.9236</v>
      </c>
    </row>
    <row r="307" spans="1:8" x14ac:dyDescent="0.15">
      <c r="A307" s="61" t="s">
        <v>11</v>
      </c>
      <c r="B307" s="61">
        <v>2510</v>
      </c>
      <c r="C307" s="61">
        <v>20</v>
      </c>
      <c r="D307" s="61">
        <v>0.1467</v>
      </c>
      <c r="E307" s="61">
        <v>215.63419999999999</v>
      </c>
      <c r="F307" s="61">
        <v>8.0389999999999997</v>
      </c>
      <c r="G307" s="61">
        <v>40.196800000000003</v>
      </c>
      <c r="H307" s="61">
        <v>2.7875999999999999</v>
      </c>
    </row>
    <row r="308" spans="1:8" x14ac:dyDescent="0.15">
      <c r="A308" s="61" t="s">
        <v>11</v>
      </c>
      <c r="B308" s="61">
        <v>2510</v>
      </c>
      <c r="C308" s="61">
        <v>20</v>
      </c>
      <c r="D308" s="61">
        <v>0.14829999999999999</v>
      </c>
      <c r="E308" s="61">
        <v>213.2928</v>
      </c>
      <c r="F308" s="61">
        <v>7.952</v>
      </c>
      <c r="G308" s="61">
        <v>39.760399999999997</v>
      </c>
      <c r="H308" s="61">
        <v>2.8176000000000001</v>
      </c>
    </row>
    <row r="309" spans="1:8" x14ac:dyDescent="0.15">
      <c r="A309" s="61" t="s">
        <v>11</v>
      </c>
      <c r="B309" s="61">
        <v>2510</v>
      </c>
      <c r="C309" s="61">
        <v>20</v>
      </c>
      <c r="D309" s="61">
        <v>0.15210000000000001</v>
      </c>
      <c r="E309" s="61">
        <v>207.91900000000001</v>
      </c>
      <c r="F309" s="61">
        <v>7.7519999999999998</v>
      </c>
      <c r="G309" s="61">
        <v>38.758600000000001</v>
      </c>
      <c r="H309" s="61">
        <v>2.8904999999999998</v>
      </c>
    </row>
    <row r="310" spans="1:8" x14ac:dyDescent="0.15">
      <c r="A310" s="61" t="s">
        <v>11</v>
      </c>
      <c r="B310" s="61">
        <v>2510</v>
      </c>
      <c r="C310" s="61">
        <v>20</v>
      </c>
      <c r="D310" s="61">
        <v>0.14910000000000001</v>
      </c>
      <c r="E310" s="61">
        <v>212.15960000000001</v>
      </c>
      <c r="F310" s="61">
        <v>7.91</v>
      </c>
      <c r="G310" s="61">
        <v>39.549100000000003</v>
      </c>
      <c r="H310" s="61">
        <v>2.8336000000000001</v>
      </c>
    </row>
    <row r="311" spans="1:8" x14ac:dyDescent="0.15">
      <c r="A311" s="61" t="s">
        <v>11</v>
      </c>
      <c r="B311" s="61">
        <v>2510</v>
      </c>
      <c r="C311" s="61">
        <v>20</v>
      </c>
      <c r="D311" s="61">
        <v>0.15260000000000001</v>
      </c>
      <c r="E311" s="61">
        <v>207.22790000000001</v>
      </c>
      <c r="F311" s="61">
        <v>7.726</v>
      </c>
      <c r="G311" s="61">
        <v>38.629800000000003</v>
      </c>
      <c r="H311" s="61">
        <v>2.9005999999999998</v>
      </c>
    </row>
    <row r="312" spans="1:8" x14ac:dyDescent="0.15">
      <c r="A312" s="61" t="s">
        <v>11</v>
      </c>
      <c r="B312" s="61">
        <v>2510</v>
      </c>
      <c r="C312" s="61">
        <v>20</v>
      </c>
      <c r="D312" s="61">
        <v>0.1515</v>
      </c>
      <c r="E312" s="61">
        <v>208.7937</v>
      </c>
      <c r="F312" s="61">
        <v>7.7839999999999998</v>
      </c>
      <c r="G312" s="61">
        <v>38.921700000000001</v>
      </c>
      <c r="H312" s="61">
        <v>2.8795999999999999</v>
      </c>
    </row>
    <row r="313" spans="1:8" x14ac:dyDescent="0.15">
      <c r="A313" s="61" t="s">
        <v>11</v>
      </c>
      <c r="B313" s="61">
        <v>2510</v>
      </c>
      <c r="C313" s="61">
        <v>20</v>
      </c>
      <c r="D313" s="61">
        <v>0.15129999999999999</v>
      </c>
      <c r="E313" s="61">
        <v>209.0249</v>
      </c>
      <c r="F313" s="61">
        <v>7.7930000000000001</v>
      </c>
      <c r="G313" s="61">
        <v>38.964799999999997</v>
      </c>
      <c r="H313" s="61">
        <v>2.8755999999999999</v>
      </c>
    </row>
    <row r="314" spans="1:8" x14ac:dyDescent="0.15">
      <c r="A314" s="61" t="s">
        <v>11</v>
      </c>
      <c r="B314" s="61">
        <v>2510</v>
      </c>
      <c r="C314" s="61">
        <v>20</v>
      </c>
      <c r="D314" s="61">
        <v>0.1489</v>
      </c>
      <c r="E314" s="61">
        <v>212.4623</v>
      </c>
      <c r="F314" s="61">
        <v>7.9210000000000003</v>
      </c>
      <c r="G314" s="61">
        <v>39.605499999999999</v>
      </c>
      <c r="H314" s="61">
        <v>2.8296000000000001</v>
      </c>
    </row>
    <row r="315" spans="1:8" x14ac:dyDescent="0.15">
      <c r="A315" s="61" t="s">
        <v>11</v>
      </c>
      <c r="B315" s="61">
        <v>2510</v>
      </c>
      <c r="C315" s="61">
        <v>20</v>
      </c>
      <c r="D315" s="61">
        <v>0.14910000000000001</v>
      </c>
      <c r="E315" s="61">
        <v>212.16900000000001</v>
      </c>
      <c r="F315" s="61">
        <v>7.91</v>
      </c>
      <c r="G315" s="61">
        <v>39.550899999999999</v>
      </c>
      <c r="H315" s="61">
        <v>2.8325999999999998</v>
      </c>
    </row>
    <row r="316" spans="1:8" x14ac:dyDescent="0.15">
      <c r="A316" s="61" t="s">
        <v>11</v>
      </c>
      <c r="B316" s="61">
        <v>2510</v>
      </c>
      <c r="C316" s="61">
        <v>20</v>
      </c>
      <c r="D316" s="61">
        <v>0.14929999999999999</v>
      </c>
      <c r="E316" s="61">
        <v>211.79060000000001</v>
      </c>
      <c r="F316" s="61">
        <v>7.8959999999999999</v>
      </c>
      <c r="G316" s="61">
        <v>39.4803</v>
      </c>
      <c r="H316" s="61">
        <v>2.8386</v>
      </c>
    </row>
    <row r="317" spans="1:8" x14ac:dyDescent="0.15">
      <c r="A317" s="61" t="s">
        <v>11</v>
      </c>
      <c r="B317" s="61">
        <v>2510</v>
      </c>
      <c r="C317" s="61">
        <v>20</v>
      </c>
      <c r="D317" s="61">
        <v>0.14910000000000001</v>
      </c>
      <c r="E317" s="61">
        <v>212.14850000000001</v>
      </c>
      <c r="F317" s="61">
        <v>7.9089999999999998</v>
      </c>
      <c r="G317" s="61">
        <v>39.546999999999997</v>
      </c>
      <c r="H317" s="61">
        <v>2.8336000000000001</v>
      </c>
    </row>
    <row r="318" spans="1:8" x14ac:dyDescent="0.15">
      <c r="A318" s="61" t="s">
        <v>11</v>
      </c>
      <c r="B318" s="61">
        <v>2510</v>
      </c>
      <c r="C318" s="61">
        <v>20</v>
      </c>
      <c r="D318" s="61">
        <v>0.155</v>
      </c>
      <c r="E318" s="61">
        <v>204.0171</v>
      </c>
      <c r="F318" s="61">
        <v>7.6059999999999999</v>
      </c>
      <c r="G318" s="61">
        <v>38.031300000000002</v>
      </c>
      <c r="H318" s="61">
        <v>2.9466000000000001</v>
      </c>
    </row>
    <row r="319" spans="1:8" x14ac:dyDescent="0.15">
      <c r="A319" s="61" t="s">
        <v>11</v>
      </c>
      <c r="B319" s="61">
        <v>2510</v>
      </c>
      <c r="C319" s="61">
        <v>20</v>
      </c>
      <c r="D319" s="61">
        <v>0.15060000000000001</v>
      </c>
      <c r="E319" s="61">
        <v>210.0334</v>
      </c>
      <c r="F319" s="61">
        <v>7.8310000000000004</v>
      </c>
      <c r="G319" s="61">
        <v>39.152799999999999</v>
      </c>
      <c r="H319" s="61">
        <v>2.8616000000000001</v>
      </c>
    </row>
    <row r="320" spans="1:8" x14ac:dyDescent="0.15">
      <c r="A320" s="61" t="s">
        <v>11</v>
      </c>
      <c r="B320" s="61">
        <v>2510</v>
      </c>
      <c r="C320" s="61">
        <v>20</v>
      </c>
      <c r="D320" s="61">
        <v>0.1497</v>
      </c>
      <c r="E320" s="61">
        <v>211.2165</v>
      </c>
      <c r="F320" s="61">
        <v>7.875</v>
      </c>
      <c r="G320" s="61">
        <v>39.3733</v>
      </c>
      <c r="H320" s="61">
        <v>2.8466</v>
      </c>
    </row>
    <row r="321" spans="1:8" x14ac:dyDescent="0.15">
      <c r="A321" s="61" t="s">
        <v>11</v>
      </c>
      <c r="B321" s="61">
        <v>2510</v>
      </c>
      <c r="C321" s="61">
        <v>20</v>
      </c>
      <c r="D321" s="61">
        <v>0.15160000000000001</v>
      </c>
      <c r="E321" s="61">
        <v>208.6036</v>
      </c>
      <c r="F321" s="61">
        <v>7.7770000000000001</v>
      </c>
      <c r="G321" s="61">
        <v>38.886200000000002</v>
      </c>
      <c r="H321" s="61">
        <v>2.8816000000000002</v>
      </c>
    </row>
    <row r="322" spans="1:8" x14ac:dyDescent="0.15">
      <c r="A322" s="61" t="s">
        <v>11</v>
      </c>
      <c r="B322" s="61">
        <v>2510</v>
      </c>
      <c r="C322" s="61">
        <v>20</v>
      </c>
      <c r="D322" s="61">
        <v>0.14729999999999999</v>
      </c>
      <c r="E322" s="61">
        <v>214.71369999999999</v>
      </c>
      <c r="F322" s="61">
        <v>8.0050000000000008</v>
      </c>
      <c r="G322" s="61">
        <v>40.025199999999998</v>
      </c>
      <c r="H322" s="61">
        <v>2.7986</v>
      </c>
    </row>
    <row r="323" spans="1:8" x14ac:dyDescent="0.15">
      <c r="A323" s="61" t="s">
        <v>11</v>
      </c>
      <c r="B323" s="61">
        <v>2510</v>
      </c>
      <c r="C323" s="61">
        <v>20</v>
      </c>
      <c r="D323" s="61">
        <v>0.15090000000000001</v>
      </c>
      <c r="E323" s="61">
        <v>209.56880000000001</v>
      </c>
      <c r="F323" s="61">
        <v>7.8129999999999997</v>
      </c>
      <c r="G323" s="61">
        <v>39.066200000000002</v>
      </c>
      <c r="H323" s="61">
        <v>2.8685999999999998</v>
      </c>
    </row>
    <row r="324" spans="1:8" x14ac:dyDescent="0.15">
      <c r="A324" s="61" t="s">
        <v>11</v>
      </c>
      <c r="B324" s="61">
        <v>2510</v>
      </c>
      <c r="C324" s="61">
        <v>20</v>
      </c>
      <c r="D324" s="61">
        <v>0.14960000000000001</v>
      </c>
      <c r="E324" s="61">
        <v>211.40860000000001</v>
      </c>
      <c r="F324" s="61">
        <v>7.8819999999999997</v>
      </c>
      <c r="G324" s="61">
        <v>39.409100000000002</v>
      </c>
      <c r="H324" s="61">
        <v>2.8435999999999999</v>
      </c>
    </row>
    <row r="325" spans="1:8" x14ac:dyDescent="0.15">
      <c r="A325" s="61" t="s">
        <v>11</v>
      </c>
      <c r="B325" s="61">
        <v>2510</v>
      </c>
      <c r="C325" s="61">
        <v>20</v>
      </c>
      <c r="D325" s="61">
        <v>0.14990000000000001</v>
      </c>
      <c r="E325" s="61">
        <v>210.95920000000001</v>
      </c>
      <c r="F325" s="61">
        <v>7.8650000000000002</v>
      </c>
      <c r="G325" s="61">
        <v>39.325299999999999</v>
      </c>
      <c r="H325" s="61">
        <v>2.8496000000000001</v>
      </c>
    </row>
    <row r="326" spans="1:8" x14ac:dyDescent="0.15">
      <c r="A326" s="61" t="s">
        <v>11</v>
      </c>
      <c r="B326" s="61">
        <v>2510</v>
      </c>
      <c r="C326" s="61">
        <v>20</v>
      </c>
      <c r="D326" s="61">
        <v>0.1522</v>
      </c>
      <c r="E326" s="61">
        <v>207.83799999999999</v>
      </c>
      <c r="F326" s="61">
        <v>7.7489999999999997</v>
      </c>
      <c r="G326" s="61">
        <v>38.743499999999997</v>
      </c>
      <c r="H326" s="61">
        <v>2.8925000000000001</v>
      </c>
    </row>
    <row r="327" spans="1:8" x14ac:dyDescent="0.15">
      <c r="A327" s="61" t="s">
        <v>11</v>
      </c>
      <c r="B327" s="61">
        <v>2510</v>
      </c>
      <c r="C327" s="61">
        <v>20</v>
      </c>
      <c r="D327" s="61">
        <v>0.14549999999999999</v>
      </c>
      <c r="E327" s="61">
        <v>217.38210000000001</v>
      </c>
      <c r="F327" s="61">
        <v>8.1050000000000004</v>
      </c>
      <c r="G327" s="61">
        <v>40.522599999999997</v>
      </c>
      <c r="H327" s="61">
        <v>2.7656000000000001</v>
      </c>
    </row>
    <row r="328" spans="1:8" x14ac:dyDescent="0.15">
      <c r="A328" s="61" t="s">
        <v>11</v>
      </c>
      <c r="B328" s="61">
        <v>2510</v>
      </c>
      <c r="C328" s="61">
        <v>20</v>
      </c>
      <c r="D328" s="61">
        <v>0.15290000000000001</v>
      </c>
      <c r="E328" s="61">
        <v>206.8708</v>
      </c>
      <c r="F328" s="61">
        <v>7.7130000000000001</v>
      </c>
      <c r="G328" s="61">
        <v>38.563200000000002</v>
      </c>
      <c r="H328" s="61">
        <v>2.9055</v>
      </c>
    </row>
    <row r="329" spans="1:8" x14ac:dyDescent="0.15">
      <c r="A329" s="61" t="s">
        <v>11</v>
      </c>
      <c r="B329" s="61">
        <v>2510</v>
      </c>
      <c r="C329" s="61">
        <v>20</v>
      </c>
      <c r="D329" s="61">
        <v>0.152</v>
      </c>
      <c r="E329" s="61">
        <v>208.05590000000001</v>
      </c>
      <c r="F329" s="61">
        <v>7.7569999999999997</v>
      </c>
      <c r="G329" s="61">
        <v>38.784100000000002</v>
      </c>
      <c r="H329" s="61">
        <v>2.8885999999999998</v>
      </c>
    </row>
    <row r="330" spans="1:8" x14ac:dyDescent="0.15">
      <c r="A330" s="61" t="s">
        <v>11</v>
      </c>
      <c r="B330" s="61">
        <v>2510</v>
      </c>
      <c r="C330" s="61">
        <v>20</v>
      </c>
      <c r="D330" s="61">
        <v>0.1384</v>
      </c>
      <c r="E330" s="61">
        <v>228.5359</v>
      </c>
      <c r="F330" s="61">
        <v>8.52</v>
      </c>
      <c r="G330" s="61">
        <v>42.601900000000001</v>
      </c>
      <c r="H330" s="61">
        <v>2.6305999999999998</v>
      </c>
    </row>
    <row r="331" spans="1:8" x14ac:dyDescent="0.15">
      <c r="A331" s="61" t="s">
        <v>11</v>
      </c>
      <c r="B331" s="61">
        <v>10000</v>
      </c>
      <c r="C331" s="61">
        <v>1</v>
      </c>
      <c r="D331" s="61">
        <v>73.839500000000001</v>
      </c>
      <c r="E331" s="61">
        <v>27.085799999999999</v>
      </c>
      <c r="F331" s="61">
        <v>1</v>
      </c>
      <c r="G331" s="61">
        <v>100</v>
      </c>
      <c r="H331" s="61">
        <v>73.865799999999993</v>
      </c>
    </row>
    <row r="332" spans="1:8" x14ac:dyDescent="0.15">
      <c r="A332" s="61" t="s">
        <v>11</v>
      </c>
      <c r="B332" s="61">
        <v>10000</v>
      </c>
      <c r="C332" s="61">
        <v>1</v>
      </c>
      <c r="D332" s="61">
        <v>73.683499999999995</v>
      </c>
      <c r="E332" s="61">
        <v>27.1431</v>
      </c>
      <c r="F332" s="61">
        <v>1.002</v>
      </c>
      <c r="G332" s="61">
        <v>100.2116</v>
      </c>
      <c r="H332" s="61">
        <v>73.709800000000001</v>
      </c>
    </row>
    <row r="333" spans="1:8" x14ac:dyDescent="0.15">
      <c r="A333" s="61" t="s">
        <v>11</v>
      </c>
      <c r="B333" s="61">
        <v>10000</v>
      </c>
      <c r="C333" s="61">
        <v>1</v>
      </c>
      <c r="D333" s="61">
        <v>73.660499999999999</v>
      </c>
      <c r="E333" s="61">
        <v>27.151599999999998</v>
      </c>
      <c r="F333" s="61">
        <v>1.002</v>
      </c>
      <c r="G333" s="61">
        <v>100.24299999999999</v>
      </c>
      <c r="H333" s="61">
        <v>73.686800000000005</v>
      </c>
    </row>
    <row r="334" spans="1:8" x14ac:dyDescent="0.15">
      <c r="A334" s="61" t="s">
        <v>11</v>
      </c>
      <c r="B334" s="61">
        <v>10000</v>
      </c>
      <c r="C334" s="61">
        <v>1</v>
      </c>
      <c r="D334" s="61">
        <v>73.648600000000002</v>
      </c>
      <c r="E334" s="61">
        <v>27.155999999999999</v>
      </c>
      <c r="F334" s="61">
        <v>1.0029999999999999</v>
      </c>
      <c r="G334" s="61">
        <v>100.25920000000001</v>
      </c>
      <c r="H334" s="61">
        <v>73.675799999999995</v>
      </c>
    </row>
    <row r="335" spans="1:8" x14ac:dyDescent="0.15">
      <c r="A335" s="61" t="s">
        <v>11</v>
      </c>
      <c r="B335" s="61">
        <v>10000</v>
      </c>
      <c r="C335" s="61">
        <v>1</v>
      </c>
      <c r="D335" s="61">
        <v>73.708200000000005</v>
      </c>
      <c r="E335" s="61">
        <v>27.134</v>
      </c>
      <c r="F335" s="61">
        <v>1.002</v>
      </c>
      <c r="G335" s="61">
        <v>100.178</v>
      </c>
      <c r="H335" s="61">
        <v>73.734800000000007</v>
      </c>
    </row>
    <row r="336" spans="1:8" x14ac:dyDescent="0.15">
      <c r="A336" s="61" t="s">
        <v>11</v>
      </c>
      <c r="B336" s="61">
        <v>10000</v>
      </c>
      <c r="C336" s="61">
        <v>1</v>
      </c>
      <c r="D336" s="61">
        <v>73.645300000000006</v>
      </c>
      <c r="E336" s="61">
        <v>27.1572</v>
      </c>
      <c r="F336" s="61">
        <v>1.0029999999999999</v>
      </c>
      <c r="G336" s="61">
        <v>100.2637</v>
      </c>
      <c r="H336" s="61">
        <v>73.671800000000005</v>
      </c>
    </row>
    <row r="337" spans="1:8" x14ac:dyDescent="0.15">
      <c r="A337" s="61" t="s">
        <v>11</v>
      </c>
      <c r="B337" s="61">
        <v>10000</v>
      </c>
      <c r="C337" s="61">
        <v>19</v>
      </c>
      <c r="D337" s="61">
        <v>4.8032000000000004</v>
      </c>
      <c r="E337" s="61">
        <v>416.39229999999998</v>
      </c>
      <c r="F337" s="61">
        <v>15.372999999999999</v>
      </c>
      <c r="G337" s="61">
        <v>80.911000000000001</v>
      </c>
      <c r="H337" s="61">
        <v>91.267099999999999</v>
      </c>
    </row>
    <row r="338" spans="1:8" x14ac:dyDescent="0.15">
      <c r="A338" s="61" t="s">
        <v>11</v>
      </c>
      <c r="B338" s="61">
        <v>10000</v>
      </c>
      <c r="C338" s="61">
        <v>19</v>
      </c>
      <c r="D338" s="61">
        <v>4.7992999999999997</v>
      </c>
      <c r="E338" s="61">
        <v>416.72469999999998</v>
      </c>
      <c r="F338" s="61">
        <v>15.385</v>
      </c>
      <c r="G338" s="61">
        <v>80.9756</v>
      </c>
      <c r="H338" s="61">
        <v>91.2012</v>
      </c>
    </row>
    <row r="339" spans="1:8" x14ac:dyDescent="0.15">
      <c r="A339" s="61" t="s">
        <v>11</v>
      </c>
      <c r="B339" s="61">
        <v>10000</v>
      </c>
      <c r="C339" s="61">
        <v>19</v>
      </c>
      <c r="D339" s="61">
        <v>4.8000999999999996</v>
      </c>
      <c r="E339" s="61">
        <v>416.65620000000001</v>
      </c>
      <c r="F339" s="61">
        <v>15.382999999999999</v>
      </c>
      <c r="G339" s="61">
        <v>80.962299999999999</v>
      </c>
      <c r="H339" s="61">
        <v>91.207099999999997</v>
      </c>
    </row>
    <row r="340" spans="1:8" x14ac:dyDescent="0.15">
      <c r="A340" s="61" t="s">
        <v>11</v>
      </c>
      <c r="B340" s="61">
        <v>10000</v>
      </c>
      <c r="C340" s="61">
        <v>19</v>
      </c>
      <c r="D340" s="61">
        <v>4.7994000000000003</v>
      </c>
      <c r="E340" s="61">
        <v>416.7167</v>
      </c>
      <c r="F340" s="61">
        <v>15.385</v>
      </c>
      <c r="G340" s="61">
        <v>80.974000000000004</v>
      </c>
      <c r="H340" s="61">
        <v>91.196200000000005</v>
      </c>
    </row>
    <row r="341" spans="1:8" x14ac:dyDescent="0.15">
      <c r="A341" s="61" t="s">
        <v>11</v>
      </c>
      <c r="B341" s="61">
        <v>10000</v>
      </c>
      <c r="C341" s="61">
        <v>19</v>
      </c>
      <c r="D341" s="61">
        <v>4.8459000000000003</v>
      </c>
      <c r="E341" s="61">
        <v>412.72320000000002</v>
      </c>
      <c r="F341" s="61">
        <v>15.238</v>
      </c>
      <c r="G341" s="61">
        <v>80.197999999999993</v>
      </c>
      <c r="H341" s="61">
        <v>92.078999999999994</v>
      </c>
    </row>
    <row r="342" spans="1:8" x14ac:dyDescent="0.15">
      <c r="A342" s="61" t="s">
        <v>11</v>
      </c>
      <c r="B342" s="61">
        <v>10000</v>
      </c>
      <c r="C342" s="61">
        <v>19</v>
      </c>
      <c r="D342" s="61">
        <v>4.9301000000000004</v>
      </c>
      <c r="E342" s="61">
        <v>405.66910000000001</v>
      </c>
      <c r="F342" s="61">
        <v>14.977</v>
      </c>
      <c r="G342" s="61">
        <v>78.827299999999994</v>
      </c>
      <c r="H342" s="61">
        <v>93.686800000000005</v>
      </c>
    </row>
    <row r="343" spans="1:8" x14ac:dyDescent="0.15">
      <c r="A343" s="61" t="s">
        <v>11</v>
      </c>
      <c r="B343" s="61">
        <v>10000</v>
      </c>
      <c r="C343" s="61">
        <v>19</v>
      </c>
      <c r="D343" s="61">
        <v>4.9221000000000004</v>
      </c>
      <c r="E343" s="61">
        <v>406.32799999999997</v>
      </c>
      <c r="F343" s="61">
        <v>15.002000000000001</v>
      </c>
      <c r="G343" s="61">
        <v>78.955399999999997</v>
      </c>
      <c r="H343" s="61">
        <v>93.524799999999999</v>
      </c>
    </row>
    <row r="344" spans="1:8" x14ac:dyDescent="0.15">
      <c r="A344" s="61" t="s">
        <v>11</v>
      </c>
      <c r="B344" s="61">
        <v>10000</v>
      </c>
      <c r="C344" s="61">
        <v>19</v>
      </c>
      <c r="D344" s="61">
        <v>4.9141000000000004</v>
      </c>
      <c r="E344" s="61">
        <v>406.98849999999999</v>
      </c>
      <c r="F344" s="61">
        <v>15.026</v>
      </c>
      <c r="G344" s="61">
        <v>79.083699999999993</v>
      </c>
      <c r="H344" s="61">
        <v>93.381699999999995</v>
      </c>
    </row>
    <row r="345" spans="1:8" x14ac:dyDescent="0.15">
      <c r="A345" s="61" t="s">
        <v>11</v>
      </c>
      <c r="B345" s="61">
        <v>10000</v>
      </c>
      <c r="C345" s="61">
        <v>19</v>
      </c>
      <c r="D345" s="61">
        <v>4.9176000000000002</v>
      </c>
      <c r="E345" s="61">
        <v>406.70589999999999</v>
      </c>
      <c r="F345" s="61">
        <v>15.015000000000001</v>
      </c>
      <c r="G345" s="61">
        <v>79.028800000000004</v>
      </c>
      <c r="H345" s="61">
        <v>93.442899999999995</v>
      </c>
    </row>
    <row r="346" spans="1:8" x14ac:dyDescent="0.15">
      <c r="A346" s="61" t="s">
        <v>11</v>
      </c>
      <c r="B346" s="61">
        <v>10000</v>
      </c>
      <c r="C346" s="61">
        <v>19</v>
      </c>
      <c r="D346" s="61">
        <v>4.9259000000000004</v>
      </c>
      <c r="E346" s="61">
        <v>406.01920000000001</v>
      </c>
      <c r="F346" s="61">
        <v>14.99</v>
      </c>
      <c r="G346" s="61">
        <v>78.895399999999995</v>
      </c>
      <c r="H346" s="61">
        <v>93.600700000000003</v>
      </c>
    </row>
    <row r="347" spans="1:8" x14ac:dyDescent="0.15">
      <c r="A347" s="61" t="s">
        <v>11</v>
      </c>
      <c r="B347" s="61">
        <v>10000</v>
      </c>
      <c r="C347" s="61">
        <v>19</v>
      </c>
      <c r="D347" s="61">
        <v>4.9286000000000003</v>
      </c>
      <c r="E347" s="61">
        <v>405.79230000000001</v>
      </c>
      <c r="F347" s="61">
        <v>14.981999999999999</v>
      </c>
      <c r="G347" s="61">
        <v>78.851299999999995</v>
      </c>
      <c r="H347" s="61">
        <v>93.649799999999999</v>
      </c>
    </row>
    <row r="348" spans="1:8" x14ac:dyDescent="0.15">
      <c r="A348" s="61" t="s">
        <v>11</v>
      </c>
      <c r="B348" s="61">
        <v>10000</v>
      </c>
      <c r="C348" s="61">
        <v>19</v>
      </c>
      <c r="D348" s="61">
        <v>4.9306000000000001</v>
      </c>
      <c r="E348" s="61">
        <v>405.62689999999998</v>
      </c>
      <c r="F348" s="61">
        <v>14.976000000000001</v>
      </c>
      <c r="G348" s="61">
        <v>78.819100000000006</v>
      </c>
      <c r="H348" s="61">
        <v>93.693700000000007</v>
      </c>
    </row>
    <row r="349" spans="1:8" x14ac:dyDescent="0.15">
      <c r="A349" s="61" t="s">
        <v>11</v>
      </c>
      <c r="B349" s="61">
        <v>10000</v>
      </c>
      <c r="C349" s="61">
        <v>19</v>
      </c>
      <c r="D349" s="61">
        <v>4.9340000000000002</v>
      </c>
      <c r="E349" s="61">
        <v>405.34949999999998</v>
      </c>
      <c r="F349" s="61">
        <v>14.965</v>
      </c>
      <c r="G349" s="61">
        <v>78.765199999999993</v>
      </c>
      <c r="H349" s="61">
        <v>93.756799999999998</v>
      </c>
    </row>
    <row r="350" spans="1:8" x14ac:dyDescent="0.15">
      <c r="A350" s="61" t="s">
        <v>11</v>
      </c>
      <c r="B350" s="61">
        <v>10000</v>
      </c>
      <c r="C350" s="61">
        <v>19</v>
      </c>
      <c r="D350" s="61">
        <v>4.9382999999999999</v>
      </c>
      <c r="E350" s="61">
        <v>404.99849999999998</v>
      </c>
      <c r="F350" s="61">
        <v>14.952</v>
      </c>
      <c r="G350" s="61">
        <v>78.697000000000003</v>
      </c>
      <c r="H350" s="61">
        <v>93.8386</v>
      </c>
    </row>
    <row r="351" spans="1:8" x14ac:dyDescent="0.15">
      <c r="A351" s="61" t="s">
        <v>11</v>
      </c>
      <c r="B351" s="61">
        <v>10000</v>
      </c>
      <c r="C351" s="61">
        <v>19</v>
      </c>
      <c r="D351" s="61">
        <v>4.9444999999999997</v>
      </c>
      <c r="E351" s="61">
        <v>404.48860000000002</v>
      </c>
      <c r="F351" s="61">
        <v>14.933999999999999</v>
      </c>
      <c r="G351" s="61">
        <v>78.597899999999996</v>
      </c>
      <c r="H351" s="61">
        <v>93.943700000000007</v>
      </c>
    </row>
    <row r="352" spans="1:8" x14ac:dyDescent="0.15">
      <c r="A352" s="61" t="s">
        <v>11</v>
      </c>
      <c r="B352" s="61">
        <v>10000</v>
      </c>
      <c r="C352" s="61">
        <v>19</v>
      </c>
      <c r="D352" s="61">
        <v>4.9486999999999997</v>
      </c>
      <c r="E352" s="61">
        <v>404.15</v>
      </c>
      <c r="F352" s="61">
        <v>14.920999999999999</v>
      </c>
      <c r="G352" s="61">
        <v>78.5321</v>
      </c>
      <c r="H352" s="61">
        <v>94.032700000000006</v>
      </c>
    </row>
    <row r="353" spans="1:8" x14ac:dyDescent="0.15">
      <c r="A353" s="61" t="s">
        <v>11</v>
      </c>
      <c r="B353" s="61">
        <v>10000</v>
      </c>
      <c r="C353" s="61">
        <v>19</v>
      </c>
      <c r="D353" s="61">
        <v>4.9539999999999997</v>
      </c>
      <c r="E353" s="61">
        <v>403.71640000000002</v>
      </c>
      <c r="F353" s="61">
        <v>14.904999999999999</v>
      </c>
      <c r="G353" s="61">
        <v>78.447900000000004</v>
      </c>
      <c r="H353" s="61">
        <v>94.136700000000005</v>
      </c>
    </row>
    <row r="354" spans="1:8" x14ac:dyDescent="0.15">
      <c r="A354" s="61" t="s">
        <v>11</v>
      </c>
      <c r="B354" s="61">
        <v>10000</v>
      </c>
      <c r="C354" s="61">
        <v>19</v>
      </c>
      <c r="D354" s="61">
        <v>4.9583000000000004</v>
      </c>
      <c r="E354" s="61">
        <v>403.36130000000003</v>
      </c>
      <c r="F354" s="61">
        <v>14.891999999999999</v>
      </c>
      <c r="G354" s="61">
        <v>78.378900000000002</v>
      </c>
      <c r="H354" s="61">
        <v>94.2196</v>
      </c>
    </row>
    <row r="355" spans="1:8" x14ac:dyDescent="0.15">
      <c r="A355" s="61" t="s">
        <v>11</v>
      </c>
      <c r="B355" s="61">
        <v>10000</v>
      </c>
      <c r="C355" s="61">
        <v>19</v>
      </c>
      <c r="D355" s="61">
        <v>4.9598000000000004</v>
      </c>
      <c r="E355" s="61">
        <v>403.24209999999999</v>
      </c>
      <c r="F355" s="61">
        <v>14.888</v>
      </c>
      <c r="G355" s="61">
        <v>78.355699999999999</v>
      </c>
      <c r="H355" s="61">
        <v>94.241699999999994</v>
      </c>
    </row>
    <row r="356" spans="1:8" x14ac:dyDescent="0.15">
      <c r="A356" s="61" t="s">
        <v>11</v>
      </c>
      <c r="B356" s="61">
        <v>10000</v>
      </c>
      <c r="C356" s="61">
        <v>19</v>
      </c>
      <c r="D356" s="61">
        <v>4.9625000000000004</v>
      </c>
      <c r="E356" s="61">
        <v>403.02229999999997</v>
      </c>
      <c r="F356" s="61">
        <v>14.879</v>
      </c>
      <c r="G356" s="61">
        <v>78.313000000000002</v>
      </c>
      <c r="H356" s="61">
        <v>94.297600000000003</v>
      </c>
    </row>
    <row r="357" spans="1:8" x14ac:dyDescent="0.15">
      <c r="A357" s="61" t="s">
        <v>11</v>
      </c>
      <c r="B357" s="61">
        <v>10000</v>
      </c>
      <c r="C357" s="61">
        <v>19</v>
      </c>
      <c r="D357" s="61">
        <v>4.9664999999999999</v>
      </c>
      <c r="E357" s="61">
        <v>402.69540000000001</v>
      </c>
      <c r="F357" s="61">
        <v>14.867000000000001</v>
      </c>
      <c r="G357" s="61">
        <v>78.249499999999998</v>
      </c>
      <c r="H357" s="61">
        <v>94.374799999999993</v>
      </c>
    </row>
    <row r="358" spans="1:8" x14ac:dyDescent="0.15">
      <c r="A358" s="61" t="s">
        <v>11</v>
      </c>
      <c r="B358" s="61">
        <v>10000</v>
      </c>
      <c r="C358" s="61">
        <v>19</v>
      </c>
      <c r="D358" s="61">
        <v>4.9668000000000001</v>
      </c>
      <c r="E358" s="61">
        <v>402.6705</v>
      </c>
      <c r="F358" s="61">
        <v>14.866</v>
      </c>
      <c r="G358" s="61">
        <v>78.244699999999995</v>
      </c>
      <c r="H358" s="61">
        <v>94.380600000000001</v>
      </c>
    </row>
    <row r="359" spans="1:8" x14ac:dyDescent="0.15">
      <c r="A359" s="61" t="s">
        <v>11</v>
      </c>
      <c r="B359" s="61">
        <v>10000</v>
      </c>
      <c r="C359" s="61">
        <v>19</v>
      </c>
      <c r="D359" s="61">
        <v>4.9683000000000002</v>
      </c>
      <c r="E359" s="61">
        <v>402.5532</v>
      </c>
      <c r="F359" s="61">
        <v>14.862</v>
      </c>
      <c r="G359" s="61">
        <v>78.221900000000005</v>
      </c>
      <c r="H359" s="61">
        <v>94.402600000000007</v>
      </c>
    </row>
    <row r="360" spans="1:8" x14ac:dyDescent="0.15">
      <c r="A360" s="61" t="s">
        <v>11</v>
      </c>
      <c r="B360" s="61">
        <v>10000</v>
      </c>
      <c r="C360" s="61">
        <v>19</v>
      </c>
      <c r="D360" s="61">
        <v>4.9676999999999998</v>
      </c>
      <c r="E360" s="61">
        <v>402.60059999999999</v>
      </c>
      <c r="F360" s="61">
        <v>14.864000000000001</v>
      </c>
      <c r="G360" s="61">
        <v>78.231099999999998</v>
      </c>
      <c r="H360" s="61">
        <v>94.398700000000005</v>
      </c>
    </row>
    <row r="361" spans="1:8" x14ac:dyDescent="0.15">
      <c r="A361" s="61" t="s">
        <v>11</v>
      </c>
      <c r="B361" s="61">
        <v>10000</v>
      </c>
      <c r="C361" s="61">
        <v>19</v>
      </c>
      <c r="D361" s="61">
        <v>4.9635999999999996</v>
      </c>
      <c r="E361" s="61">
        <v>402.93310000000002</v>
      </c>
      <c r="F361" s="61">
        <v>14.875999999999999</v>
      </c>
      <c r="G361" s="61">
        <v>78.295699999999997</v>
      </c>
      <c r="H361" s="61">
        <v>94.319800000000001</v>
      </c>
    </row>
    <row r="362" spans="1:8" x14ac:dyDescent="0.15">
      <c r="A362" s="61" t="s">
        <v>11</v>
      </c>
      <c r="B362" s="61">
        <v>10000</v>
      </c>
      <c r="C362" s="61">
        <v>19</v>
      </c>
      <c r="D362" s="61">
        <v>4.9611000000000001</v>
      </c>
      <c r="E362" s="61">
        <v>403.13740000000001</v>
      </c>
      <c r="F362" s="61">
        <v>14.884</v>
      </c>
      <c r="G362" s="61">
        <v>78.335400000000007</v>
      </c>
      <c r="H362" s="61">
        <v>94.271500000000003</v>
      </c>
    </row>
    <row r="363" spans="1:8" x14ac:dyDescent="0.15">
      <c r="A363" s="61" t="s">
        <v>11</v>
      </c>
      <c r="B363" s="61">
        <v>10000</v>
      </c>
      <c r="C363" s="61">
        <v>19</v>
      </c>
      <c r="D363" s="61">
        <v>4.9596999999999998</v>
      </c>
      <c r="E363" s="61">
        <v>403.24810000000002</v>
      </c>
      <c r="F363" s="61">
        <v>14.888</v>
      </c>
      <c r="G363" s="61">
        <v>78.356899999999996</v>
      </c>
      <c r="H363" s="61">
        <v>94.233900000000006</v>
      </c>
    </row>
    <row r="364" spans="1:8" x14ac:dyDescent="0.15">
      <c r="A364" s="61" t="s">
        <v>11</v>
      </c>
      <c r="B364" s="61">
        <v>10000</v>
      </c>
      <c r="C364" s="61">
        <v>19</v>
      </c>
      <c r="D364" s="61">
        <v>4.9599000000000002</v>
      </c>
      <c r="E364" s="61">
        <v>403.23009999999999</v>
      </c>
      <c r="F364" s="61">
        <v>14.887</v>
      </c>
      <c r="G364" s="61">
        <v>78.353399999999993</v>
      </c>
      <c r="H364" s="61">
        <v>94.240499999999997</v>
      </c>
    </row>
    <row r="365" spans="1:8" x14ac:dyDescent="0.15">
      <c r="A365" s="61" t="s">
        <v>11</v>
      </c>
      <c r="B365" s="61">
        <v>10000</v>
      </c>
      <c r="C365" s="61">
        <v>19</v>
      </c>
      <c r="D365" s="61">
        <v>4.9581999999999997</v>
      </c>
      <c r="E365" s="61">
        <v>403.3725</v>
      </c>
      <c r="F365" s="61">
        <v>14.891999999999999</v>
      </c>
      <c r="G365" s="61">
        <v>78.381100000000004</v>
      </c>
      <c r="H365" s="61">
        <v>94.214799999999997</v>
      </c>
    </row>
    <row r="366" spans="1:8" x14ac:dyDescent="0.15">
      <c r="A366" s="61" t="s">
        <v>11</v>
      </c>
      <c r="B366" s="61">
        <v>10000</v>
      </c>
      <c r="C366" s="61">
        <v>19</v>
      </c>
      <c r="D366" s="61">
        <v>4.9585999999999997</v>
      </c>
      <c r="E366" s="61">
        <v>403.34039999999999</v>
      </c>
      <c r="F366" s="61">
        <v>14.891</v>
      </c>
      <c r="G366" s="61">
        <v>78.374799999999993</v>
      </c>
      <c r="H366" s="61">
        <v>94.223600000000005</v>
      </c>
    </row>
    <row r="367" spans="1:8" x14ac:dyDescent="0.15">
      <c r="A367" s="61" t="s">
        <v>11</v>
      </c>
      <c r="B367" s="61">
        <v>10000</v>
      </c>
      <c r="C367" s="61">
        <v>19</v>
      </c>
      <c r="D367" s="61">
        <v>4.96</v>
      </c>
      <c r="E367" s="61">
        <v>403.22669999999999</v>
      </c>
      <c r="F367" s="61">
        <v>14.887</v>
      </c>
      <c r="G367" s="61">
        <v>78.352699999999999</v>
      </c>
      <c r="H367" s="61">
        <v>94.2517</v>
      </c>
    </row>
    <row r="368" spans="1:8" x14ac:dyDescent="0.15">
      <c r="A368" s="61" t="s">
        <v>11</v>
      </c>
      <c r="B368" s="61">
        <v>10000</v>
      </c>
      <c r="C368" s="61">
        <v>19</v>
      </c>
      <c r="D368" s="61">
        <v>4.9604999999999997</v>
      </c>
      <c r="E368" s="61">
        <v>403.18369999999999</v>
      </c>
      <c r="F368" s="61">
        <v>14.885</v>
      </c>
      <c r="G368" s="61">
        <v>78.344399999999993</v>
      </c>
      <c r="H368" s="61">
        <v>94.255600000000001</v>
      </c>
    </row>
    <row r="369" spans="1:8" x14ac:dyDescent="0.15">
      <c r="A369" s="61" t="s">
        <v>11</v>
      </c>
      <c r="B369" s="61">
        <v>10000</v>
      </c>
      <c r="C369" s="61">
        <v>19</v>
      </c>
      <c r="D369" s="61">
        <v>4.9634999999999998</v>
      </c>
      <c r="E369" s="61">
        <v>402.94529999999997</v>
      </c>
      <c r="F369" s="61">
        <v>14.877000000000001</v>
      </c>
      <c r="G369" s="61">
        <v>78.298100000000005</v>
      </c>
      <c r="H369" s="61">
        <v>94.317599999999999</v>
      </c>
    </row>
    <row r="370" spans="1:8" x14ac:dyDescent="0.15">
      <c r="A370" s="61" t="s">
        <v>11</v>
      </c>
      <c r="B370" s="61">
        <v>10000</v>
      </c>
      <c r="C370" s="61">
        <v>19</v>
      </c>
      <c r="D370" s="61">
        <v>4.9652000000000003</v>
      </c>
      <c r="E370" s="61">
        <v>402.8057</v>
      </c>
      <c r="F370" s="61">
        <v>14.871</v>
      </c>
      <c r="G370" s="61">
        <v>78.270899999999997</v>
      </c>
      <c r="H370" s="61">
        <v>94.348600000000005</v>
      </c>
    </row>
    <row r="371" spans="1:8" x14ac:dyDescent="0.15">
      <c r="A371" s="61" t="s">
        <v>11</v>
      </c>
      <c r="B371" s="61">
        <v>10000</v>
      </c>
      <c r="C371" s="61">
        <v>19</v>
      </c>
      <c r="D371" s="61">
        <v>4.9642999999999997</v>
      </c>
      <c r="E371" s="61">
        <v>402.87700000000001</v>
      </c>
      <c r="F371" s="61">
        <v>14.874000000000001</v>
      </c>
      <c r="G371" s="61">
        <v>78.284800000000004</v>
      </c>
      <c r="H371" s="61">
        <v>94.333699999999993</v>
      </c>
    </row>
    <row r="372" spans="1:8" x14ac:dyDescent="0.15">
      <c r="A372" s="61" t="s">
        <v>11</v>
      </c>
      <c r="B372" s="61">
        <v>10000</v>
      </c>
      <c r="C372" s="61">
        <v>19</v>
      </c>
      <c r="D372" s="61">
        <v>4.9720000000000004</v>
      </c>
      <c r="E372" s="61">
        <v>402.25009999999997</v>
      </c>
      <c r="F372" s="61">
        <v>14.851000000000001</v>
      </c>
      <c r="G372" s="61">
        <v>78.162999999999997</v>
      </c>
      <c r="H372" s="61">
        <v>94.473600000000005</v>
      </c>
    </row>
    <row r="373" spans="1:8" x14ac:dyDescent="0.15">
      <c r="A373" s="61" t="s">
        <v>11</v>
      </c>
      <c r="B373" s="61">
        <v>10000</v>
      </c>
      <c r="C373" s="61">
        <v>19</v>
      </c>
      <c r="D373" s="61">
        <v>4.9744999999999999</v>
      </c>
      <c r="E373" s="61">
        <v>402.05439999999999</v>
      </c>
      <c r="F373" s="61">
        <v>14.843999999999999</v>
      </c>
      <c r="G373" s="61">
        <v>78.125</v>
      </c>
      <c r="H373" s="61">
        <v>94.527600000000007</v>
      </c>
    </row>
    <row r="374" spans="1:8" x14ac:dyDescent="0.15">
      <c r="A374" s="61" t="s">
        <v>11</v>
      </c>
      <c r="B374" s="61">
        <v>10000</v>
      </c>
      <c r="C374" s="61">
        <v>19</v>
      </c>
      <c r="D374" s="61">
        <v>4.9733000000000001</v>
      </c>
      <c r="E374" s="61">
        <v>402.1499</v>
      </c>
      <c r="F374" s="61">
        <v>14.847</v>
      </c>
      <c r="G374" s="61">
        <v>78.143500000000003</v>
      </c>
      <c r="H374" s="61">
        <v>94.491699999999994</v>
      </c>
    </row>
    <row r="375" spans="1:8" x14ac:dyDescent="0.15">
      <c r="A375" s="61" t="s">
        <v>11</v>
      </c>
      <c r="B375" s="61">
        <v>10000</v>
      </c>
      <c r="C375" s="61">
        <v>19</v>
      </c>
      <c r="D375" s="61">
        <v>4.9611999999999998</v>
      </c>
      <c r="E375" s="61">
        <v>403.12920000000003</v>
      </c>
      <c r="F375" s="61">
        <v>14.882999999999999</v>
      </c>
      <c r="G375" s="61">
        <v>78.333799999999997</v>
      </c>
      <c r="H375" s="61">
        <v>94.270799999999994</v>
      </c>
    </row>
    <row r="376" spans="1:8" x14ac:dyDescent="0.15">
      <c r="A376" s="61" t="s">
        <v>11</v>
      </c>
      <c r="B376" s="61">
        <v>10000</v>
      </c>
      <c r="C376" s="61">
        <v>19</v>
      </c>
      <c r="D376" s="61">
        <v>4.9569000000000001</v>
      </c>
      <c r="E376" s="61">
        <v>403.4794</v>
      </c>
      <c r="F376" s="61">
        <v>14.896000000000001</v>
      </c>
      <c r="G376" s="61">
        <v>78.401899999999998</v>
      </c>
      <c r="H376" s="61">
        <v>94.185500000000005</v>
      </c>
    </row>
    <row r="377" spans="1:8" x14ac:dyDescent="0.15">
      <c r="A377" s="61" t="s">
        <v>11</v>
      </c>
      <c r="B377" s="61">
        <v>10000</v>
      </c>
      <c r="C377" s="61">
        <v>19</v>
      </c>
      <c r="D377" s="61">
        <v>4.9596999999999998</v>
      </c>
      <c r="E377" s="61">
        <v>403.2516</v>
      </c>
      <c r="F377" s="61">
        <v>14.888</v>
      </c>
      <c r="G377" s="61">
        <v>78.357600000000005</v>
      </c>
      <c r="H377" s="61">
        <v>94.246600000000001</v>
      </c>
    </row>
    <row r="378" spans="1:8" x14ac:dyDescent="0.15">
      <c r="A378" s="61" t="s">
        <v>11</v>
      </c>
      <c r="B378" s="61">
        <v>10000</v>
      </c>
      <c r="C378" s="61">
        <v>19</v>
      </c>
      <c r="D378" s="61">
        <v>4.9604999999999997</v>
      </c>
      <c r="E378" s="61">
        <v>403.18610000000001</v>
      </c>
      <c r="F378" s="61">
        <v>14.885999999999999</v>
      </c>
      <c r="G378" s="61">
        <v>78.344800000000006</v>
      </c>
      <c r="H378" s="61">
        <v>94.2607</v>
      </c>
    </row>
    <row r="379" spans="1:8" x14ac:dyDescent="0.15">
      <c r="A379" s="61" t="s">
        <v>11</v>
      </c>
      <c r="B379" s="61">
        <v>10000</v>
      </c>
      <c r="C379" s="61">
        <v>19</v>
      </c>
      <c r="D379" s="61">
        <v>4.9634</v>
      </c>
      <c r="E379" s="61">
        <v>402.95350000000002</v>
      </c>
      <c r="F379" s="61">
        <v>14.877000000000001</v>
      </c>
      <c r="G379" s="61">
        <v>78.299700000000001</v>
      </c>
      <c r="H379" s="61">
        <v>94.315899999999999</v>
      </c>
    </row>
    <row r="380" spans="1:8" x14ac:dyDescent="0.15">
      <c r="A380" s="61" t="s">
        <v>11</v>
      </c>
      <c r="B380" s="61">
        <v>10000</v>
      </c>
      <c r="C380" s="61">
        <v>19</v>
      </c>
      <c r="D380" s="61">
        <v>4.9645000000000001</v>
      </c>
      <c r="E380" s="61">
        <v>402.86200000000002</v>
      </c>
      <c r="F380" s="61">
        <v>14.874000000000001</v>
      </c>
      <c r="G380" s="61">
        <v>78.281899999999993</v>
      </c>
      <c r="H380" s="61">
        <v>94.331500000000005</v>
      </c>
    </row>
    <row r="381" spans="1:8" x14ac:dyDescent="0.15">
      <c r="A381" s="61" t="s">
        <v>11</v>
      </c>
      <c r="B381" s="61">
        <v>10000</v>
      </c>
      <c r="C381" s="61">
        <v>19</v>
      </c>
      <c r="D381" s="61">
        <v>4.9688999999999997</v>
      </c>
      <c r="E381" s="61">
        <v>402.50209999999998</v>
      </c>
      <c r="F381" s="61">
        <v>14.86</v>
      </c>
      <c r="G381" s="61">
        <v>78.2119</v>
      </c>
      <c r="H381" s="61">
        <v>94.421400000000006</v>
      </c>
    </row>
    <row r="382" spans="1:8" x14ac:dyDescent="0.15">
      <c r="A382" s="61" t="s">
        <v>11</v>
      </c>
      <c r="B382" s="61">
        <v>10000</v>
      </c>
      <c r="C382" s="61">
        <v>19</v>
      </c>
      <c r="D382" s="61">
        <v>4.9707999999999997</v>
      </c>
      <c r="E382" s="61">
        <v>402.34589999999997</v>
      </c>
      <c r="F382" s="61">
        <v>14.855</v>
      </c>
      <c r="G382" s="61">
        <v>78.181600000000003</v>
      </c>
      <c r="H382" s="61">
        <v>94.456100000000006</v>
      </c>
    </row>
    <row r="383" spans="1:8" x14ac:dyDescent="0.15">
      <c r="A383" s="61" t="s">
        <v>11</v>
      </c>
      <c r="B383" s="61">
        <v>10000</v>
      </c>
      <c r="C383" s="61">
        <v>19</v>
      </c>
      <c r="D383" s="61">
        <v>4.9749999999999996</v>
      </c>
      <c r="E383" s="61">
        <v>402.0111</v>
      </c>
      <c r="F383" s="61">
        <v>14.842000000000001</v>
      </c>
      <c r="G383" s="61">
        <v>78.116500000000002</v>
      </c>
      <c r="H383" s="61">
        <v>94.533199999999994</v>
      </c>
    </row>
    <row r="384" spans="1:8" x14ac:dyDescent="0.15">
      <c r="A384" s="61" t="s">
        <v>11</v>
      </c>
      <c r="B384" s="61">
        <v>10000</v>
      </c>
      <c r="C384" s="61">
        <v>19</v>
      </c>
      <c r="D384" s="61">
        <v>4.9768999999999997</v>
      </c>
      <c r="E384" s="61">
        <v>401.85730000000001</v>
      </c>
      <c r="F384" s="61">
        <v>14.836</v>
      </c>
      <c r="G384" s="61">
        <v>78.086699999999993</v>
      </c>
      <c r="H384" s="61">
        <v>94.566900000000004</v>
      </c>
    </row>
    <row r="385" spans="1:8" x14ac:dyDescent="0.15">
      <c r="A385" s="61" t="s">
        <v>11</v>
      </c>
      <c r="B385" s="61">
        <v>10000</v>
      </c>
      <c r="C385" s="61">
        <v>19</v>
      </c>
      <c r="D385" s="61">
        <v>4.9824000000000002</v>
      </c>
      <c r="E385" s="61">
        <v>401.40899999999999</v>
      </c>
      <c r="F385" s="61">
        <v>14.82</v>
      </c>
      <c r="G385" s="61">
        <v>77.999600000000001</v>
      </c>
      <c r="H385" s="61">
        <v>94.678700000000006</v>
      </c>
    </row>
    <row r="386" spans="1:8" x14ac:dyDescent="0.15">
      <c r="A386" s="61" t="s">
        <v>11</v>
      </c>
      <c r="B386" s="61">
        <v>10000</v>
      </c>
      <c r="C386" s="61">
        <v>19</v>
      </c>
      <c r="D386" s="61">
        <v>4.9837999999999996</v>
      </c>
      <c r="E386" s="61">
        <v>401.29719999999998</v>
      </c>
      <c r="F386" s="61">
        <v>14.816000000000001</v>
      </c>
      <c r="G386" s="61">
        <v>77.977800000000002</v>
      </c>
      <c r="H386" s="61">
        <v>94.700199999999995</v>
      </c>
    </row>
    <row r="387" spans="1:8" x14ac:dyDescent="0.15">
      <c r="A387" s="61" t="s">
        <v>11</v>
      </c>
      <c r="B387" s="61">
        <v>10000</v>
      </c>
      <c r="C387" s="61">
        <v>19</v>
      </c>
      <c r="D387" s="61">
        <v>4.9846000000000004</v>
      </c>
      <c r="E387" s="61">
        <v>401.23689999999999</v>
      </c>
      <c r="F387" s="61">
        <v>14.814</v>
      </c>
      <c r="G387" s="61">
        <v>77.966099999999997</v>
      </c>
      <c r="H387" s="61">
        <v>94.713399999999993</v>
      </c>
    </row>
    <row r="388" spans="1:8" x14ac:dyDescent="0.15">
      <c r="A388" s="61" t="s">
        <v>11</v>
      </c>
      <c r="B388" s="61">
        <v>10000</v>
      </c>
      <c r="C388" s="61">
        <v>20</v>
      </c>
      <c r="D388" s="61">
        <v>4.7237</v>
      </c>
      <c r="E388" s="61">
        <v>423.39499999999998</v>
      </c>
      <c r="F388" s="61">
        <v>15.632</v>
      </c>
      <c r="G388" s="61">
        <v>78.158100000000005</v>
      </c>
      <c r="H388" s="61">
        <v>94.316900000000004</v>
      </c>
    </row>
    <row r="389" spans="1:8" x14ac:dyDescent="0.15">
      <c r="A389" s="61" t="s">
        <v>11</v>
      </c>
      <c r="B389" s="61">
        <v>10000</v>
      </c>
      <c r="C389" s="61">
        <v>20</v>
      </c>
      <c r="D389" s="61">
        <v>4.6853999999999996</v>
      </c>
      <c r="E389" s="61">
        <v>426.85759999999999</v>
      </c>
      <c r="F389" s="61">
        <v>15.759</v>
      </c>
      <c r="G389" s="61">
        <v>78.797300000000007</v>
      </c>
      <c r="H389" s="61">
        <v>93.678700000000006</v>
      </c>
    </row>
    <row r="390" spans="1:8" x14ac:dyDescent="0.15">
      <c r="A390" s="61" t="s">
        <v>11</v>
      </c>
      <c r="B390" s="61">
        <v>10000</v>
      </c>
      <c r="C390" s="61">
        <v>20</v>
      </c>
      <c r="D390" s="61">
        <v>4.6921999999999997</v>
      </c>
      <c r="E390" s="61">
        <v>426.2389</v>
      </c>
      <c r="F390" s="61">
        <v>15.737</v>
      </c>
      <c r="G390" s="61">
        <v>78.683099999999996</v>
      </c>
      <c r="H390" s="61">
        <v>93.769499999999994</v>
      </c>
    </row>
    <row r="391" spans="1:8" x14ac:dyDescent="0.15">
      <c r="A391" s="61" t="s">
        <v>11</v>
      </c>
      <c r="B391" s="61">
        <v>10000</v>
      </c>
      <c r="C391" s="61">
        <v>20</v>
      </c>
      <c r="D391" s="61">
        <v>4.6947000000000001</v>
      </c>
      <c r="E391" s="61">
        <v>426.01479999999998</v>
      </c>
      <c r="F391" s="61">
        <v>15.728</v>
      </c>
      <c r="G391" s="61">
        <v>78.641800000000003</v>
      </c>
      <c r="H391" s="61">
        <v>93.865700000000004</v>
      </c>
    </row>
    <row r="392" spans="1:8" x14ac:dyDescent="0.15">
      <c r="A392" s="61" t="s">
        <v>11</v>
      </c>
      <c r="B392" s="61">
        <v>10000</v>
      </c>
      <c r="C392" s="61">
        <v>20</v>
      </c>
      <c r="D392" s="61">
        <v>4.6894999999999998</v>
      </c>
      <c r="E392" s="61">
        <v>426.48110000000003</v>
      </c>
      <c r="F392" s="61">
        <v>15.746</v>
      </c>
      <c r="G392" s="61">
        <v>78.727800000000002</v>
      </c>
      <c r="H392" s="61">
        <v>93.746600000000001</v>
      </c>
    </row>
    <row r="393" spans="1:8" x14ac:dyDescent="0.15">
      <c r="A393" s="61" t="s">
        <v>11</v>
      </c>
      <c r="B393" s="61">
        <v>10000</v>
      </c>
      <c r="C393" s="61">
        <v>20</v>
      </c>
      <c r="D393" s="61">
        <v>4.6863000000000001</v>
      </c>
      <c r="E393" s="61">
        <v>426.77679999999998</v>
      </c>
      <c r="F393" s="61">
        <v>15.756</v>
      </c>
      <c r="G393" s="61">
        <v>78.782399999999996</v>
      </c>
      <c r="H393" s="61">
        <v>93.685100000000006</v>
      </c>
    </row>
    <row r="394" spans="1:8" x14ac:dyDescent="0.15">
      <c r="A394" s="61" t="s">
        <v>11</v>
      </c>
      <c r="B394" s="61">
        <v>10000</v>
      </c>
      <c r="C394" s="61">
        <v>20</v>
      </c>
      <c r="D394" s="61">
        <v>4.6853999999999996</v>
      </c>
      <c r="E394" s="61">
        <v>426.85340000000002</v>
      </c>
      <c r="F394" s="61">
        <v>15.759</v>
      </c>
      <c r="G394" s="61">
        <v>78.796599999999998</v>
      </c>
      <c r="H394" s="61">
        <v>93.703599999999994</v>
      </c>
    </row>
    <row r="395" spans="1:8" x14ac:dyDescent="0.15">
      <c r="A395" s="61" t="s">
        <v>11</v>
      </c>
      <c r="B395" s="61">
        <v>10000</v>
      </c>
      <c r="C395" s="61">
        <v>20</v>
      </c>
      <c r="D395" s="61">
        <v>4.6871999999999998</v>
      </c>
      <c r="E395" s="61">
        <v>426.69310000000002</v>
      </c>
      <c r="F395" s="61">
        <v>15.753</v>
      </c>
      <c r="G395" s="61">
        <v>78.766999999999996</v>
      </c>
      <c r="H395" s="61">
        <v>93.714799999999997</v>
      </c>
    </row>
    <row r="396" spans="1:8" x14ac:dyDescent="0.15">
      <c r="A396" s="61" t="s">
        <v>11</v>
      </c>
      <c r="B396" s="61">
        <v>10000</v>
      </c>
      <c r="C396" s="61">
        <v>20</v>
      </c>
      <c r="D396" s="61">
        <v>4.6859999999999999</v>
      </c>
      <c r="E396" s="61">
        <v>426.8021</v>
      </c>
      <c r="F396" s="61">
        <v>15.757</v>
      </c>
      <c r="G396" s="61">
        <v>78.787099999999995</v>
      </c>
      <c r="H396" s="61">
        <v>93.684600000000003</v>
      </c>
    </row>
    <row r="397" spans="1:8" x14ac:dyDescent="0.15">
      <c r="A397" s="61" t="s">
        <v>11</v>
      </c>
      <c r="B397" s="61">
        <v>10000</v>
      </c>
      <c r="C397" s="61">
        <v>20</v>
      </c>
      <c r="D397" s="61">
        <v>4.6897000000000002</v>
      </c>
      <c r="E397" s="61">
        <v>426.47</v>
      </c>
      <c r="F397" s="61">
        <v>15.744999999999999</v>
      </c>
      <c r="G397" s="61">
        <v>78.725800000000007</v>
      </c>
      <c r="H397" s="61">
        <v>93.762699999999995</v>
      </c>
    </row>
    <row r="398" spans="1:8" x14ac:dyDescent="0.15">
      <c r="A398" s="61" t="s">
        <v>11</v>
      </c>
      <c r="B398" s="61">
        <v>10000</v>
      </c>
      <c r="C398" s="61">
        <v>20</v>
      </c>
      <c r="D398" s="61">
        <v>4.6879999999999997</v>
      </c>
      <c r="E398" s="61">
        <v>426.62419999999997</v>
      </c>
      <c r="F398" s="61">
        <v>15.750999999999999</v>
      </c>
      <c r="G398" s="61">
        <v>78.754300000000001</v>
      </c>
      <c r="H398" s="61">
        <v>93.727999999999994</v>
      </c>
    </row>
    <row r="399" spans="1:8" x14ac:dyDescent="0.15">
      <c r="A399" s="61" t="s">
        <v>11</v>
      </c>
      <c r="B399" s="61">
        <v>10000</v>
      </c>
      <c r="C399" s="61">
        <v>20</v>
      </c>
      <c r="D399" s="61">
        <v>4.6882999999999999</v>
      </c>
      <c r="E399" s="61">
        <v>426.59309999999999</v>
      </c>
      <c r="F399" s="61">
        <v>15.75</v>
      </c>
      <c r="G399" s="61">
        <v>78.748500000000007</v>
      </c>
      <c r="H399" s="61">
        <v>93.735799999999998</v>
      </c>
    </row>
    <row r="400" spans="1:8" x14ac:dyDescent="0.15">
      <c r="A400" s="61" t="s">
        <v>11</v>
      </c>
      <c r="B400" s="61">
        <v>10000</v>
      </c>
      <c r="C400" s="61">
        <v>20</v>
      </c>
      <c r="D400" s="61">
        <v>4.7324999999999999</v>
      </c>
      <c r="E400" s="61">
        <v>422.60809999999998</v>
      </c>
      <c r="F400" s="61">
        <v>15.603</v>
      </c>
      <c r="G400" s="61">
        <v>78.012900000000002</v>
      </c>
      <c r="H400" s="61">
        <v>94.494600000000005</v>
      </c>
    </row>
    <row r="401" spans="1:8" x14ac:dyDescent="0.15">
      <c r="A401" s="61" t="s">
        <v>11</v>
      </c>
      <c r="B401" s="61">
        <v>10000</v>
      </c>
      <c r="C401" s="61">
        <v>20</v>
      </c>
      <c r="D401" s="61">
        <v>4.6886999999999999</v>
      </c>
      <c r="E401" s="61">
        <v>426.5557</v>
      </c>
      <c r="F401" s="61">
        <v>15.747999999999999</v>
      </c>
      <c r="G401" s="61">
        <v>78.741600000000005</v>
      </c>
      <c r="H401" s="61">
        <v>93.740700000000004</v>
      </c>
    </row>
    <row r="402" spans="1:8" x14ac:dyDescent="0.15">
      <c r="A402" s="61" t="s">
        <v>11</v>
      </c>
      <c r="B402" s="61">
        <v>10000</v>
      </c>
      <c r="C402" s="61">
        <v>20</v>
      </c>
      <c r="D402" s="61">
        <v>4.6886999999999999</v>
      </c>
      <c r="E402" s="61">
        <v>426.55380000000002</v>
      </c>
      <c r="F402" s="61">
        <v>15.747999999999999</v>
      </c>
      <c r="G402" s="61">
        <v>78.741299999999995</v>
      </c>
      <c r="H402" s="61">
        <v>93.738799999999998</v>
      </c>
    </row>
    <row r="403" spans="1:8" x14ac:dyDescent="0.15">
      <c r="A403" s="61" t="s">
        <v>11</v>
      </c>
      <c r="B403" s="61">
        <v>10000</v>
      </c>
      <c r="C403" s="61">
        <v>20</v>
      </c>
      <c r="D403" s="61">
        <v>4.6886000000000001</v>
      </c>
      <c r="E403" s="61">
        <v>426.56639999999999</v>
      </c>
      <c r="F403" s="61">
        <v>15.749000000000001</v>
      </c>
      <c r="G403" s="61">
        <v>78.743600000000001</v>
      </c>
      <c r="H403" s="61">
        <v>93.724599999999995</v>
      </c>
    </row>
    <row r="404" spans="1:8" x14ac:dyDescent="0.15">
      <c r="A404" s="61" t="s">
        <v>11</v>
      </c>
      <c r="B404" s="61">
        <v>10000</v>
      </c>
      <c r="C404" s="61">
        <v>20</v>
      </c>
      <c r="D404" s="61">
        <v>4.6886999999999999</v>
      </c>
      <c r="E404" s="61">
        <v>426.5573</v>
      </c>
      <c r="F404" s="61">
        <v>15.747999999999999</v>
      </c>
      <c r="G404" s="61">
        <v>78.741900000000001</v>
      </c>
      <c r="H404" s="61">
        <v>93.745599999999996</v>
      </c>
    </row>
    <row r="405" spans="1:8" x14ac:dyDescent="0.15">
      <c r="A405" s="61" t="s">
        <v>11</v>
      </c>
      <c r="B405" s="61">
        <v>10000</v>
      </c>
      <c r="C405" s="61">
        <v>20</v>
      </c>
      <c r="D405" s="61">
        <v>4.6890999999999998</v>
      </c>
      <c r="E405" s="61">
        <v>426.52339999999998</v>
      </c>
      <c r="F405" s="61">
        <v>15.747</v>
      </c>
      <c r="G405" s="61">
        <v>78.735600000000005</v>
      </c>
      <c r="H405" s="61">
        <v>93.746099999999998</v>
      </c>
    </row>
    <row r="406" spans="1:8" x14ac:dyDescent="0.15">
      <c r="A406" s="61" t="s">
        <v>11</v>
      </c>
      <c r="B406" s="61">
        <v>10000</v>
      </c>
      <c r="C406" s="61">
        <v>20</v>
      </c>
      <c r="D406" s="61">
        <v>4.6897000000000002</v>
      </c>
      <c r="E406" s="61">
        <v>426.46559999999999</v>
      </c>
      <c r="F406" s="61">
        <v>15.744999999999999</v>
      </c>
      <c r="G406" s="61">
        <v>78.724999999999994</v>
      </c>
      <c r="H406" s="61">
        <v>93.7637</v>
      </c>
    </row>
    <row r="407" spans="1:8" x14ac:dyDescent="0.15">
      <c r="A407" s="61" t="s">
        <v>11</v>
      </c>
      <c r="B407" s="61">
        <v>10000</v>
      </c>
      <c r="C407" s="61">
        <v>20</v>
      </c>
      <c r="D407" s="61">
        <v>4.6889000000000003</v>
      </c>
      <c r="E407" s="61">
        <v>426.53559999999999</v>
      </c>
      <c r="F407" s="61">
        <v>15.747999999999999</v>
      </c>
      <c r="G407" s="61">
        <v>78.737899999999996</v>
      </c>
      <c r="H407" s="61">
        <v>93.748500000000007</v>
      </c>
    </row>
    <row r="408" spans="1:8" x14ac:dyDescent="0.15">
      <c r="A408" s="61" t="s">
        <v>11</v>
      </c>
      <c r="B408" s="61">
        <v>10000</v>
      </c>
      <c r="C408" s="61">
        <v>20</v>
      </c>
      <c r="D408" s="61">
        <v>4.6891999999999996</v>
      </c>
      <c r="E408" s="61">
        <v>426.51490000000001</v>
      </c>
      <c r="F408" s="61">
        <v>15.747</v>
      </c>
      <c r="G408" s="61">
        <v>78.734099999999998</v>
      </c>
      <c r="H408" s="61">
        <v>93.743700000000004</v>
      </c>
    </row>
    <row r="409" spans="1:8" x14ac:dyDescent="0.15">
      <c r="A409" s="61" t="s">
        <v>11</v>
      </c>
      <c r="B409" s="61">
        <v>10000</v>
      </c>
      <c r="C409" s="61">
        <v>20</v>
      </c>
      <c r="D409" s="61">
        <v>4.6924000000000001</v>
      </c>
      <c r="E409" s="61">
        <v>426.21850000000001</v>
      </c>
      <c r="F409" s="61">
        <v>15.736000000000001</v>
      </c>
      <c r="G409" s="61">
        <v>78.679400000000001</v>
      </c>
      <c r="H409" s="61">
        <v>93.811999999999998</v>
      </c>
    </row>
    <row r="410" spans="1:8" x14ac:dyDescent="0.15">
      <c r="A410" s="61" t="s">
        <v>11</v>
      </c>
      <c r="B410" s="61">
        <v>10000</v>
      </c>
      <c r="C410" s="61">
        <v>20</v>
      </c>
      <c r="D410" s="61">
        <v>4.6896000000000004</v>
      </c>
      <c r="E410" s="61">
        <v>426.47370000000001</v>
      </c>
      <c r="F410" s="61">
        <v>15.744999999999999</v>
      </c>
      <c r="G410" s="61">
        <v>78.726500000000001</v>
      </c>
      <c r="H410" s="61">
        <v>93.787599999999998</v>
      </c>
    </row>
    <row r="411" spans="1:8" x14ac:dyDescent="0.15">
      <c r="A411" s="61" t="s">
        <v>11</v>
      </c>
      <c r="B411" s="61">
        <v>10000</v>
      </c>
      <c r="C411" s="61">
        <v>20</v>
      </c>
      <c r="D411" s="61">
        <v>4.6870000000000003</v>
      </c>
      <c r="E411" s="61">
        <v>426.71589999999998</v>
      </c>
      <c r="F411" s="61">
        <v>15.754</v>
      </c>
      <c r="G411" s="61">
        <v>78.771199999999993</v>
      </c>
      <c r="H411" s="61">
        <v>93.7119</v>
      </c>
    </row>
    <row r="412" spans="1:8" x14ac:dyDescent="0.15">
      <c r="A412" s="61" t="s">
        <v>11</v>
      </c>
      <c r="B412" s="61">
        <v>10000</v>
      </c>
      <c r="C412" s="61">
        <v>20</v>
      </c>
      <c r="D412" s="61">
        <v>4.6860999999999997</v>
      </c>
      <c r="E412" s="61">
        <v>426.7955</v>
      </c>
      <c r="F412" s="61">
        <v>15.757</v>
      </c>
      <c r="G412" s="61">
        <v>78.785899999999998</v>
      </c>
      <c r="H412" s="61">
        <v>93.682599999999994</v>
      </c>
    </row>
    <row r="413" spans="1:8" x14ac:dyDescent="0.15">
      <c r="A413" s="61" t="s">
        <v>11</v>
      </c>
      <c r="B413" s="61">
        <v>10000</v>
      </c>
      <c r="C413" s="61">
        <v>20</v>
      </c>
      <c r="D413" s="61">
        <v>4.7210999999999999</v>
      </c>
      <c r="E413" s="61">
        <v>423.63029999999998</v>
      </c>
      <c r="F413" s="61">
        <v>15.64</v>
      </c>
      <c r="G413" s="61">
        <v>78.201599999999999</v>
      </c>
      <c r="H413" s="61">
        <v>94.252899999999997</v>
      </c>
    </row>
    <row r="414" spans="1:8" x14ac:dyDescent="0.15">
      <c r="A414" s="61" t="s">
        <v>11</v>
      </c>
      <c r="B414" s="61">
        <v>10000</v>
      </c>
      <c r="C414" s="61">
        <v>20</v>
      </c>
      <c r="D414" s="61">
        <v>4.6890000000000001</v>
      </c>
      <c r="E414" s="61">
        <v>426.53440000000001</v>
      </c>
      <c r="F414" s="61">
        <v>15.747999999999999</v>
      </c>
      <c r="G414" s="61">
        <v>78.737700000000004</v>
      </c>
      <c r="H414" s="61">
        <v>93.749499999999998</v>
      </c>
    </row>
    <row r="415" spans="1:8" x14ac:dyDescent="0.15">
      <c r="A415" s="61" t="s">
        <v>11</v>
      </c>
      <c r="B415" s="61">
        <v>10000</v>
      </c>
      <c r="C415" s="61">
        <v>20</v>
      </c>
      <c r="D415" s="61">
        <v>4.6894999999999998</v>
      </c>
      <c r="E415" s="61">
        <v>426.48329999999999</v>
      </c>
      <c r="F415" s="61">
        <v>15.746</v>
      </c>
      <c r="G415" s="61">
        <v>78.728200000000001</v>
      </c>
      <c r="H415" s="61">
        <v>93.757800000000003</v>
      </c>
    </row>
    <row r="416" spans="1:8" x14ac:dyDescent="0.15">
      <c r="A416" s="61" t="s">
        <v>11</v>
      </c>
      <c r="B416" s="61">
        <v>10000</v>
      </c>
      <c r="C416" s="61">
        <v>20</v>
      </c>
      <c r="D416" s="61">
        <v>4.6890000000000001</v>
      </c>
      <c r="E416" s="61">
        <v>426.53129999999999</v>
      </c>
      <c r="F416" s="61">
        <v>15.747</v>
      </c>
      <c r="G416" s="61">
        <v>78.737099999999998</v>
      </c>
      <c r="H416" s="61">
        <v>93.718800000000002</v>
      </c>
    </row>
    <row r="417" spans="1:8" x14ac:dyDescent="0.15">
      <c r="A417" s="61" t="s">
        <v>11</v>
      </c>
      <c r="B417" s="61">
        <v>10000</v>
      </c>
      <c r="C417" s="61">
        <v>20</v>
      </c>
      <c r="D417" s="61">
        <v>4.6898</v>
      </c>
      <c r="E417" s="61">
        <v>426.4599</v>
      </c>
      <c r="F417" s="61">
        <v>15.744999999999999</v>
      </c>
      <c r="G417" s="61">
        <v>78.7239</v>
      </c>
      <c r="H417" s="61">
        <v>93.766599999999997</v>
      </c>
    </row>
    <row r="418" spans="1:8" x14ac:dyDescent="0.15">
      <c r="A418" s="61" t="s">
        <v>11</v>
      </c>
      <c r="B418" s="61">
        <v>10000</v>
      </c>
      <c r="C418" s="61">
        <v>20</v>
      </c>
      <c r="D418" s="61">
        <v>4.6881000000000004</v>
      </c>
      <c r="E418" s="61">
        <v>426.61070000000001</v>
      </c>
      <c r="F418" s="61">
        <v>15.75</v>
      </c>
      <c r="G418" s="61">
        <v>78.751800000000003</v>
      </c>
      <c r="H418" s="61">
        <v>93.727099999999993</v>
      </c>
    </row>
    <row r="419" spans="1:8" x14ac:dyDescent="0.15">
      <c r="A419" s="61" t="s">
        <v>11</v>
      </c>
      <c r="B419" s="61">
        <v>10000</v>
      </c>
      <c r="C419" s="61">
        <v>20</v>
      </c>
      <c r="D419" s="61">
        <v>4.6864999999999997</v>
      </c>
      <c r="E419" s="61">
        <v>426.75839999999999</v>
      </c>
      <c r="F419" s="61">
        <v>15.756</v>
      </c>
      <c r="G419" s="61">
        <v>78.778999999999996</v>
      </c>
      <c r="H419" s="61">
        <v>93.701700000000002</v>
      </c>
    </row>
    <row r="420" spans="1:8" x14ac:dyDescent="0.15">
      <c r="A420" s="61" t="s">
        <v>11</v>
      </c>
      <c r="B420" s="61">
        <v>10000</v>
      </c>
      <c r="C420" s="61">
        <v>20</v>
      </c>
      <c r="D420" s="61">
        <v>4.6855000000000002</v>
      </c>
      <c r="E420" s="61">
        <v>426.85059999999999</v>
      </c>
      <c r="F420" s="61">
        <v>15.759</v>
      </c>
      <c r="G420" s="61">
        <v>78.796000000000006</v>
      </c>
      <c r="H420" s="61">
        <v>93.678700000000006</v>
      </c>
    </row>
    <row r="421" spans="1:8" x14ac:dyDescent="0.15">
      <c r="A421" s="61" t="s">
        <v>11</v>
      </c>
      <c r="B421" s="61">
        <v>10000</v>
      </c>
      <c r="C421" s="61">
        <v>20</v>
      </c>
      <c r="D421" s="61">
        <v>4.6845999999999997</v>
      </c>
      <c r="E421" s="61">
        <v>426.935</v>
      </c>
      <c r="F421" s="61">
        <v>15.762</v>
      </c>
      <c r="G421" s="61">
        <v>78.811599999999999</v>
      </c>
      <c r="H421" s="61">
        <v>93.645499999999998</v>
      </c>
    </row>
    <row r="422" spans="1:8" x14ac:dyDescent="0.15">
      <c r="A422" s="61" t="s">
        <v>11</v>
      </c>
      <c r="B422" s="61">
        <v>10000</v>
      </c>
      <c r="C422" s="61">
        <v>20</v>
      </c>
      <c r="D422" s="61">
        <v>4.6848999999999998</v>
      </c>
      <c r="E422" s="61">
        <v>426.90600000000001</v>
      </c>
      <c r="F422" s="61">
        <v>15.760999999999999</v>
      </c>
      <c r="G422" s="61">
        <v>78.806299999999993</v>
      </c>
      <c r="H422" s="61">
        <v>93.661100000000005</v>
      </c>
    </row>
    <row r="423" spans="1:8" x14ac:dyDescent="0.15">
      <c r="A423" s="61" t="s">
        <v>11</v>
      </c>
      <c r="B423" s="61">
        <v>10000</v>
      </c>
      <c r="C423" s="61">
        <v>20</v>
      </c>
      <c r="D423" s="61">
        <v>4.6840999999999999</v>
      </c>
      <c r="E423" s="61">
        <v>426.97680000000003</v>
      </c>
      <c r="F423" s="61">
        <v>15.763999999999999</v>
      </c>
      <c r="G423" s="61">
        <v>78.819299999999998</v>
      </c>
      <c r="H423" s="61">
        <v>93.654300000000006</v>
      </c>
    </row>
    <row r="424" spans="1:8" x14ac:dyDescent="0.15">
      <c r="A424" s="61" t="s">
        <v>11</v>
      </c>
      <c r="B424" s="61">
        <v>10000</v>
      </c>
      <c r="C424" s="61">
        <v>20</v>
      </c>
      <c r="D424" s="61">
        <v>4.6824000000000003</v>
      </c>
      <c r="E424" s="61">
        <v>427.13310000000001</v>
      </c>
      <c r="F424" s="61">
        <v>15.77</v>
      </c>
      <c r="G424" s="61">
        <v>78.848200000000006</v>
      </c>
      <c r="H424" s="61">
        <v>93.6143</v>
      </c>
    </row>
    <row r="425" spans="1:8" x14ac:dyDescent="0.15">
      <c r="A425" s="61" t="s">
        <v>11</v>
      </c>
      <c r="B425" s="61">
        <v>10000</v>
      </c>
      <c r="C425" s="61">
        <v>20</v>
      </c>
      <c r="D425" s="61">
        <v>4.6833999999999998</v>
      </c>
      <c r="E425" s="61">
        <v>427.0444</v>
      </c>
      <c r="F425" s="61">
        <v>15.766</v>
      </c>
      <c r="G425" s="61">
        <v>78.831800000000001</v>
      </c>
      <c r="H425" s="61">
        <v>93.637699999999995</v>
      </c>
    </row>
    <row r="426" spans="1:8" x14ac:dyDescent="0.15">
      <c r="A426" s="61" t="s">
        <v>11</v>
      </c>
      <c r="B426" s="61">
        <v>10000</v>
      </c>
      <c r="C426" s="61">
        <v>20</v>
      </c>
      <c r="D426" s="61">
        <v>4.6829999999999998</v>
      </c>
      <c r="E426" s="61">
        <v>427.07369999999997</v>
      </c>
      <c r="F426" s="61">
        <v>15.766999999999999</v>
      </c>
      <c r="G426" s="61">
        <v>78.837199999999996</v>
      </c>
      <c r="H426" s="61">
        <v>93.641599999999997</v>
      </c>
    </row>
    <row r="427" spans="1:8" x14ac:dyDescent="0.15">
      <c r="A427" s="61" t="s">
        <v>11</v>
      </c>
      <c r="B427" s="61">
        <v>10000</v>
      </c>
      <c r="C427" s="61">
        <v>20</v>
      </c>
      <c r="D427" s="61">
        <v>4.6821000000000002</v>
      </c>
      <c r="E427" s="61">
        <v>427.15429999999998</v>
      </c>
      <c r="F427" s="61">
        <v>15.77</v>
      </c>
      <c r="G427" s="61">
        <v>78.852099999999993</v>
      </c>
      <c r="H427" s="61">
        <v>93.631799999999998</v>
      </c>
    </row>
    <row r="428" spans="1:8" x14ac:dyDescent="0.15">
      <c r="A428" s="61" t="s">
        <v>11</v>
      </c>
      <c r="B428" s="61">
        <v>10000</v>
      </c>
      <c r="C428" s="61">
        <v>20</v>
      </c>
      <c r="D428" s="61">
        <v>4.6845999999999997</v>
      </c>
      <c r="E428" s="61">
        <v>426.93459999999999</v>
      </c>
      <c r="F428" s="61">
        <v>15.762</v>
      </c>
      <c r="G428" s="61">
        <v>78.811599999999999</v>
      </c>
      <c r="H428" s="61">
        <v>93.661100000000005</v>
      </c>
    </row>
    <row r="429" spans="1:8" x14ac:dyDescent="0.15">
      <c r="A429" s="61" t="s">
        <v>11</v>
      </c>
      <c r="B429" s="61">
        <v>10000</v>
      </c>
      <c r="C429" s="61">
        <v>20</v>
      </c>
      <c r="D429" s="61">
        <v>4.6852</v>
      </c>
      <c r="E429" s="61">
        <v>426.87419999999997</v>
      </c>
      <c r="F429" s="61">
        <v>15.76</v>
      </c>
      <c r="G429" s="61">
        <v>78.800399999999996</v>
      </c>
      <c r="H429" s="61">
        <v>93.659199999999998</v>
      </c>
    </row>
    <row r="430" spans="1:8" x14ac:dyDescent="0.15">
      <c r="A430" s="61" t="s">
        <v>11</v>
      </c>
      <c r="B430" s="61">
        <v>10000</v>
      </c>
      <c r="C430" s="61">
        <v>20</v>
      </c>
      <c r="D430" s="61">
        <v>4.6848000000000001</v>
      </c>
      <c r="E430" s="61">
        <v>426.91430000000003</v>
      </c>
      <c r="F430" s="61">
        <v>15.762</v>
      </c>
      <c r="G430" s="61">
        <v>78.8078</v>
      </c>
      <c r="H430" s="61">
        <v>93.653300000000002</v>
      </c>
    </row>
    <row r="431" spans="1:8" x14ac:dyDescent="0.15">
      <c r="A431" s="61" t="s">
        <v>11</v>
      </c>
      <c r="B431" s="61">
        <v>10000</v>
      </c>
      <c r="C431" s="61">
        <v>20</v>
      </c>
      <c r="D431" s="61">
        <v>4.6821999999999999</v>
      </c>
      <c r="E431" s="61">
        <v>427.14589999999998</v>
      </c>
      <c r="F431" s="61">
        <v>15.77</v>
      </c>
      <c r="G431" s="61">
        <v>78.850499999999997</v>
      </c>
      <c r="H431" s="61">
        <v>93.616200000000006</v>
      </c>
    </row>
    <row r="432" spans="1:8" x14ac:dyDescent="0.15">
      <c r="A432" s="61" t="s">
        <v>11</v>
      </c>
      <c r="B432" s="61">
        <v>10000</v>
      </c>
      <c r="C432" s="61">
        <v>20</v>
      </c>
      <c r="D432" s="61">
        <v>4.6821000000000002</v>
      </c>
      <c r="E432" s="61">
        <v>427.15809999999999</v>
      </c>
      <c r="F432" s="61">
        <v>15.771000000000001</v>
      </c>
      <c r="G432" s="61">
        <v>78.852800000000002</v>
      </c>
      <c r="H432" s="61">
        <v>93.610399999999998</v>
      </c>
    </row>
    <row r="433" spans="1:8" x14ac:dyDescent="0.15">
      <c r="A433" s="61" t="s">
        <v>11</v>
      </c>
      <c r="B433" s="61">
        <v>10000</v>
      </c>
      <c r="C433" s="61">
        <v>20</v>
      </c>
      <c r="D433" s="61">
        <v>4.6814999999999998</v>
      </c>
      <c r="E433" s="61">
        <v>427.21010000000001</v>
      </c>
      <c r="F433" s="61">
        <v>15.772</v>
      </c>
      <c r="G433" s="61">
        <v>78.862399999999994</v>
      </c>
      <c r="H433" s="61">
        <v>93.601600000000005</v>
      </c>
    </row>
    <row r="434" spans="1:8" x14ac:dyDescent="0.15">
      <c r="A434" s="61" t="s">
        <v>11</v>
      </c>
      <c r="B434" s="61">
        <v>10000</v>
      </c>
      <c r="C434" s="61">
        <v>20</v>
      </c>
      <c r="D434" s="61">
        <v>4.6830999999999996</v>
      </c>
      <c r="E434" s="61">
        <v>427.06569999999999</v>
      </c>
      <c r="F434" s="61">
        <v>15.766999999999999</v>
      </c>
      <c r="G434" s="61">
        <v>78.835800000000006</v>
      </c>
      <c r="H434" s="61">
        <v>93.625</v>
      </c>
    </row>
    <row r="435" spans="1:8" x14ac:dyDescent="0.15">
      <c r="A435" s="61" t="s">
        <v>11</v>
      </c>
      <c r="B435" s="61">
        <v>10000</v>
      </c>
      <c r="C435" s="61">
        <v>20</v>
      </c>
      <c r="D435" s="61">
        <v>4.6798999999999999</v>
      </c>
      <c r="E435" s="61">
        <v>427.36070000000001</v>
      </c>
      <c r="F435" s="61">
        <v>15.778</v>
      </c>
      <c r="G435" s="61">
        <v>78.890199999999993</v>
      </c>
      <c r="H435" s="61">
        <v>93.561499999999995</v>
      </c>
    </row>
    <row r="436" spans="1:8" x14ac:dyDescent="0.15">
      <c r="A436" s="61" t="s">
        <v>11</v>
      </c>
      <c r="B436" s="61">
        <v>10000</v>
      </c>
      <c r="C436" s="61">
        <v>20</v>
      </c>
      <c r="D436" s="61">
        <v>4.6814999999999998</v>
      </c>
      <c r="E436" s="61">
        <v>427.21280000000002</v>
      </c>
      <c r="F436" s="61">
        <v>15.773</v>
      </c>
      <c r="G436" s="61">
        <v>78.862899999999996</v>
      </c>
      <c r="H436" s="61">
        <v>93.603499999999997</v>
      </c>
    </row>
    <row r="437" spans="1:8" x14ac:dyDescent="0.15">
      <c r="A437" s="61" t="s">
        <v>11</v>
      </c>
      <c r="B437" s="61">
        <v>10000</v>
      </c>
      <c r="C437" s="61">
        <v>20</v>
      </c>
      <c r="D437" s="61">
        <v>4.6810999999999998</v>
      </c>
      <c r="E437" s="61">
        <v>427.2457</v>
      </c>
      <c r="F437" s="61">
        <v>15.773999999999999</v>
      </c>
      <c r="G437" s="61">
        <v>78.869</v>
      </c>
      <c r="H437" s="61">
        <v>93.515600000000006</v>
      </c>
    </row>
    <row r="438" spans="1:8" x14ac:dyDescent="0.15">
      <c r="A438" s="61" t="s">
        <v>11</v>
      </c>
      <c r="B438" s="61">
        <v>10000</v>
      </c>
      <c r="C438" s="61">
        <v>20</v>
      </c>
      <c r="D438" s="61">
        <v>4.6809000000000003</v>
      </c>
      <c r="E438" s="61">
        <v>427.26819999999998</v>
      </c>
      <c r="F438" s="61">
        <v>15.775</v>
      </c>
      <c r="G438" s="61">
        <v>78.873099999999994</v>
      </c>
      <c r="H438" s="61">
        <v>93.589799999999997</v>
      </c>
    </row>
    <row r="439" spans="1:8" x14ac:dyDescent="0.15">
      <c r="A439" s="61" t="s">
        <v>11</v>
      </c>
      <c r="B439" s="61">
        <v>10005</v>
      </c>
      <c r="C439" s="61">
        <v>1</v>
      </c>
      <c r="D439" s="61">
        <v>74.461299999999994</v>
      </c>
      <c r="E439" s="61">
        <v>26.899899999999999</v>
      </c>
      <c r="F439" s="61">
        <v>1</v>
      </c>
      <c r="G439" s="61">
        <v>100</v>
      </c>
      <c r="H439" s="61">
        <v>74.491699999999994</v>
      </c>
    </row>
    <row r="440" spans="1:8" x14ac:dyDescent="0.15">
      <c r="A440" s="61" t="s">
        <v>11</v>
      </c>
      <c r="B440" s="61">
        <v>10005</v>
      </c>
      <c r="C440" s="61">
        <v>1</v>
      </c>
      <c r="D440" s="61">
        <v>74.256100000000004</v>
      </c>
      <c r="E440" s="61">
        <v>26.9742</v>
      </c>
      <c r="F440" s="61">
        <v>1.0029999999999999</v>
      </c>
      <c r="G440" s="61">
        <v>100.27630000000001</v>
      </c>
      <c r="H440" s="61">
        <v>74.285700000000006</v>
      </c>
    </row>
    <row r="441" spans="1:8" x14ac:dyDescent="0.15">
      <c r="A441" s="61" t="s">
        <v>11</v>
      </c>
      <c r="B441" s="61">
        <v>10005</v>
      </c>
      <c r="C441" s="61">
        <v>1</v>
      </c>
      <c r="D441" s="61">
        <v>74.232900000000001</v>
      </c>
      <c r="E441" s="61">
        <v>26.982700000000001</v>
      </c>
      <c r="F441" s="61">
        <v>1.0029999999999999</v>
      </c>
      <c r="G441" s="61">
        <v>100.30759999999999</v>
      </c>
      <c r="H441" s="61">
        <v>74.2637</v>
      </c>
    </row>
    <row r="442" spans="1:8" x14ac:dyDescent="0.15">
      <c r="A442" s="61" t="s">
        <v>11</v>
      </c>
      <c r="B442" s="61">
        <v>10005</v>
      </c>
      <c r="C442" s="61">
        <v>1</v>
      </c>
      <c r="D442" s="61">
        <v>74.253799999999998</v>
      </c>
      <c r="E442" s="61">
        <v>26.975100000000001</v>
      </c>
      <c r="F442" s="61">
        <v>1.0029999999999999</v>
      </c>
      <c r="G442" s="61">
        <v>100.27930000000001</v>
      </c>
      <c r="H442" s="61">
        <v>74.283699999999996</v>
      </c>
    </row>
    <row r="443" spans="1:8" x14ac:dyDescent="0.15">
      <c r="A443" s="61" t="s">
        <v>11</v>
      </c>
      <c r="B443" s="61">
        <v>10005</v>
      </c>
      <c r="C443" s="61">
        <v>1</v>
      </c>
      <c r="D443" s="61">
        <v>74.321100000000001</v>
      </c>
      <c r="E443" s="61">
        <v>26.950600000000001</v>
      </c>
      <c r="F443" s="61">
        <v>1.002</v>
      </c>
      <c r="G443" s="61">
        <v>100.18859999999999</v>
      </c>
      <c r="H443" s="61">
        <v>74.349699999999999</v>
      </c>
    </row>
    <row r="444" spans="1:8" x14ac:dyDescent="0.15">
      <c r="A444" s="61" t="s">
        <v>11</v>
      </c>
      <c r="B444" s="61">
        <v>10005</v>
      </c>
      <c r="C444" s="61">
        <v>1</v>
      </c>
      <c r="D444" s="61">
        <v>74.215400000000002</v>
      </c>
      <c r="E444" s="61">
        <v>26.989000000000001</v>
      </c>
      <c r="F444" s="61">
        <v>1.0029999999999999</v>
      </c>
      <c r="G444" s="61">
        <v>100.3313</v>
      </c>
      <c r="H444" s="61">
        <v>74.246700000000004</v>
      </c>
    </row>
    <row r="445" spans="1:8" x14ac:dyDescent="0.15">
      <c r="A445" s="61" t="s">
        <v>11</v>
      </c>
      <c r="B445" s="61">
        <v>10005</v>
      </c>
      <c r="C445" s="61">
        <v>19</v>
      </c>
      <c r="D445" s="61">
        <v>4.7618999999999998</v>
      </c>
      <c r="E445" s="61">
        <v>420.62830000000002</v>
      </c>
      <c r="F445" s="61">
        <v>15.637</v>
      </c>
      <c r="G445" s="61">
        <v>82.298900000000003</v>
      </c>
      <c r="H445" s="61">
        <v>90.483199999999997</v>
      </c>
    </row>
    <row r="446" spans="1:8" x14ac:dyDescent="0.15">
      <c r="A446" s="61" t="s">
        <v>11</v>
      </c>
      <c r="B446" s="61">
        <v>10005</v>
      </c>
      <c r="C446" s="61">
        <v>19</v>
      </c>
      <c r="D446" s="61">
        <v>4.7614000000000001</v>
      </c>
      <c r="E446" s="61">
        <v>420.67169999999999</v>
      </c>
      <c r="F446" s="61">
        <v>15.638</v>
      </c>
      <c r="G446" s="61">
        <v>82.307400000000001</v>
      </c>
      <c r="H446" s="61">
        <v>90.470299999999995</v>
      </c>
    </row>
    <row r="447" spans="1:8" x14ac:dyDescent="0.15">
      <c r="A447" s="61" t="s">
        <v>11</v>
      </c>
      <c r="B447" s="61">
        <v>10005</v>
      </c>
      <c r="C447" s="61">
        <v>19</v>
      </c>
      <c r="D447" s="61">
        <v>4.7603</v>
      </c>
      <c r="E447" s="61">
        <v>420.77210000000002</v>
      </c>
      <c r="F447" s="61">
        <v>15.641999999999999</v>
      </c>
      <c r="G447" s="61">
        <v>82.326999999999998</v>
      </c>
      <c r="H447" s="61">
        <v>90.455299999999994</v>
      </c>
    </row>
    <row r="448" spans="1:8" x14ac:dyDescent="0.15">
      <c r="A448" s="61" t="s">
        <v>11</v>
      </c>
      <c r="B448" s="61">
        <v>10005</v>
      </c>
      <c r="C448" s="61">
        <v>19</v>
      </c>
      <c r="D448" s="61">
        <v>4.7958999999999996</v>
      </c>
      <c r="E448" s="61">
        <v>417.64870000000002</v>
      </c>
      <c r="F448" s="61">
        <v>15.526</v>
      </c>
      <c r="G448" s="61">
        <v>81.715900000000005</v>
      </c>
      <c r="H448" s="61">
        <v>91.133099999999999</v>
      </c>
    </row>
    <row r="449" spans="1:8" x14ac:dyDescent="0.15">
      <c r="A449" s="61" t="s">
        <v>11</v>
      </c>
      <c r="B449" s="61">
        <v>10005</v>
      </c>
      <c r="C449" s="61">
        <v>19</v>
      </c>
      <c r="D449" s="61">
        <v>5.0137999999999998</v>
      </c>
      <c r="E449" s="61">
        <v>399.49489999999997</v>
      </c>
      <c r="F449" s="61">
        <v>14.851000000000001</v>
      </c>
      <c r="G449" s="61">
        <v>78.164000000000001</v>
      </c>
      <c r="H449" s="61">
        <v>95.271500000000003</v>
      </c>
    </row>
    <row r="450" spans="1:8" x14ac:dyDescent="0.15">
      <c r="A450" s="61" t="s">
        <v>11</v>
      </c>
      <c r="B450" s="61">
        <v>10005</v>
      </c>
      <c r="C450" s="61">
        <v>19</v>
      </c>
      <c r="D450" s="61">
        <v>5.0149999999999997</v>
      </c>
      <c r="E450" s="61">
        <v>399.4015</v>
      </c>
      <c r="F450" s="61">
        <v>14.848000000000001</v>
      </c>
      <c r="G450" s="61">
        <v>78.145700000000005</v>
      </c>
      <c r="H450" s="61">
        <v>95.295500000000004</v>
      </c>
    </row>
    <row r="451" spans="1:8" x14ac:dyDescent="0.15">
      <c r="A451" s="61" t="s">
        <v>11</v>
      </c>
      <c r="B451" s="61">
        <v>10005</v>
      </c>
      <c r="C451" s="61">
        <v>19</v>
      </c>
      <c r="D451" s="61">
        <v>5.0160999999999998</v>
      </c>
      <c r="E451" s="61">
        <v>399.31439999999998</v>
      </c>
      <c r="F451" s="61">
        <v>14.843999999999999</v>
      </c>
      <c r="G451" s="61">
        <v>78.128699999999995</v>
      </c>
      <c r="H451" s="61">
        <v>95.308499999999995</v>
      </c>
    </row>
    <row r="452" spans="1:8" x14ac:dyDescent="0.15">
      <c r="A452" s="61" t="s">
        <v>11</v>
      </c>
      <c r="B452" s="61">
        <v>10005</v>
      </c>
      <c r="C452" s="61">
        <v>19</v>
      </c>
      <c r="D452" s="61">
        <v>5.0191999999999997</v>
      </c>
      <c r="E452" s="61">
        <v>399.06729999999999</v>
      </c>
      <c r="F452" s="61">
        <v>14.835000000000001</v>
      </c>
      <c r="G452" s="61">
        <v>78.080299999999994</v>
      </c>
      <c r="H452" s="61">
        <v>95.375500000000002</v>
      </c>
    </row>
    <row r="453" spans="1:8" x14ac:dyDescent="0.15">
      <c r="A453" s="61" t="s">
        <v>11</v>
      </c>
      <c r="B453" s="61">
        <v>10005</v>
      </c>
      <c r="C453" s="61">
        <v>19</v>
      </c>
      <c r="D453" s="61">
        <v>5.0183</v>
      </c>
      <c r="E453" s="61">
        <v>399.13869999999997</v>
      </c>
      <c r="F453" s="61">
        <v>14.837999999999999</v>
      </c>
      <c r="G453" s="61">
        <v>78.094300000000004</v>
      </c>
      <c r="H453" s="61">
        <v>95.357500000000002</v>
      </c>
    </row>
    <row r="454" spans="1:8" x14ac:dyDescent="0.15">
      <c r="A454" s="61" t="s">
        <v>11</v>
      </c>
      <c r="B454" s="61">
        <v>10005</v>
      </c>
      <c r="C454" s="61">
        <v>19</v>
      </c>
      <c r="D454" s="61">
        <v>5.0155000000000003</v>
      </c>
      <c r="E454" s="61">
        <v>399.36419999999998</v>
      </c>
      <c r="F454" s="61">
        <v>14.846</v>
      </c>
      <c r="G454" s="61">
        <v>78.138400000000004</v>
      </c>
      <c r="H454" s="61">
        <v>95.305499999999995</v>
      </c>
    </row>
    <row r="455" spans="1:8" x14ac:dyDescent="0.15">
      <c r="A455" s="61" t="s">
        <v>11</v>
      </c>
      <c r="B455" s="61">
        <v>10005</v>
      </c>
      <c r="C455" s="61">
        <v>19</v>
      </c>
      <c r="D455" s="61">
        <v>5.0163000000000002</v>
      </c>
      <c r="E455" s="61">
        <v>399.29610000000002</v>
      </c>
      <c r="F455" s="61">
        <v>14.843999999999999</v>
      </c>
      <c r="G455" s="61">
        <v>78.125100000000003</v>
      </c>
      <c r="H455" s="61">
        <v>95.320400000000006</v>
      </c>
    </row>
    <row r="456" spans="1:8" x14ac:dyDescent="0.15">
      <c r="A456" s="61" t="s">
        <v>11</v>
      </c>
      <c r="B456" s="61">
        <v>10005</v>
      </c>
      <c r="C456" s="61">
        <v>19</v>
      </c>
      <c r="D456" s="61">
        <v>5.0205000000000002</v>
      </c>
      <c r="E456" s="61">
        <v>398.96350000000001</v>
      </c>
      <c r="F456" s="61">
        <v>14.831</v>
      </c>
      <c r="G456" s="61">
        <v>78.06</v>
      </c>
      <c r="H456" s="61">
        <v>95.401499999999999</v>
      </c>
    </row>
    <row r="457" spans="1:8" x14ac:dyDescent="0.15">
      <c r="A457" s="61" t="s">
        <v>11</v>
      </c>
      <c r="B457" s="61">
        <v>10005</v>
      </c>
      <c r="C457" s="61">
        <v>19</v>
      </c>
      <c r="D457" s="61">
        <v>5.0209999999999999</v>
      </c>
      <c r="E457" s="61">
        <v>398.92500000000001</v>
      </c>
      <c r="F457" s="61">
        <v>14.83</v>
      </c>
      <c r="G457" s="61">
        <v>78.052499999999995</v>
      </c>
      <c r="H457" s="61">
        <v>95.410499999999999</v>
      </c>
    </row>
    <row r="458" spans="1:8" x14ac:dyDescent="0.15">
      <c r="A458" s="61" t="s">
        <v>11</v>
      </c>
      <c r="B458" s="61">
        <v>10005</v>
      </c>
      <c r="C458" s="61">
        <v>19</v>
      </c>
      <c r="D458" s="61">
        <v>5.0193000000000003</v>
      </c>
      <c r="E458" s="61">
        <v>399.06009999999998</v>
      </c>
      <c r="F458" s="61">
        <v>14.835000000000001</v>
      </c>
      <c r="G458" s="61">
        <v>78.078900000000004</v>
      </c>
      <c r="H458" s="61">
        <v>95.369500000000002</v>
      </c>
    </row>
    <row r="459" spans="1:8" x14ac:dyDescent="0.15">
      <c r="A459" s="61" t="s">
        <v>11</v>
      </c>
      <c r="B459" s="61">
        <v>10005</v>
      </c>
      <c r="C459" s="61">
        <v>19</v>
      </c>
      <c r="D459" s="61">
        <v>5.0208000000000004</v>
      </c>
      <c r="E459" s="61">
        <v>398.94170000000003</v>
      </c>
      <c r="F459" s="61">
        <v>14.831</v>
      </c>
      <c r="G459" s="61">
        <v>78.055800000000005</v>
      </c>
      <c r="H459" s="61">
        <v>95.405500000000004</v>
      </c>
    </row>
    <row r="460" spans="1:8" x14ac:dyDescent="0.15">
      <c r="A460" s="61" t="s">
        <v>11</v>
      </c>
      <c r="B460" s="61">
        <v>10005</v>
      </c>
      <c r="C460" s="61">
        <v>19</v>
      </c>
      <c r="D460" s="61">
        <v>5.0221999999999998</v>
      </c>
      <c r="E460" s="61">
        <v>398.83100000000002</v>
      </c>
      <c r="F460" s="61">
        <v>14.826000000000001</v>
      </c>
      <c r="G460" s="61">
        <v>78.034099999999995</v>
      </c>
      <c r="H460" s="61">
        <v>95.433499999999995</v>
      </c>
    </row>
    <row r="461" spans="1:8" x14ac:dyDescent="0.15">
      <c r="A461" s="61" t="s">
        <v>11</v>
      </c>
      <c r="B461" s="61">
        <v>10005</v>
      </c>
      <c r="C461" s="61">
        <v>19</v>
      </c>
      <c r="D461" s="61">
        <v>5.0221</v>
      </c>
      <c r="E461" s="61">
        <v>398.84129999999999</v>
      </c>
      <c r="F461" s="61">
        <v>14.827</v>
      </c>
      <c r="G461" s="61">
        <v>78.036100000000005</v>
      </c>
      <c r="H461" s="61">
        <v>95.428600000000003</v>
      </c>
    </row>
    <row r="462" spans="1:8" x14ac:dyDescent="0.15">
      <c r="A462" s="61" t="s">
        <v>11</v>
      </c>
      <c r="B462" s="61">
        <v>10005</v>
      </c>
      <c r="C462" s="61">
        <v>19</v>
      </c>
      <c r="D462" s="61">
        <v>5.0259</v>
      </c>
      <c r="E462" s="61">
        <v>398.53620000000001</v>
      </c>
      <c r="F462" s="61">
        <v>14.816000000000001</v>
      </c>
      <c r="G462" s="61">
        <v>77.976399999999998</v>
      </c>
      <c r="H462" s="61">
        <v>95.501499999999993</v>
      </c>
    </row>
    <row r="463" spans="1:8" x14ac:dyDescent="0.15">
      <c r="A463" s="61" t="s">
        <v>11</v>
      </c>
      <c r="B463" s="61">
        <v>10005</v>
      </c>
      <c r="C463" s="61">
        <v>19</v>
      </c>
      <c r="D463" s="61">
        <v>5.0277000000000003</v>
      </c>
      <c r="E463" s="61">
        <v>398.3904</v>
      </c>
      <c r="F463" s="61">
        <v>14.81</v>
      </c>
      <c r="G463" s="61">
        <v>77.947900000000004</v>
      </c>
      <c r="H463" s="61">
        <v>95.538300000000007</v>
      </c>
    </row>
    <row r="464" spans="1:8" x14ac:dyDescent="0.15">
      <c r="A464" s="61" t="s">
        <v>11</v>
      </c>
      <c r="B464" s="61">
        <v>10005</v>
      </c>
      <c r="C464" s="61">
        <v>19</v>
      </c>
      <c r="D464" s="61">
        <v>5.0284000000000004</v>
      </c>
      <c r="E464" s="61">
        <v>398.3383</v>
      </c>
      <c r="F464" s="61">
        <v>14.808</v>
      </c>
      <c r="G464" s="61">
        <v>77.937700000000007</v>
      </c>
      <c r="H464" s="61">
        <v>95.549599999999998</v>
      </c>
    </row>
    <row r="465" spans="1:8" x14ac:dyDescent="0.15">
      <c r="A465" s="61" t="s">
        <v>11</v>
      </c>
      <c r="B465" s="61">
        <v>10005</v>
      </c>
      <c r="C465" s="61">
        <v>19</v>
      </c>
      <c r="D465" s="61">
        <v>5.0304000000000002</v>
      </c>
      <c r="E465" s="61">
        <v>398.17970000000003</v>
      </c>
      <c r="F465" s="61">
        <v>14.802</v>
      </c>
      <c r="G465" s="61">
        <v>77.906700000000001</v>
      </c>
      <c r="H465" s="61">
        <v>95.588399999999993</v>
      </c>
    </row>
    <row r="466" spans="1:8" x14ac:dyDescent="0.15">
      <c r="A466" s="61" t="s">
        <v>11</v>
      </c>
      <c r="B466" s="61">
        <v>10005</v>
      </c>
      <c r="C466" s="61">
        <v>19</v>
      </c>
      <c r="D466" s="61">
        <v>5.0301999999999998</v>
      </c>
      <c r="E466" s="61">
        <v>398.19380000000001</v>
      </c>
      <c r="F466" s="61">
        <v>14.803000000000001</v>
      </c>
      <c r="G466" s="61">
        <v>77.909400000000005</v>
      </c>
      <c r="H466" s="61">
        <v>95.585400000000007</v>
      </c>
    </row>
    <row r="467" spans="1:8" x14ac:dyDescent="0.15">
      <c r="A467" s="61" t="s">
        <v>11</v>
      </c>
      <c r="B467" s="61">
        <v>10005</v>
      </c>
      <c r="C467" s="61">
        <v>19</v>
      </c>
      <c r="D467" s="61">
        <v>5.0326000000000004</v>
      </c>
      <c r="E467" s="61">
        <v>398.00839999999999</v>
      </c>
      <c r="F467" s="61">
        <v>14.795999999999999</v>
      </c>
      <c r="G467" s="61">
        <v>77.873099999999994</v>
      </c>
      <c r="H467" s="61">
        <v>95.630600000000001</v>
      </c>
    </row>
    <row r="468" spans="1:8" x14ac:dyDescent="0.15">
      <c r="A468" s="61" t="s">
        <v>11</v>
      </c>
      <c r="B468" s="61">
        <v>10005</v>
      </c>
      <c r="C468" s="61">
        <v>19</v>
      </c>
      <c r="D468" s="61">
        <v>5.0332999999999997</v>
      </c>
      <c r="E468" s="61">
        <v>397.9529</v>
      </c>
      <c r="F468" s="61">
        <v>14.794</v>
      </c>
      <c r="G468" s="61">
        <v>77.862300000000005</v>
      </c>
      <c r="H468" s="61">
        <v>95.642300000000006</v>
      </c>
    </row>
    <row r="469" spans="1:8" x14ac:dyDescent="0.15">
      <c r="A469" s="61" t="s">
        <v>11</v>
      </c>
      <c r="B469" s="61">
        <v>10005</v>
      </c>
      <c r="C469" s="61">
        <v>19</v>
      </c>
      <c r="D469" s="61">
        <v>5.0308000000000002</v>
      </c>
      <c r="E469" s="61">
        <v>398.15089999999998</v>
      </c>
      <c r="F469" s="61">
        <v>14.801</v>
      </c>
      <c r="G469" s="61">
        <v>77.900999999999996</v>
      </c>
      <c r="H469" s="61">
        <v>95.595500000000001</v>
      </c>
    </row>
    <row r="470" spans="1:8" x14ac:dyDescent="0.15">
      <c r="A470" s="61" t="s">
        <v>11</v>
      </c>
      <c r="B470" s="61">
        <v>10005</v>
      </c>
      <c r="C470" s="61">
        <v>19</v>
      </c>
      <c r="D470" s="61">
        <v>5.0254000000000003</v>
      </c>
      <c r="E470" s="61">
        <v>398.5763</v>
      </c>
      <c r="F470" s="61">
        <v>14.817</v>
      </c>
      <c r="G470" s="61">
        <v>77.984300000000005</v>
      </c>
      <c r="H470" s="61">
        <v>95.485600000000005</v>
      </c>
    </row>
    <row r="471" spans="1:8" x14ac:dyDescent="0.15">
      <c r="A471" s="61" t="s">
        <v>11</v>
      </c>
      <c r="B471" s="61">
        <v>10005</v>
      </c>
      <c r="C471" s="61">
        <v>19</v>
      </c>
      <c r="D471" s="61">
        <v>5.0282</v>
      </c>
      <c r="E471" s="61">
        <v>398.35079999999999</v>
      </c>
      <c r="F471" s="61">
        <v>14.808999999999999</v>
      </c>
      <c r="G471" s="61">
        <v>77.940200000000004</v>
      </c>
      <c r="H471" s="61">
        <v>95.546400000000006</v>
      </c>
    </row>
    <row r="472" spans="1:8" x14ac:dyDescent="0.15">
      <c r="A472" s="61" t="s">
        <v>11</v>
      </c>
      <c r="B472" s="61">
        <v>10005</v>
      </c>
      <c r="C472" s="61">
        <v>19</v>
      </c>
      <c r="D472" s="61">
        <v>5.0286999999999997</v>
      </c>
      <c r="E472" s="61">
        <v>398.31380000000001</v>
      </c>
      <c r="F472" s="61">
        <v>14.807</v>
      </c>
      <c r="G472" s="61">
        <v>77.932900000000004</v>
      </c>
      <c r="H472" s="61">
        <v>95.557599999999994</v>
      </c>
    </row>
    <row r="473" spans="1:8" x14ac:dyDescent="0.15">
      <c r="A473" s="61" t="s">
        <v>11</v>
      </c>
      <c r="B473" s="61">
        <v>10005</v>
      </c>
      <c r="C473" s="61">
        <v>19</v>
      </c>
      <c r="D473" s="61">
        <v>5.0293999999999999</v>
      </c>
      <c r="E473" s="61">
        <v>398.25549999999998</v>
      </c>
      <c r="F473" s="61">
        <v>14.805</v>
      </c>
      <c r="G473" s="61">
        <v>77.921499999999995</v>
      </c>
      <c r="H473" s="61">
        <v>95.563500000000005</v>
      </c>
    </row>
    <row r="474" spans="1:8" x14ac:dyDescent="0.15">
      <c r="A474" s="61" t="s">
        <v>11</v>
      </c>
      <c r="B474" s="61">
        <v>10005</v>
      </c>
      <c r="C474" s="61">
        <v>19</v>
      </c>
      <c r="D474" s="61">
        <v>5.0312000000000001</v>
      </c>
      <c r="E474" s="61">
        <v>398.11329999999998</v>
      </c>
      <c r="F474" s="61">
        <v>14.8</v>
      </c>
      <c r="G474" s="61">
        <v>77.893699999999995</v>
      </c>
      <c r="H474" s="61">
        <v>95.597399999999993</v>
      </c>
    </row>
    <row r="475" spans="1:8" x14ac:dyDescent="0.15">
      <c r="A475" s="61" t="s">
        <v>11</v>
      </c>
      <c r="B475" s="61">
        <v>10005</v>
      </c>
      <c r="C475" s="61">
        <v>19</v>
      </c>
      <c r="D475" s="61">
        <v>5.0335000000000001</v>
      </c>
      <c r="E475" s="61">
        <v>397.9357</v>
      </c>
      <c r="F475" s="61">
        <v>14.792999999999999</v>
      </c>
      <c r="G475" s="61">
        <v>77.858900000000006</v>
      </c>
      <c r="H475" s="61">
        <v>95.645499999999998</v>
      </c>
    </row>
    <row r="476" spans="1:8" x14ac:dyDescent="0.15">
      <c r="A476" s="61" t="s">
        <v>11</v>
      </c>
      <c r="B476" s="61">
        <v>10005</v>
      </c>
      <c r="C476" s="61">
        <v>19</v>
      </c>
      <c r="D476" s="61">
        <v>5.0357000000000003</v>
      </c>
      <c r="E476" s="61">
        <v>397.76220000000001</v>
      </c>
      <c r="F476" s="61">
        <v>14.787000000000001</v>
      </c>
      <c r="G476" s="61">
        <v>77.825000000000003</v>
      </c>
      <c r="H476" s="61">
        <v>95.688500000000005</v>
      </c>
    </row>
    <row r="477" spans="1:8" x14ac:dyDescent="0.15">
      <c r="A477" s="61" t="s">
        <v>11</v>
      </c>
      <c r="B477" s="61">
        <v>10005</v>
      </c>
      <c r="C477" s="61">
        <v>19</v>
      </c>
      <c r="D477" s="61">
        <v>5.0343999999999998</v>
      </c>
      <c r="E477" s="61">
        <v>397.86380000000003</v>
      </c>
      <c r="F477" s="61">
        <v>14.791</v>
      </c>
      <c r="G477" s="61">
        <v>77.844899999999996</v>
      </c>
      <c r="H477" s="61">
        <v>95.663300000000007</v>
      </c>
    </row>
    <row r="478" spans="1:8" x14ac:dyDescent="0.15">
      <c r="A478" s="61" t="s">
        <v>11</v>
      </c>
      <c r="B478" s="61">
        <v>10005</v>
      </c>
      <c r="C478" s="61">
        <v>19</v>
      </c>
      <c r="D478" s="61">
        <v>5.0369999999999999</v>
      </c>
      <c r="E478" s="61">
        <v>397.65820000000002</v>
      </c>
      <c r="F478" s="61">
        <v>14.782999999999999</v>
      </c>
      <c r="G478" s="61">
        <v>77.804599999999994</v>
      </c>
      <c r="H478" s="61">
        <v>95.713399999999993</v>
      </c>
    </row>
    <row r="479" spans="1:8" x14ac:dyDescent="0.15">
      <c r="A479" s="61" t="s">
        <v>11</v>
      </c>
      <c r="B479" s="61">
        <v>10005</v>
      </c>
      <c r="C479" s="61">
        <v>19</v>
      </c>
      <c r="D479" s="61">
        <v>5.0368000000000004</v>
      </c>
      <c r="E479" s="61">
        <v>397.6728</v>
      </c>
      <c r="F479" s="61">
        <v>14.782999999999999</v>
      </c>
      <c r="G479" s="61">
        <v>77.807500000000005</v>
      </c>
      <c r="H479" s="61">
        <v>95.710400000000007</v>
      </c>
    </row>
    <row r="480" spans="1:8" x14ac:dyDescent="0.15">
      <c r="A480" s="61" t="s">
        <v>11</v>
      </c>
      <c r="B480" s="61">
        <v>10005</v>
      </c>
      <c r="C480" s="61">
        <v>19</v>
      </c>
      <c r="D480" s="61">
        <v>5.0387000000000004</v>
      </c>
      <c r="E480" s="61">
        <v>397.52210000000002</v>
      </c>
      <c r="F480" s="61">
        <v>14.778</v>
      </c>
      <c r="G480" s="61">
        <v>77.778000000000006</v>
      </c>
      <c r="H480" s="61">
        <v>95.746600000000001</v>
      </c>
    </row>
    <row r="481" spans="1:8" x14ac:dyDescent="0.15">
      <c r="A481" s="61" t="s">
        <v>11</v>
      </c>
      <c r="B481" s="61">
        <v>10005</v>
      </c>
      <c r="C481" s="61">
        <v>19</v>
      </c>
      <c r="D481" s="61">
        <v>5.0397999999999996</v>
      </c>
      <c r="E481" s="61">
        <v>397.43830000000003</v>
      </c>
      <c r="F481" s="61">
        <v>14.775</v>
      </c>
      <c r="G481" s="61">
        <v>77.761600000000001</v>
      </c>
      <c r="H481" s="61">
        <v>95.7654</v>
      </c>
    </row>
    <row r="482" spans="1:8" x14ac:dyDescent="0.15">
      <c r="A482" s="61" t="s">
        <v>11</v>
      </c>
      <c r="B482" s="61">
        <v>10005</v>
      </c>
      <c r="C482" s="61">
        <v>19</v>
      </c>
      <c r="D482" s="61">
        <v>5.0397999999999996</v>
      </c>
      <c r="E482" s="61">
        <v>397.43680000000001</v>
      </c>
      <c r="F482" s="61">
        <v>14.775</v>
      </c>
      <c r="G482" s="61">
        <v>77.761300000000006</v>
      </c>
      <c r="H482" s="61">
        <v>95.755600000000001</v>
      </c>
    </row>
    <row r="483" spans="1:8" x14ac:dyDescent="0.15">
      <c r="A483" s="61" t="s">
        <v>11</v>
      </c>
      <c r="B483" s="61">
        <v>10005</v>
      </c>
      <c r="C483" s="61">
        <v>19</v>
      </c>
      <c r="D483" s="61">
        <v>5.0401999999999996</v>
      </c>
      <c r="E483" s="61">
        <v>397.40289999999999</v>
      </c>
      <c r="F483" s="61">
        <v>14.773</v>
      </c>
      <c r="G483" s="61">
        <v>77.7547</v>
      </c>
      <c r="H483" s="61">
        <v>95.775099999999995</v>
      </c>
    </row>
    <row r="484" spans="1:8" x14ac:dyDescent="0.15">
      <c r="A484" s="61" t="s">
        <v>11</v>
      </c>
      <c r="B484" s="61">
        <v>10005</v>
      </c>
      <c r="C484" s="61">
        <v>19</v>
      </c>
      <c r="D484" s="61">
        <v>5.0426000000000002</v>
      </c>
      <c r="E484" s="61">
        <v>397.21769999999998</v>
      </c>
      <c r="F484" s="61">
        <v>14.766999999999999</v>
      </c>
      <c r="G484" s="61">
        <v>77.718400000000003</v>
      </c>
      <c r="H484" s="61">
        <v>95.819800000000001</v>
      </c>
    </row>
    <row r="485" spans="1:8" x14ac:dyDescent="0.15">
      <c r="A485" s="61" t="s">
        <v>11</v>
      </c>
      <c r="B485" s="61">
        <v>10005</v>
      </c>
      <c r="C485" s="61">
        <v>19</v>
      </c>
      <c r="D485" s="61">
        <v>5.0434000000000001</v>
      </c>
      <c r="E485" s="61">
        <v>397.15379999999999</v>
      </c>
      <c r="F485" s="61">
        <v>14.763999999999999</v>
      </c>
      <c r="G485" s="61">
        <v>77.7059</v>
      </c>
      <c r="H485" s="61">
        <v>95.835400000000007</v>
      </c>
    </row>
    <row r="486" spans="1:8" x14ac:dyDescent="0.15">
      <c r="A486" s="61" t="s">
        <v>11</v>
      </c>
      <c r="B486" s="61">
        <v>10005</v>
      </c>
      <c r="C486" s="61">
        <v>19</v>
      </c>
      <c r="D486" s="61">
        <v>5.0442</v>
      </c>
      <c r="E486" s="61">
        <v>397.09120000000001</v>
      </c>
      <c r="F486" s="61">
        <v>14.762</v>
      </c>
      <c r="G486" s="61">
        <v>77.693700000000007</v>
      </c>
      <c r="H486" s="61">
        <v>95.850099999999998</v>
      </c>
    </row>
    <row r="487" spans="1:8" x14ac:dyDescent="0.15">
      <c r="A487" s="61" t="s">
        <v>11</v>
      </c>
      <c r="B487" s="61">
        <v>10005</v>
      </c>
      <c r="C487" s="61">
        <v>19</v>
      </c>
      <c r="D487" s="61">
        <v>5.0438999999999998</v>
      </c>
      <c r="E487" s="61">
        <v>397.11660000000001</v>
      </c>
      <c r="F487" s="61">
        <v>14.763</v>
      </c>
      <c r="G487" s="61">
        <v>77.698700000000002</v>
      </c>
      <c r="H487" s="61">
        <v>95.842799999999997</v>
      </c>
    </row>
    <row r="488" spans="1:8" x14ac:dyDescent="0.15">
      <c r="A488" s="61" t="s">
        <v>11</v>
      </c>
      <c r="B488" s="61">
        <v>10005</v>
      </c>
      <c r="C488" s="61">
        <v>19</v>
      </c>
      <c r="D488" s="61">
        <v>5.0457000000000001</v>
      </c>
      <c r="E488" s="61">
        <v>396.97519999999997</v>
      </c>
      <c r="F488" s="61">
        <v>14.757</v>
      </c>
      <c r="G488" s="61">
        <v>77.671000000000006</v>
      </c>
      <c r="H488" s="61">
        <v>95.876999999999995</v>
      </c>
    </row>
    <row r="489" spans="1:8" x14ac:dyDescent="0.15">
      <c r="A489" s="61" t="s">
        <v>11</v>
      </c>
      <c r="B489" s="61">
        <v>10005</v>
      </c>
      <c r="C489" s="61">
        <v>19</v>
      </c>
      <c r="D489" s="61">
        <v>5.0442999999999998</v>
      </c>
      <c r="E489" s="61">
        <v>397.0847</v>
      </c>
      <c r="F489" s="61">
        <v>14.762</v>
      </c>
      <c r="G489" s="61">
        <v>77.692400000000006</v>
      </c>
      <c r="H489" s="61">
        <v>95.852099999999993</v>
      </c>
    </row>
    <row r="490" spans="1:8" x14ac:dyDescent="0.15">
      <c r="A490" s="61" t="s">
        <v>11</v>
      </c>
      <c r="B490" s="61">
        <v>10005</v>
      </c>
      <c r="C490" s="61">
        <v>19</v>
      </c>
      <c r="D490" s="61">
        <v>5.0454999999999997</v>
      </c>
      <c r="E490" s="61">
        <v>396.99059999999997</v>
      </c>
      <c r="F490" s="61">
        <v>14.757999999999999</v>
      </c>
      <c r="G490" s="61">
        <v>77.674000000000007</v>
      </c>
      <c r="H490" s="61">
        <v>95.873500000000007</v>
      </c>
    </row>
    <row r="491" spans="1:8" x14ac:dyDescent="0.15">
      <c r="A491" s="61" t="s">
        <v>11</v>
      </c>
      <c r="B491" s="61">
        <v>10005</v>
      </c>
      <c r="C491" s="61">
        <v>19</v>
      </c>
      <c r="D491" s="61">
        <v>5.0469999999999997</v>
      </c>
      <c r="E491" s="61">
        <v>396.86840000000001</v>
      </c>
      <c r="F491" s="61">
        <v>14.754</v>
      </c>
      <c r="G491" s="61">
        <v>77.650099999999995</v>
      </c>
      <c r="H491" s="61">
        <v>95.904300000000006</v>
      </c>
    </row>
    <row r="492" spans="1:8" x14ac:dyDescent="0.15">
      <c r="A492" s="61" t="s">
        <v>11</v>
      </c>
      <c r="B492" s="61">
        <v>10005</v>
      </c>
      <c r="C492" s="61">
        <v>19</v>
      </c>
      <c r="D492" s="61">
        <v>5.0448000000000004</v>
      </c>
      <c r="E492" s="61">
        <v>397.03919999999999</v>
      </c>
      <c r="F492" s="61">
        <v>14.76</v>
      </c>
      <c r="G492" s="61">
        <v>77.683499999999995</v>
      </c>
      <c r="H492" s="61">
        <v>95.862799999999993</v>
      </c>
    </row>
    <row r="493" spans="1:8" x14ac:dyDescent="0.15">
      <c r="A493" s="61" t="s">
        <v>11</v>
      </c>
      <c r="B493" s="61">
        <v>10005</v>
      </c>
      <c r="C493" s="61">
        <v>19</v>
      </c>
      <c r="D493" s="61">
        <v>5.0442</v>
      </c>
      <c r="E493" s="61">
        <v>397.09379999999999</v>
      </c>
      <c r="F493" s="61">
        <v>14.762</v>
      </c>
      <c r="G493" s="61">
        <v>77.694199999999995</v>
      </c>
      <c r="H493" s="61">
        <v>95.842299999999994</v>
      </c>
    </row>
    <row r="494" spans="1:8" x14ac:dyDescent="0.15">
      <c r="A494" s="61" t="s">
        <v>11</v>
      </c>
      <c r="B494" s="61">
        <v>10005</v>
      </c>
      <c r="C494" s="61">
        <v>19</v>
      </c>
      <c r="D494" s="61">
        <v>5.0446999999999997</v>
      </c>
      <c r="E494" s="61">
        <v>397.05099999999999</v>
      </c>
      <c r="F494" s="61">
        <v>14.76</v>
      </c>
      <c r="G494" s="61">
        <v>77.6858</v>
      </c>
      <c r="H494" s="61">
        <v>95.858400000000003</v>
      </c>
    </row>
    <row r="495" spans="1:8" x14ac:dyDescent="0.15">
      <c r="A495" s="61" t="s">
        <v>11</v>
      </c>
      <c r="B495" s="61">
        <v>10005</v>
      </c>
      <c r="C495" s="61">
        <v>19</v>
      </c>
      <c r="D495" s="61">
        <v>5.0442</v>
      </c>
      <c r="E495" s="61">
        <v>397.0933</v>
      </c>
      <c r="F495" s="61">
        <v>14.762</v>
      </c>
      <c r="G495" s="61">
        <v>77.694100000000006</v>
      </c>
      <c r="H495" s="61">
        <v>95.849599999999995</v>
      </c>
    </row>
    <row r="496" spans="1:8" x14ac:dyDescent="0.15">
      <c r="A496" s="61" t="s">
        <v>11</v>
      </c>
      <c r="B496" s="61">
        <v>10005</v>
      </c>
      <c r="C496" s="61">
        <v>20</v>
      </c>
      <c r="D496" s="61">
        <v>4.7465999999999999</v>
      </c>
      <c r="E496" s="61">
        <v>421.99009999999998</v>
      </c>
      <c r="F496" s="61">
        <v>15.686999999999999</v>
      </c>
      <c r="G496" s="61">
        <v>78.437100000000001</v>
      </c>
      <c r="H496" s="61">
        <v>94.915499999999994</v>
      </c>
    </row>
    <row r="497" spans="1:8" x14ac:dyDescent="0.15">
      <c r="A497" s="61" t="s">
        <v>11</v>
      </c>
      <c r="B497" s="61">
        <v>10005</v>
      </c>
      <c r="C497" s="61">
        <v>20</v>
      </c>
      <c r="D497" s="61">
        <v>4.7423999999999999</v>
      </c>
      <c r="E497" s="61">
        <v>422.35750000000002</v>
      </c>
      <c r="F497" s="61">
        <v>15.701000000000001</v>
      </c>
      <c r="G497" s="61">
        <v>78.505399999999995</v>
      </c>
      <c r="H497" s="61">
        <v>94.822299999999998</v>
      </c>
    </row>
    <row r="498" spans="1:8" x14ac:dyDescent="0.15">
      <c r="A498" s="61" t="s">
        <v>11</v>
      </c>
      <c r="B498" s="61">
        <v>10005</v>
      </c>
      <c r="C498" s="61">
        <v>20</v>
      </c>
      <c r="D498" s="61">
        <v>4.7427999999999999</v>
      </c>
      <c r="E498" s="61">
        <v>422.3229</v>
      </c>
      <c r="F498" s="61">
        <v>15.7</v>
      </c>
      <c r="G498" s="61">
        <v>78.498900000000006</v>
      </c>
      <c r="H498" s="61">
        <v>94.831500000000005</v>
      </c>
    </row>
    <row r="499" spans="1:8" x14ac:dyDescent="0.15">
      <c r="A499" s="61" t="s">
        <v>11</v>
      </c>
      <c r="B499" s="61">
        <v>10005</v>
      </c>
      <c r="C499" s="61">
        <v>20</v>
      </c>
      <c r="D499" s="61">
        <v>4.7537000000000003</v>
      </c>
      <c r="E499" s="61">
        <v>421.35820000000001</v>
      </c>
      <c r="F499" s="61">
        <v>15.664</v>
      </c>
      <c r="G499" s="61">
        <v>78.319599999999994</v>
      </c>
      <c r="H499" s="61">
        <v>94.921899999999994</v>
      </c>
    </row>
    <row r="500" spans="1:8" x14ac:dyDescent="0.15">
      <c r="A500" s="61" t="s">
        <v>11</v>
      </c>
      <c r="B500" s="61">
        <v>10005</v>
      </c>
      <c r="C500" s="61">
        <v>20</v>
      </c>
      <c r="D500" s="61">
        <v>4.7473999999999998</v>
      </c>
      <c r="E500" s="61">
        <v>421.9135</v>
      </c>
      <c r="F500" s="61">
        <v>15.685</v>
      </c>
      <c r="G500" s="61">
        <v>78.422799999999995</v>
      </c>
      <c r="H500" s="61">
        <v>94.916499999999999</v>
      </c>
    </row>
    <row r="501" spans="1:8" x14ac:dyDescent="0.15">
      <c r="A501" s="61" t="s">
        <v>11</v>
      </c>
      <c r="B501" s="61">
        <v>10005</v>
      </c>
      <c r="C501" s="61">
        <v>20</v>
      </c>
      <c r="D501" s="61">
        <v>4.75</v>
      </c>
      <c r="E501" s="61">
        <v>421.68830000000003</v>
      </c>
      <c r="F501" s="61">
        <v>15.676</v>
      </c>
      <c r="G501" s="61">
        <v>78.381</v>
      </c>
      <c r="H501" s="61">
        <v>94.938500000000005</v>
      </c>
    </row>
    <row r="502" spans="1:8" x14ac:dyDescent="0.15">
      <c r="A502" s="61" t="s">
        <v>11</v>
      </c>
      <c r="B502" s="61">
        <v>10005</v>
      </c>
      <c r="C502" s="61">
        <v>20</v>
      </c>
      <c r="D502" s="61">
        <v>4.7506000000000004</v>
      </c>
      <c r="E502" s="61">
        <v>421.62920000000003</v>
      </c>
      <c r="F502" s="61">
        <v>15.673999999999999</v>
      </c>
      <c r="G502" s="61">
        <v>78.37</v>
      </c>
      <c r="H502" s="61">
        <v>94.997600000000006</v>
      </c>
    </row>
    <row r="503" spans="1:8" x14ac:dyDescent="0.15">
      <c r="A503" s="61" t="s">
        <v>11</v>
      </c>
      <c r="B503" s="61">
        <v>10005</v>
      </c>
      <c r="C503" s="61">
        <v>20</v>
      </c>
      <c r="D503" s="61">
        <v>4.7447999999999997</v>
      </c>
      <c r="E503" s="61">
        <v>422.14479999999998</v>
      </c>
      <c r="F503" s="61">
        <v>15.693</v>
      </c>
      <c r="G503" s="61">
        <v>78.465800000000002</v>
      </c>
      <c r="H503" s="61">
        <v>94.862799999999993</v>
      </c>
    </row>
    <row r="504" spans="1:8" x14ac:dyDescent="0.15">
      <c r="A504" s="61" t="s">
        <v>11</v>
      </c>
      <c r="B504" s="61">
        <v>10005</v>
      </c>
      <c r="C504" s="61">
        <v>20</v>
      </c>
      <c r="D504" s="61">
        <v>4.7497999999999996</v>
      </c>
      <c r="E504" s="61">
        <v>421.70350000000002</v>
      </c>
      <c r="F504" s="61">
        <v>15.677</v>
      </c>
      <c r="G504" s="61">
        <v>78.383799999999994</v>
      </c>
      <c r="H504" s="61">
        <v>94.972700000000003</v>
      </c>
    </row>
    <row r="505" spans="1:8" x14ac:dyDescent="0.15">
      <c r="A505" s="61" t="s">
        <v>11</v>
      </c>
      <c r="B505" s="61">
        <v>10005</v>
      </c>
      <c r="C505" s="61">
        <v>20</v>
      </c>
      <c r="D505" s="61">
        <v>4.7464000000000004</v>
      </c>
      <c r="E505" s="61">
        <v>422.005</v>
      </c>
      <c r="F505" s="61">
        <v>15.688000000000001</v>
      </c>
      <c r="G505" s="61">
        <v>78.439899999999994</v>
      </c>
      <c r="H505" s="61">
        <v>94.8994</v>
      </c>
    </row>
    <row r="506" spans="1:8" x14ac:dyDescent="0.15">
      <c r="A506" s="61" t="s">
        <v>11</v>
      </c>
      <c r="B506" s="61">
        <v>10005</v>
      </c>
      <c r="C506" s="61">
        <v>20</v>
      </c>
      <c r="D506" s="61">
        <v>4.7446000000000002</v>
      </c>
      <c r="E506" s="61">
        <v>422.16460000000001</v>
      </c>
      <c r="F506" s="61">
        <v>15.694000000000001</v>
      </c>
      <c r="G506" s="61">
        <v>78.469499999999996</v>
      </c>
      <c r="H506" s="61">
        <v>94.858400000000003</v>
      </c>
    </row>
    <row r="507" spans="1:8" x14ac:dyDescent="0.15">
      <c r="A507" s="61" t="s">
        <v>11</v>
      </c>
      <c r="B507" s="61">
        <v>10005</v>
      </c>
      <c r="C507" s="61">
        <v>20</v>
      </c>
      <c r="D507" s="61">
        <v>4.7455999999999996</v>
      </c>
      <c r="E507" s="61">
        <v>422.07740000000001</v>
      </c>
      <c r="F507" s="61">
        <v>15.691000000000001</v>
      </c>
      <c r="G507" s="61">
        <v>78.453299999999999</v>
      </c>
      <c r="H507" s="61">
        <v>94.901899999999998</v>
      </c>
    </row>
    <row r="508" spans="1:8" x14ac:dyDescent="0.15">
      <c r="A508" s="61" t="s">
        <v>11</v>
      </c>
      <c r="B508" s="61">
        <v>10005</v>
      </c>
      <c r="C508" s="61">
        <v>20</v>
      </c>
      <c r="D508" s="61">
        <v>4.7438000000000002</v>
      </c>
      <c r="E508" s="61">
        <v>422.23700000000002</v>
      </c>
      <c r="F508" s="61">
        <v>15.696999999999999</v>
      </c>
      <c r="G508" s="61">
        <v>78.483000000000004</v>
      </c>
      <c r="H508" s="61">
        <v>94.8613</v>
      </c>
    </row>
    <row r="509" spans="1:8" x14ac:dyDescent="0.15">
      <c r="A509" s="61" t="s">
        <v>11</v>
      </c>
      <c r="B509" s="61">
        <v>10005</v>
      </c>
      <c r="C509" s="61">
        <v>20</v>
      </c>
      <c r="D509" s="61">
        <v>4.7485999999999997</v>
      </c>
      <c r="E509" s="61">
        <v>421.80860000000001</v>
      </c>
      <c r="F509" s="61">
        <v>15.680999999999999</v>
      </c>
      <c r="G509" s="61">
        <v>78.403400000000005</v>
      </c>
      <c r="H509" s="61">
        <v>94.939899999999994</v>
      </c>
    </row>
    <row r="510" spans="1:8" x14ac:dyDescent="0.15">
      <c r="A510" s="61" t="s">
        <v>11</v>
      </c>
      <c r="B510" s="61">
        <v>10005</v>
      </c>
      <c r="C510" s="61">
        <v>20</v>
      </c>
      <c r="D510" s="61">
        <v>4.7492000000000001</v>
      </c>
      <c r="E510" s="61">
        <v>421.75279999999998</v>
      </c>
      <c r="F510" s="61">
        <v>15.679</v>
      </c>
      <c r="G510" s="61">
        <v>78.393000000000001</v>
      </c>
      <c r="H510" s="61">
        <v>94.959500000000006</v>
      </c>
    </row>
    <row r="511" spans="1:8" x14ac:dyDescent="0.15">
      <c r="A511" s="61" t="s">
        <v>11</v>
      </c>
      <c r="B511" s="61">
        <v>10005</v>
      </c>
      <c r="C511" s="61">
        <v>20</v>
      </c>
      <c r="D511" s="61">
        <v>4.7655000000000003</v>
      </c>
      <c r="E511" s="61">
        <v>420.31479999999999</v>
      </c>
      <c r="F511" s="61">
        <v>15.625</v>
      </c>
      <c r="G511" s="61">
        <v>78.125699999999995</v>
      </c>
      <c r="H511" s="61">
        <v>95.157200000000003</v>
      </c>
    </row>
    <row r="512" spans="1:8" x14ac:dyDescent="0.15">
      <c r="A512" s="61" t="s">
        <v>11</v>
      </c>
      <c r="B512" s="61">
        <v>10005</v>
      </c>
      <c r="C512" s="61">
        <v>20</v>
      </c>
      <c r="D512" s="61">
        <v>4.7457000000000003</v>
      </c>
      <c r="E512" s="61">
        <v>422.07040000000001</v>
      </c>
      <c r="F512" s="61">
        <v>15.69</v>
      </c>
      <c r="G512" s="61">
        <v>78.451999999999998</v>
      </c>
      <c r="H512" s="61">
        <v>94.766599999999997</v>
      </c>
    </row>
    <row r="513" spans="1:8" x14ac:dyDescent="0.15">
      <c r="A513" s="61" t="s">
        <v>11</v>
      </c>
      <c r="B513" s="61">
        <v>10005</v>
      </c>
      <c r="C513" s="61">
        <v>20</v>
      </c>
      <c r="D513" s="61">
        <v>4.7491000000000003</v>
      </c>
      <c r="E513" s="61">
        <v>421.7611</v>
      </c>
      <c r="F513" s="61">
        <v>15.679</v>
      </c>
      <c r="G513" s="61">
        <v>78.394499999999994</v>
      </c>
      <c r="H513" s="61">
        <v>94.953599999999994</v>
      </c>
    </row>
    <row r="514" spans="1:8" x14ac:dyDescent="0.15">
      <c r="A514" s="61" t="s">
        <v>11</v>
      </c>
      <c r="B514" s="61">
        <v>10005</v>
      </c>
      <c r="C514" s="61">
        <v>20</v>
      </c>
      <c r="D514" s="61">
        <v>4.7465000000000002</v>
      </c>
      <c r="E514" s="61">
        <v>421.995</v>
      </c>
      <c r="F514" s="61">
        <v>15.688000000000001</v>
      </c>
      <c r="G514" s="61">
        <v>78.438000000000002</v>
      </c>
      <c r="H514" s="61">
        <v>94.889600000000002</v>
      </c>
    </row>
    <row r="515" spans="1:8" x14ac:dyDescent="0.15">
      <c r="A515" s="61" t="s">
        <v>11</v>
      </c>
      <c r="B515" s="61">
        <v>10005</v>
      </c>
      <c r="C515" s="61">
        <v>20</v>
      </c>
      <c r="D515" s="61">
        <v>4.7497999999999996</v>
      </c>
      <c r="E515" s="61">
        <v>421.70240000000001</v>
      </c>
      <c r="F515" s="61">
        <v>15.677</v>
      </c>
      <c r="G515" s="61">
        <v>78.383600000000001</v>
      </c>
      <c r="H515" s="61">
        <v>94.963399999999993</v>
      </c>
    </row>
    <row r="516" spans="1:8" x14ac:dyDescent="0.15">
      <c r="A516" s="61" t="s">
        <v>11</v>
      </c>
      <c r="B516" s="61">
        <v>10005</v>
      </c>
      <c r="C516" s="61">
        <v>20</v>
      </c>
      <c r="D516" s="61">
        <v>4.7413999999999996</v>
      </c>
      <c r="E516" s="61">
        <v>422.44639999999998</v>
      </c>
      <c r="F516" s="61">
        <v>15.704000000000001</v>
      </c>
      <c r="G516" s="61">
        <v>78.521900000000002</v>
      </c>
      <c r="H516" s="61">
        <v>94.803700000000006</v>
      </c>
    </row>
    <row r="517" spans="1:8" x14ac:dyDescent="0.15">
      <c r="A517" s="61" t="s">
        <v>11</v>
      </c>
      <c r="B517" s="61">
        <v>10005</v>
      </c>
      <c r="C517" s="61">
        <v>20</v>
      </c>
      <c r="D517" s="61">
        <v>4.7481999999999998</v>
      </c>
      <c r="E517" s="61">
        <v>421.8449</v>
      </c>
      <c r="F517" s="61">
        <v>15.682</v>
      </c>
      <c r="G517" s="61">
        <v>78.4101</v>
      </c>
      <c r="H517" s="61">
        <v>94.938500000000005</v>
      </c>
    </row>
    <row r="518" spans="1:8" x14ac:dyDescent="0.15">
      <c r="A518" s="61" t="s">
        <v>11</v>
      </c>
      <c r="B518" s="61">
        <v>10005</v>
      </c>
      <c r="C518" s="61">
        <v>20</v>
      </c>
      <c r="D518" s="61">
        <v>4.7378</v>
      </c>
      <c r="E518" s="61">
        <v>422.77089999999998</v>
      </c>
      <c r="F518" s="61">
        <v>15.715999999999999</v>
      </c>
      <c r="G518" s="61">
        <v>78.5822</v>
      </c>
      <c r="H518" s="61">
        <v>94.727999999999994</v>
      </c>
    </row>
    <row r="519" spans="1:8" x14ac:dyDescent="0.15">
      <c r="A519" s="61" t="s">
        <v>11</v>
      </c>
      <c r="B519" s="61">
        <v>10005</v>
      </c>
      <c r="C519" s="61">
        <v>20</v>
      </c>
      <c r="D519" s="61">
        <v>4.7382</v>
      </c>
      <c r="E519" s="61">
        <v>422.73259999999999</v>
      </c>
      <c r="F519" s="61">
        <v>15.715</v>
      </c>
      <c r="G519" s="61">
        <v>78.575100000000006</v>
      </c>
      <c r="H519" s="61">
        <v>94.7256</v>
      </c>
    </row>
    <row r="520" spans="1:8" x14ac:dyDescent="0.15">
      <c r="A520" s="61" t="s">
        <v>11</v>
      </c>
      <c r="B520" s="61">
        <v>10005</v>
      </c>
      <c r="C520" s="61">
        <v>20</v>
      </c>
      <c r="D520" s="61">
        <v>4.7384000000000004</v>
      </c>
      <c r="E520" s="61">
        <v>422.71359999999999</v>
      </c>
      <c r="F520" s="61">
        <v>15.714</v>
      </c>
      <c r="G520" s="61">
        <v>78.5715</v>
      </c>
      <c r="H520" s="61">
        <v>94.734399999999994</v>
      </c>
    </row>
    <row r="521" spans="1:8" x14ac:dyDescent="0.15">
      <c r="A521" s="61" t="s">
        <v>11</v>
      </c>
      <c r="B521" s="61">
        <v>10005</v>
      </c>
      <c r="C521" s="61">
        <v>20</v>
      </c>
      <c r="D521" s="61">
        <v>4.7416</v>
      </c>
      <c r="E521" s="61">
        <v>422.43509999999998</v>
      </c>
      <c r="F521" s="61">
        <v>15.704000000000001</v>
      </c>
      <c r="G521" s="61">
        <v>78.519800000000004</v>
      </c>
      <c r="H521" s="61">
        <v>94.807599999999994</v>
      </c>
    </row>
    <row r="522" spans="1:8" x14ac:dyDescent="0.15">
      <c r="A522" s="61" t="s">
        <v>11</v>
      </c>
      <c r="B522" s="61">
        <v>10005</v>
      </c>
      <c r="C522" s="61">
        <v>20</v>
      </c>
      <c r="D522" s="61">
        <v>4.7422000000000004</v>
      </c>
      <c r="E522" s="61">
        <v>422.38060000000002</v>
      </c>
      <c r="F522" s="61">
        <v>15.702</v>
      </c>
      <c r="G522" s="61">
        <v>78.509699999999995</v>
      </c>
      <c r="H522" s="61">
        <v>94.814499999999995</v>
      </c>
    </row>
    <row r="523" spans="1:8" x14ac:dyDescent="0.15">
      <c r="A523" s="61" t="s">
        <v>11</v>
      </c>
      <c r="B523" s="61">
        <v>10005</v>
      </c>
      <c r="C523" s="61">
        <v>20</v>
      </c>
      <c r="D523" s="61">
        <v>4.7526999999999999</v>
      </c>
      <c r="E523" s="61">
        <v>421.44099999999997</v>
      </c>
      <c r="F523" s="61">
        <v>15.667</v>
      </c>
      <c r="G523" s="61">
        <v>78.334999999999994</v>
      </c>
      <c r="H523" s="61">
        <v>94.912599999999998</v>
      </c>
    </row>
    <row r="524" spans="1:8" x14ac:dyDescent="0.15">
      <c r="A524" s="61" t="s">
        <v>11</v>
      </c>
      <c r="B524" s="61">
        <v>10005</v>
      </c>
      <c r="C524" s="61">
        <v>20</v>
      </c>
      <c r="D524" s="61">
        <v>4.7487000000000004</v>
      </c>
      <c r="E524" s="61">
        <v>421.79820000000001</v>
      </c>
      <c r="F524" s="61">
        <v>15.68</v>
      </c>
      <c r="G524" s="61">
        <v>78.401399999999995</v>
      </c>
      <c r="H524" s="61">
        <v>94.924800000000005</v>
      </c>
    </row>
    <row r="525" spans="1:8" x14ac:dyDescent="0.15">
      <c r="A525" s="61" t="s">
        <v>11</v>
      </c>
      <c r="B525" s="61">
        <v>10005</v>
      </c>
      <c r="C525" s="61">
        <v>20</v>
      </c>
      <c r="D525" s="61">
        <v>4.7403000000000004</v>
      </c>
      <c r="E525" s="61">
        <v>422.54539999999997</v>
      </c>
      <c r="F525" s="61">
        <v>15.708</v>
      </c>
      <c r="G525" s="61">
        <v>78.540300000000002</v>
      </c>
      <c r="H525" s="61">
        <v>94.780299999999997</v>
      </c>
    </row>
    <row r="526" spans="1:8" x14ac:dyDescent="0.15">
      <c r="A526" s="61" t="s">
        <v>11</v>
      </c>
      <c r="B526" s="61">
        <v>10005</v>
      </c>
      <c r="C526" s="61">
        <v>20</v>
      </c>
      <c r="D526" s="61">
        <v>4.7411000000000003</v>
      </c>
      <c r="E526" s="61">
        <v>422.47590000000002</v>
      </c>
      <c r="F526" s="61">
        <v>15.705</v>
      </c>
      <c r="G526" s="61">
        <v>78.5274</v>
      </c>
      <c r="H526" s="61">
        <v>94.796899999999994</v>
      </c>
    </row>
    <row r="527" spans="1:8" x14ac:dyDescent="0.15">
      <c r="A527" s="61" t="s">
        <v>11</v>
      </c>
      <c r="B527" s="61">
        <v>10005</v>
      </c>
      <c r="C527" s="61">
        <v>20</v>
      </c>
      <c r="D527" s="61">
        <v>4.7382</v>
      </c>
      <c r="E527" s="61">
        <v>422.73559999999998</v>
      </c>
      <c r="F527" s="61">
        <v>15.715</v>
      </c>
      <c r="G527" s="61">
        <v>78.575699999999998</v>
      </c>
      <c r="H527" s="61">
        <v>94.734399999999994</v>
      </c>
    </row>
    <row r="528" spans="1:8" x14ac:dyDescent="0.15">
      <c r="A528" s="61" t="s">
        <v>11</v>
      </c>
      <c r="B528" s="61">
        <v>10005</v>
      </c>
      <c r="C528" s="61">
        <v>20</v>
      </c>
      <c r="D528" s="61">
        <v>4.7363</v>
      </c>
      <c r="E528" s="61">
        <v>422.90350000000001</v>
      </c>
      <c r="F528" s="61">
        <v>15.721</v>
      </c>
      <c r="G528" s="61">
        <v>78.606899999999996</v>
      </c>
      <c r="H528" s="61">
        <v>94.688500000000005</v>
      </c>
    </row>
    <row r="529" spans="1:8" x14ac:dyDescent="0.15">
      <c r="A529" s="61" t="s">
        <v>11</v>
      </c>
      <c r="B529" s="61">
        <v>10005</v>
      </c>
      <c r="C529" s="61">
        <v>20</v>
      </c>
      <c r="D529" s="61">
        <v>4.7423999999999999</v>
      </c>
      <c r="E529" s="61">
        <v>422.36430000000001</v>
      </c>
      <c r="F529" s="61">
        <v>15.701000000000001</v>
      </c>
      <c r="G529" s="61">
        <v>78.506600000000006</v>
      </c>
      <c r="H529" s="61">
        <v>94.8232</v>
      </c>
    </row>
    <row r="530" spans="1:8" x14ac:dyDescent="0.15">
      <c r="A530" s="61" t="s">
        <v>11</v>
      </c>
      <c r="B530" s="61">
        <v>10005</v>
      </c>
      <c r="C530" s="61">
        <v>20</v>
      </c>
      <c r="D530" s="61">
        <v>4.7435</v>
      </c>
      <c r="E530" s="61">
        <v>422.26609999999999</v>
      </c>
      <c r="F530" s="61">
        <v>15.698</v>
      </c>
      <c r="G530" s="61">
        <v>78.488399999999999</v>
      </c>
      <c r="H530" s="61">
        <v>94.837900000000005</v>
      </c>
    </row>
    <row r="531" spans="1:8" x14ac:dyDescent="0.15">
      <c r="A531" s="61" t="s">
        <v>11</v>
      </c>
      <c r="B531" s="61">
        <v>10005</v>
      </c>
      <c r="C531" s="61">
        <v>20</v>
      </c>
      <c r="D531" s="61">
        <v>4.7392000000000003</v>
      </c>
      <c r="E531" s="61">
        <v>422.64789999999999</v>
      </c>
      <c r="F531" s="61">
        <v>15.712</v>
      </c>
      <c r="G531" s="61">
        <v>78.559299999999993</v>
      </c>
      <c r="H531" s="61">
        <v>94.75</v>
      </c>
    </row>
    <row r="532" spans="1:8" x14ac:dyDescent="0.15">
      <c r="A532" s="61" t="s">
        <v>11</v>
      </c>
      <c r="B532" s="61">
        <v>10005</v>
      </c>
      <c r="C532" s="61">
        <v>20</v>
      </c>
      <c r="D532" s="61">
        <v>4.7358000000000002</v>
      </c>
      <c r="E532" s="61">
        <v>422.95100000000002</v>
      </c>
      <c r="F532" s="61">
        <v>15.723000000000001</v>
      </c>
      <c r="G532" s="61">
        <v>78.615700000000004</v>
      </c>
      <c r="H532" s="61">
        <v>94.679699999999997</v>
      </c>
    </row>
    <row r="533" spans="1:8" x14ac:dyDescent="0.15">
      <c r="A533" s="61" t="s">
        <v>11</v>
      </c>
      <c r="B533" s="61">
        <v>10005</v>
      </c>
      <c r="C533" s="61">
        <v>20</v>
      </c>
      <c r="D533" s="61">
        <v>4.7409999999999997</v>
      </c>
      <c r="E533" s="61">
        <v>422.48880000000003</v>
      </c>
      <c r="F533" s="61">
        <v>15.706</v>
      </c>
      <c r="G533" s="61">
        <v>78.529799999999994</v>
      </c>
      <c r="H533" s="61">
        <v>94.795900000000003</v>
      </c>
    </row>
    <row r="534" spans="1:8" x14ac:dyDescent="0.15">
      <c r="A534" s="61" t="s">
        <v>11</v>
      </c>
      <c r="B534" s="61">
        <v>10005</v>
      </c>
      <c r="C534" s="61">
        <v>20</v>
      </c>
      <c r="D534" s="61">
        <v>4.7427999999999999</v>
      </c>
      <c r="E534" s="61">
        <v>422.32479999999998</v>
      </c>
      <c r="F534" s="61">
        <v>15.7</v>
      </c>
      <c r="G534" s="61">
        <v>78.499300000000005</v>
      </c>
      <c r="H534" s="61">
        <v>94.787099999999995</v>
      </c>
    </row>
    <row r="535" spans="1:8" x14ac:dyDescent="0.15">
      <c r="A535" s="61" t="s">
        <v>11</v>
      </c>
      <c r="B535" s="61">
        <v>10005</v>
      </c>
      <c r="C535" s="61">
        <v>20</v>
      </c>
      <c r="D535" s="61">
        <v>4.7449000000000003</v>
      </c>
      <c r="E535" s="61">
        <v>422.1413</v>
      </c>
      <c r="F535" s="61">
        <v>15.693</v>
      </c>
      <c r="G535" s="61">
        <v>78.465199999999996</v>
      </c>
      <c r="H535" s="61">
        <v>94.841800000000006</v>
      </c>
    </row>
    <row r="536" spans="1:8" x14ac:dyDescent="0.15">
      <c r="A536" s="61" t="s">
        <v>11</v>
      </c>
      <c r="B536" s="61">
        <v>10005</v>
      </c>
      <c r="C536" s="61">
        <v>20</v>
      </c>
      <c r="D536" s="61">
        <v>4.7359999999999998</v>
      </c>
      <c r="E536" s="61">
        <v>422.93549999999999</v>
      </c>
      <c r="F536" s="61">
        <v>15.723000000000001</v>
      </c>
      <c r="G536" s="61">
        <v>78.612799999999993</v>
      </c>
      <c r="H536" s="61">
        <v>94.692400000000006</v>
      </c>
    </row>
    <row r="537" spans="1:8" x14ac:dyDescent="0.15">
      <c r="A537" s="61" t="s">
        <v>11</v>
      </c>
      <c r="B537" s="61">
        <v>10005</v>
      </c>
      <c r="C537" s="61">
        <v>20</v>
      </c>
      <c r="D537" s="61">
        <v>4.7389000000000001</v>
      </c>
      <c r="E537" s="61">
        <v>422.66809999999998</v>
      </c>
      <c r="F537" s="61">
        <v>15.712999999999999</v>
      </c>
      <c r="G537" s="61">
        <v>78.563100000000006</v>
      </c>
      <c r="H537" s="61">
        <v>94.7363</v>
      </c>
    </row>
    <row r="538" spans="1:8" x14ac:dyDescent="0.15">
      <c r="A538" s="61" t="s">
        <v>11</v>
      </c>
      <c r="B538" s="61">
        <v>10005</v>
      </c>
      <c r="C538" s="61">
        <v>20</v>
      </c>
      <c r="D538" s="61">
        <v>4.7389999999999999</v>
      </c>
      <c r="E538" s="61">
        <v>422.66180000000003</v>
      </c>
      <c r="F538" s="61">
        <v>15.712</v>
      </c>
      <c r="G538" s="61">
        <v>78.561899999999994</v>
      </c>
      <c r="H538" s="61">
        <v>94.747100000000003</v>
      </c>
    </row>
    <row r="539" spans="1:8" x14ac:dyDescent="0.15">
      <c r="A539" s="61" t="s">
        <v>11</v>
      </c>
      <c r="B539" s="61">
        <v>10005</v>
      </c>
      <c r="C539" s="61">
        <v>20</v>
      </c>
      <c r="D539" s="61">
        <v>4.7411000000000003</v>
      </c>
      <c r="E539" s="61">
        <v>422.47840000000002</v>
      </c>
      <c r="F539" s="61">
        <v>15.706</v>
      </c>
      <c r="G539" s="61">
        <v>78.527799999999999</v>
      </c>
      <c r="H539" s="61">
        <v>94.776399999999995</v>
      </c>
    </row>
    <row r="540" spans="1:8" x14ac:dyDescent="0.15">
      <c r="A540" s="61" t="s">
        <v>11</v>
      </c>
      <c r="B540" s="61">
        <v>10005</v>
      </c>
      <c r="C540" s="61">
        <v>20</v>
      </c>
      <c r="D540" s="61">
        <v>4.7351999999999999</v>
      </c>
      <c r="E540" s="61">
        <v>423.00189999999998</v>
      </c>
      <c r="F540" s="61">
        <v>15.725</v>
      </c>
      <c r="G540" s="61">
        <v>78.625100000000003</v>
      </c>
      <c r="H540" s="61">
        <v>94.678700000000006</v>
      </c>
    </row>
    <row r="541" spans="1:8" x14ac:dyDescent="0.15">
      <c r="A541" s="61" t="s">
        <v>11</v>
      </c>
      <c r="B541" s="61">
        <v>10005</v>
      </c>
      <c r="C541" s="61">
        <v>20</v>
      </c>
      <c r="D541" s="61">
        <v>4.7347000000000001</v>
      </c>
      <c r="E541" s="61">
        <v>423.04559999999998</v>
      </c>
      <c r="F541" s="61">
        <v>15.727</v>
      </c>
      <c r="G541" s="61">
        <v>78.633300000000006</v>
      </c>
      <c r="H541" s="61">
        <v>94.661100000000005</v>
      </c>
    </row>
    <row r="542" spans="1:8" x14ac:dyDescent="0.15">
      <c r="A542" s="61" t="s">
        <v>11</v>
      </c>
      <c r="B542" s="61">
        <v>10005</v>
      </c>
      <c r="C542" s="61">
        <v>20</v>
      </c>
      <c r="D542" s="61">
        <v>4.7430000000000003</v>
      </c>
      <c r="E542" s="61">
        <v>422.30829999999997</v>
      </c>
      <c r="F542" s="61">
        <v>15.699</v>
      </c>
      <c r="G542" s="61">
        <v>78.496200000000002</v>
      </c>
      <c r="H542" s="61">
        <v>94.834999999999994</v>
      </c>
    </row>
    <row r="543" spans="1:8" x14ac:dyDescent="0.15">
      <c r="A543" s="61" t="s">
        <v>11</v>
      </c>
      <c r="B543" s="61">
        <v>10005</v>
      </c>
      <c r="C543" s="61">
        <v>20</v>
      </c>
      <c r="D543" s="61">
        <v>4.7443999999999997</v>
      </c>
      <c r="E543" s="61">
        <v>422.1832</v>
      </c>
      <c r="F543" s="61">
        <v>15.695</v>
      </c>
      <c r="G543" s="61">
        <v>78.472999999999999</v>
      </c>
      <c r="H543" s="61">
        <v>94.858400000000003</v>
      </c>
    </row>
    <row r="544" spans="1:8" x14ac:dyDescent="0.15">
      <c r="A544" s="61" t="s">
        <v>11</v>
      </c>
      <c r="B544" s="61">
        <v>10005</v>
      </c>
      <c r="C544" s="61">
        <v>20</v>
      </c>
      <c r="D544" s="61">
        <v>4.7403000000000004</v>
      </c>
      <c r="E544" s="61">
        <v>422.54739999999998</v>
      </c>
      <c r="F544" s="61">
        <v>15.708</v>
      </c>
      <c r="G544" s="61">
        <v>78.540700000000001</v>
      </c>
      <c r="H544" s="61">
        <v>94.770499999999998</v>
      </c>
    </row>
    <row r="545" spans="1:8" x14ac:dyDescent="0.15">
      <c r="A545" s="61" t="s">
        <v>11</v>
      </c>
      <c r="B545" s="61">
        <v>10005</v>
      </c>
      <c r="C545" s="61">
        <v>20</v>
      </c>
      <c r="D545" s="61">
        <v>4.7374999999999998</v>
      </c>
      <c r="E545" s="61">
        <v>422.79349999999999</v>
      </c>
      <c r="F545" s="61">
        <v>15.717000000000001</v>
      </c>
      <c r="G545" s="61">
        <v>78.586399999999998</v>
      </c>
      <c r="H545" s="61">
        <v>94.723600000000005</v>
      </c>
    </row>
    <row r="546" spans="1:8" x14ac:dyDescent="0.15">
      <c r="A546" s="61" t="s">
        <v>11</v>
      </c>
      <c r="B546" s="61">
        <v>10005</v>
      </c>
      <c r="C546" s="61">
        <v>20</v>
      </c>
      <c r="D546" s="61">
        <v>4.7348999999999997</v>
      </c>
      <c r="E546" s="61">
        <v>423.0301</v>
      </c>
      <c r="F546" s="61">
        <v>15.726000000000001</v>
      </c>
      <c r="G546" s="61">
        <v>78.630399999999995</v>
      </c>
      <c r="H546" s="61">
        <v>94.696299999999994</v>
      </c>
    </row>
    <row r="547" spans="1:8" x14ac:dyDescent="0.15">
      <c r="A547" s="61" t="s">
        <v>11</v>
      </c>
      <c r="B547" s="61">
        <v>10010</v>
      </c>
      <c r="C547" s="61">
        <v>1</v>
      </c>
      <c r="D547" s="61">
        <v>73.696799999999996</v>
      </c>
      <c r="E547" s="61">
        <v>27.2197</v>
      </c>
      <c r="F547" s="61">
        <v>1</v>
      </c>
      <c r="G547" s="61">
        <v>100</v>
      </c>
      <c r="H547" s="61">
        <v>73.723799999999997</v>
      </c>
    </row>
    <row r="548" spans="1:8" x14ac:dyDescent="0.15">
      <c r="A548" s="61" t="s">
        <v>11</v>
      </c>
      <c r="B548" s="61">
        <v>10010</v>
      </c>
      <c r="C548" s="61">
        <v>1</v>
      </c>
      <c r="D548" s="61">
        <v>73.477500000000006</v>
      </c>
      <c r="E548" s="61">
        <v>27.300999999999998</v>
      </c>
      <c r="F548" s="61">
        <v>1.0029999999999999</v>
      </c>
      <c r="G548" s="61">
        <v>100.2985</v>
      </c>
      <c r="H548" s="61">
        <v>73.503799999999998</v>
      </c>
    </row>
    <row r="549" spans="1:8" x14ac:dyDescent="0.15">
      <c r="A549" s="61" t="s">
        <v>11</v>
      </c>
      <c r="B549" s="61">
        <v>10010</v>
      </c>
      <c r="C549" s="61">
        <v>1</v>
      </c>
      <c r="D549" s="61">
        <v>73.444800000000001</v>
      </c>
      <c r="E549" s="61">
        <v>27.313099999999999</v>
      </c>
      <c r="F549" s="61">
        <v>1.0029999999999999</v>
      </c>
      <c r="G549" s="61">
        <v>100.34310000000001</v>
      </c>
      <c r="H549" s="61">
        <v>73.470799999999997</v>
      </c>
    </row>
    <row r="550" spans="1:8" x14ac:dyDescent="0.15">
      <c r="A550" s="61" t="s">
        <v>11</v>
      </c>
      <c r="B550" s="61">
        <v>10010</v>
      </c>
      <c r="C550" s="61">
        <v>1</v>
      </c>
      <c r="D550" s="61">
        <v>73.464500000000001</v>
      </c>
      <c r="E550" s="61">
        <v>27.305800000000001</v>
      </c>
      <c r="F550" s="61">
        <v>1.0029999999999999</v>
      </c>
      <c r="G550" s="61">
        <v>100.31619999999999</v>
      </c>
      <c r="H550" s="61">
        <v>73.490799999999993</v>
      </c>
    </row>
    <row r="551" spans="1:8" x14ac:dyDescent="0.15">
      <c r="A551" s="61" t="s">
        <v>11</v>
      </c>
      <c r="B551" s="61">
        <v>10010</v>
      </c>
      <c r="C551" s="61">
        <v>1</v>
      </c>
      <c r="D551" s="61">
        <v>73.522199999999998</v>
      </c>
      <c r="E551" s="61">
        <v>27.284400000000002</v>
      </c>
      <c r="F551" s="61">
        <v>1.002</v>
      </c>
      <c r="G551" s="61">
        <v>100.23739999999999</v>
      </c>
      <c r="H551" s="61">
        <v>73.547799999999995</v>
      </c>
    </row>
    <row r="552" spans="1:8" x14ac:dyDescent="0.15">
      <c r="A552" s="61" t="s">
        <v>11</v>
      </c>
      <c r="B552" s="61">
        <v>10010</v>
      </c>
      <c r="C552" s="61">
        <v>1</v>
      </c>
      <c r="D552" s="61">
        <v>73.468500000000006</v>
      </c>
      <c r="E552" s="61">
        <v>27.304300000000001</v>
      </c>
      <c r="F552" s="61">
        <v>1.0029999999999999</v>
      </c>
      <c r="G552" s="61">
        <v>100.3107</v>
      </c>
      <c r="H552" s="61">
        <v>73.494799999999998</v>
      </c>
    </row>
    <row r="553" spans="1:8" x14ac:dyDescent="0.15">
      <c r="A553" s="61" t="s">
        <v>11</v>
      </c>
      <c r="B553" s="61">
        <v>10010</v>
      </c>
      <c r="C553" s="61">
        <v>19</v>
      </c>
      <c r="D553" s="61">
        <v>4.9188000000000001</v>
      </c>
      <c r="E553" s="61">
        <v>407.8218</v>
      </c>
      <c r="F553" s="61">
        <v>14.983000000000001</v>
      </c>
      <c r="G553" s="61">
        <v>78.855699999999999</v>
      </c>
      <c r="H553" s="61">
        <v>93.127799999999993</v>
      </c>
    </row>
    <row r="554" spans="1:8" x14ac:dyDescent="0.15">
      <c r="A554" s="61" t="s">
        <v>11</v>
      </c>
      <c r="B554" s="61">
        <v>10010</v>
      </c>
      <c r="C554" s="61">
        <v>19</v>
      </c>
      <c r="D554" s="61">
        <v>4.7613000000000003</v>
      </c>
      <c r="E554" s="61">
        <v>421.31139999999999</v>
      </c>
      <c r="F554" s="61">
        <v>15.478</v>
      </c>
      <c r="G554" s="61">
        <v>81.463999999999999</v>
      </c>
      <c r="H554" s="61">
        <v>90.463300000000004</v>
      </c>
    </row>
    <row r="555" spans="1:8" x14ac:dyDescent="0.15">
      <c r="A555" s="61" t="s">
        <v>11</v>
      </c>
      <c r="B555" s="61">
        <v>10010</v>
      </c>
      <c r="C555" s="61">
        <v>19</v>
      </c>
      <c r="D555" s="61">
        <v>4.7606999999999999</v>
      </c>
      <c r="E555" s="61">
        <v>421.36750000000001</v>
      </c>
      <c r="F555" s="61">
        <v>15.48</v>
      </c>
      <c r="G555" s="61">
        <v>81.474900000000005</v>
      </c>
      <c r="H555" s="61">
        <v>90.464200000000005</v>
      </c>
    </row>
    <row r="556" spans="1:8" x14ac:dyDescent="0.15">
      <c r="A556" s="61" t="s">
        <v>11</v>
      </c>
      <c r="B556" s="61">
        <v>10010</v>
      </c>
      <c r="C556" s="61">
        <v>19</v>
      </c>
      <c r="D556" s="61">
        <v>4.7611999999999997</v>
      </c>
      <c r="E556" s="61">
        <v>421.3193</v>
      </c>
      <c r="F556" s="61">
        <v>15.478</v>
      </c>
      <c r="G556" s="61">
        <v>81.465599999999995</v>
      </c>
      <c r="H556" s="61">
        <v>90.471299999999999</v>
      </c>
    </row>
    <row r="557" spans="1:8" x14ac:dyDescent="0.15">
      <c r="A557" s="61" t="s">
        <v>11</v>
      </c>
      <c r="B557" s="61">
        <v>10010</v>
      </c>
      <c r="C557" s="61">
        <v>19</v>
      </c>
      <c r="D557" s="61">
        <v>4.8220000000000001</v>
      </c>
      <c r="E557" s="61">
        <v>416.01249999999999</v>
      </c>
      <c r="F557" s="61">
        <v>15.282999999999999</v>
      </c>
      <c r="G557" s="61">
        <v>80.439400000000006</v>
      </c>
      <c r="H557" s="61">
        <v>91.627099999999999</v>
      </c>
    </row>
    <row r="558" spans="1:8" x14ac:dyDescent="0.15">
      <c r="A558" s="61" t="s">
        <v>11</v>
      </c>
      <c r="B558" s="61">
        <v>10010</v>
      </c>
      <c r="C558" s="61">
        <v>19</v>
      </c>
      <c r="D558" s="61">
        <v>4.9150999999999998</v>
      </c>
      <c r="E558" s="61">
        <v>408.1293</v>
      </c>
      <c r="F558" s="61">
        <v>14.994</v>
      </c>
      <c r="G558" s="61">
        <v>78.915199999999999</v>
      </c>
      <c r="H558" s="61">
        <v>93.390699999999995</v>
      </c>
    </row>
    <row r="559" spans="1:8" x14ac:dyDescent="0.15">
      <c r="A559" s="61" t="s">
        <v>11</v>
      </c>
      <c r="B559" s="61">
        <v>10010</v>
      </c>
      <c r="C559" s="61">
        <v>19</v>
      </c>
      <c r="D559" s="61">
        <v>4.9241000000000001</v>
      </c>
      <c r="E559" s="61">
        <v>407.38339999999999</v>
      </c>
      <c r="F559" s="61">
        <v>14.965999999999999</v>
      </c>
      <c r="G559" s="61">
        <v>78.770899999999997</v>
      </c>
      <c r="H559" s="61">
        <v>93.569800000000001</v>
      </c>
    </row>
    <row r="560" spans="1:8" x14ac:dyDescent="0.15">
      <c r="A560" s="61" t="s">
        <v>11</v>
      </c>
      <c r="B560" s="61">
        <v>10010</v>
      </c>
      <c r="C560" s="61">
        <v>19</v>
      </c>
      <c r="D560" s="61">
        <v>4.9210000000000003</v>
      </c>
      <c r="E560" s="61">
        <v>407.64229999999998</v>
      </c>
      <c r="F560" s="61">
        <v>14.976000000000001</v>
      </c>
      <c r="G560" s="61">
        <v>78.820999999999998</v>
      </c>
      <c r="H560" s="61">
        <v>93.506699999999995</v>
      </c>
    </row>
    <row r="561" spans="1:8" x14ac:dyDescent="0.15">
      <c r="A561" s="61" t="s">
        <v>11</v>
      </c>
      <c r="B561" s="61">
        <v>10010</v>
      </c>
      <c r="C561" s="61">
        <v>19</v>
      </c>
      <c r="D561" s="61">
        <v>4.9204999999999997</v>
      </c>
      <c r="E561" s="61">
        <v>407.68060000000003</v>
      </c>
      <c r="F561" s="61">
        <v>14.977</v>
      </c>
      <c r="G561" s="61">
        <v>78.828400000000002</v>
      </c>
      <c r="H561" s="61">
        <v>93.501800000000003</v>
      </c>
    </row>
    <row r="562" spans="1:8" x14ac:dyDescent="0.15">
      <c r="A562" s="61" t="s">
        <v>11</v>
      </c>
      <c r="B562" s="61">
        <v>10010</v>
      </c>
      <c r="C562" s="61">
        <v>19</v>
      </c>
      <c r="D562" s="61">
        <v>4.9425999999999997</v>
      </c>
      <c r="E562" s="61">
        <v>405.86340000000001</v>
      </c>
      <c r="F562" s="61">
        <v>14.911</v>
      </c>
      <c r="G562" s="61">
        <v>78.477000000000004</v>
      </c>
      <c r="H562" s="61">
        <v>93.910799999999995</v>
      </c>
    </row>
    <row r="563" spans="1:8" x14ac:dyDescent="0.15">
      <c r="A563" s="61" t="s">
        <v>11</v>
      </c>
      <c r="B563" s="61">
        <v>10010</v>
      </c>
      <c r="C563" s="61">
        <v>19</v>
      </c>
      <c r="D563" s="61">
        <v>4.9810999999999996</v>
      </c>
      <c r="E563" s="61">
        <v>402.7253</v>
      </c>
      <c r="F563" s="61">
        <v>14.795</v>
      </c>
      <c r="G563" s="61">
        <v>77.870199999999997</v>
      </c>
      <c r="H563" s="61">
        <v>94.645600000000002</v>
      </c>
    </row>
    <row r="564" spans="1:8" x14ac:dyDescent="0.15">
      <c r="A564" s="61" t="s">
        <v>11</v>
      </c>
      <c r="B564" s="61">
        <v>10010</v>
      </c>
      <c r="C564" s="61">
        <v>19</v>
      </c>
      <c r="D564" s="61">
        <v>4.9871999999999996</v>
      </c>
      <c r="E564" s="61">
        <v>402.23219999999998</v>
      </c>
      <c r="F564" s="61">
        <v>14.776999999999999</v>
      </c>
      <c r="G564" s="61">
        <v>77.774900000000002</v>
      </c>
      <c r="H564" s="61">
        <v>94.763499999999993</v>
      </c>
    </row>
    <row r="565" spans="1:8" x14ac:dyDescent="0.15">
      <c r="A565" s="61" t="s">
        <v>11</v>
      </c>
      <c r="B565" s="61">
        <v>10010</v>
      </c>
      <c r="C565" s="61">
        <v>19</v>
      </c>
      <c r="D565" s="61">
        <v>4.9852999999999996</v>
      </c>
      <c r="E565" s="61">
        <v>402.387</v>
      </c>
      <c r="F565" s="61">
        <v>14.782999999999999</v>
      </c>
      <c r="G565" s="61">
        <v>77.8048</v>
      </c>
      <c r="H565" s="61">
        <v>94.727699999999999</v>
      </c>
    </row>
    <row r="566" spans="1:8" x14ac:dyDescent="0.15">
      <c r="A566" s="61" t="s">
        <v>11</v>
      </c>
      <c r="B566" s="61">
        <v>10010</v>
      </c>
      <c r="C566" s="61">
        <v>19</v>
      </c>
      <c r="D566" s="61">
        <v>4.9752999999999998</v>
      </c>
      <c r="E566" s="61">
        <v>403.19009999999997</v>
      </c>
      <c r="F566" s="61">
        <v>14.811999999999999</v>
      </c>
      <c r="G566" s="61">
        <v>77.960099999999997</v>
      </c>
      <c r="H566" s="61">
        <v>94.539599999999993</v>
      </c>
    </row>
    <row r="567" spans="1:8" x14ac:dyDescent="0.15">
      <c r="A567" s="61" t="s">
        <v>11</v>
      </c>
      <c r="B567" s="61">
        <v>10010</v>
      </c>
      <c r="C567" s="61">
        <v>19</v>
      </c>
      <c r="D567" s="61">
        <v>4.9785000000000004</v>
      </c>
      <c r="E567" s="61">
        <v>402.93060000000003</v>
      </c>
      <c r="F567" s="61">
        <v>14.803000000000001</v>
      </c>
      <c r="G567" s="61">
        <v>77.909899999999993</v>
      </c>
      <c r="H567" s="61">
        <v>94.601699999999994</v>
      </c>
    </row>
    <row r="568" spans="1:8" x14ac:dyDescent="0.15">
      <c r="A568" s="61" t="s">
        <v>11</v>
      </c>
      <c r="B568" s="61">
        <v>10010</v>
      </c>
      <c r="C568" s="61">
        <v>19</v>
      </c>
      <c r="D568" s="61">
        <v>4.9820000000000002</v>
      </c>
      <c r="E568" s="61">
        <v>402.65390000000002</v>
      </c>
      <c r="F568" s="61">
        <v>14.792999999999999</v>
      </c>
      <c r="G568" s="61">
        <v>77.856399999999994</v>
      </c>
      <c r="H568" s="61">
        <v>94.664599999999993</v>
      </c>
    </row>
    <row r="569" spans="1:8" x14ac:dyDescent="0.15">
      <c r="A569" s="61" t="s">
        <v>11</v>
      </c>
      <c r="B569" s="61">
        <v>10010</v>
      </c>
      <c r="C569" s="61">
        <v>19</v>
      </c>
      <c r="D569" s="61">
        <v>4.9817999999999998</v>
      </c>
      <c r="E569" s="61">
        <v>402.66879999999998</v>
      </c>
      <c r="F569" s="61">
        <v>14.792999999999999</v>
      </c>
      <c r="G569" s="61">
        <v>77.859300000000005</v>
      </c>
      <c r="H569" s="61">
        <v>94.654700000000005</v>
      </c>
    </row>
    <row r="570" spans="1:8" x14ac:dyDescent="0.15">
      <c r="A570" s="61" t="s">
        <v>11</v>
      </c>
      <c r="B570" s="61">
        <v>10010</v>
      </c>
      <c r="C570" s="61">
        <v>19</v>
      </c>
      <c r="D570" s="61">
        <v>4.9859</v>
      </c>
      <c r="E570" s="61">
        <v>402.33940000000001</v>
      </c>
      <c r="F570" s="61">
        <v>14.781000000000001</v>
      </c>
      <c r="G570" s="61">
        <v>77.795599999999993</v>
      </c>
      <c r="H570" s="61">
        <v>94.737499999999997</v>
      </c>
    </row>
    <row r="571" spans="1:8" x14ac:dyDescent="0.15">
      <c r="A571" s="61" t="s">
        <v>11</v>
      </c>
      <c r="B571" s="61">
        <v>10010</v>
      </c>
      <c r="C571" s="61">
        <v>19</v>
      </c>
      <c r="D571" s="61">
        <v>4.9890999999999996</v>
      </c>
      <c r="E571" s="61">
        <v>402.07799999999997</v>
      </c>
      <c r="F571" s="61">
        <v>14.772</v>
      </c>
      <c r="G571" s="61">
        <v>77.745099999999994</v>
      </c>
      <c r="H571" s="61">
        <v>94.802499999999995</v>
      </c>
    </row>
    <row r="572" spans="1:8" x14ac:dyDescent="0.15">
      <c r="A572" s="61" t="s">
        <v>11</v>
      </c>
      <c r="B572" s="61">
        <v>10010</v>
      </c>
      <c r="C572" s="61">
        <v>19</v>
      </c>
      <c r="D572" s="61">
        <v>4.9926000000000004</v>
      </c>
      <c r="E572" s="61">
        <v>401.79809999999998</v>
      </c>
      <c r="F572" s="61">
        <v>14.760999999999999</v>
      </c>
      <c r="G572" s="61">
        <v>77.691000000000003</v>
      </c>
      <c r="H572" s="61">
        <v>94.854699999999994</v>
      </c>
    </row>
    <row r="573" spans="1:8" x14ac:dyDescent="0.15">
      <c r="A573" s="61" t="s">
        <v>11</v>
      </c>
      <c r="B573" s="61">
        <v>10010</v>
      </c>
      <c r="C573" s="61">
        <v>19</v>
      </c>
      <c r="D573" s="61">
        <v>4.9954999999999998</v>
      </c>
      <c r="E573" s="61">
        <v>401.55900000000003</v>
      </c>
      <c r="F573" s="61">
        <v>14.752000000000001</v>
      </c>
      <c r="G573" s="61">
        <v>77.6447</v>
      </c>
      <c r="H573" s="61">
        <v>94.916499999999999</v>
      </c>
    </row>
    <row r="574" spans="1:8" x14ac:dyDescent="0.15">
      <c r="A574" s="61" t="s">
        <v>11</v>
      </c>
      <c r="B574" s="61">
        <v>10010</v>
      </c>
      <c r="C574" s="61">
        <v>19</v>
      </c>
      <c r="D574" s="61">
        <v>4.9943999999999997</v>
      </c>
      <c r="E574" s="61">
        <v>401.65190000000001</v>
      </c>
      <c r="F574" s="61">
        <v>14.756</v>
      </c>
      <c r="G574" s="61">
        <v>77.662700000000001</v>
      </c>
      <c r="H574" s="61">
        <v>94.901600000000002</v>
      </c>
    </row>
    <row r="575" spans="1:8" x14ac:dyDescent="0.15">
      <c r="A575" s="61" t="s">
        <v>11</v>
      </c>
      <c r="B575" s="61">
        <v>10010</v>
      </c>
      <c r="C575" s="61">
        <v>19</v>
      </c>
      <c r="D575" s="61">
        <v>4.9950000000000001</v>
      </c>
      <c r="E575" s="61">
        <v>401.6026</v>
      </c>
      <c r="F575" s="61">
        <v>14.754</v>
      </c>
      <c r="G575" s="61">
        <v>77.653199999999998</v>
      </c>
      <c r="H575" s="61">
        <v>94.915499999999994</v>
      </c>
    </row>
    <row r="576" spans="1:8" x14ac:dyDescent="0.15">
      <c r="A576" s="61" t="s">
        <v>11</v>
      </c>
      <c r="B576" s="61">
        <v>10010</v>
      </c>
      <c r="C576" s="61">
        <v>19</v>
      </c>
      <c r="D576" s="61">
        <v>4.9996999999999998</v>
      </c>
      <c r="E576" s="61">
        <v>401.2226</v>
      </c>
      <c r="F576" s="61">
        <v>14.74</v>
      </c>
      <c r="G576" s="61">
        <v>77.579700000000003</v>
      </c>
      <c r="H576" s="61">
        <v>95.003699999999995</v>
      </c>
    </row>
    <row r="577" spans="1:8" x14ac:dyDescent="0.15">
      <c r="A577" s="61" t="s">
        <v>11</v>
      </c>
      <c r="B577" s="61">
        <v>10010</v>
      </c>
      <c r="C577" s="61">
        <v>19</v>
      </c>
      <c r="D577" s="61">
        <v>5.0022000000000002</v>
      </c>
      <c r="E577" s="61">
        <v>401.02140000000003</v>
      </c>
      <c r="F577" s="61">
        <v>14.733000000000001</v>
      </c>
      <c r="G577" s="61">
        <v>77.540800000000004</v>
      </c>
      <c r="H577" s="61">
        <v>95.0535</v>
      </c>
    </row>
    <row r="578" spans="1:8" x14ac:dyDescent="0.15">
      <c r="A578" s="61" t="s">
        <v>11</v>
      </c>
      <c r="B578" s="61">
        <v>10010</v>
      </c>
      <c r="C578" s="61">
        <v>19</v>
      </c>
      <c r="D578" s="61">
        <v>5.0049000000000001</v>
      </c>
      <c r="E578" s="61">
        <v>400.80939999999998</v>
      </c>
      <c r="F578" s="61">
        <v>14.725</v>
      </c>
      <c r="G578" s="61">
        <v>77.499799999999993</v>
      </c>
      <c r="H578" s="61">
        <v>95.102500000000006</v>
      </c>
    </row>
    <row r="579" spans="1:8" x14ac:dyDescent="0.15">
      <c r="A579" s="61" t="s">
        <v>11</v>
      </c>
      <c r="B579" s="61">
        <v>10010</v>
      </c>
      <c r="C579" s="61">
        <v>19</v>
      </c>
      <c r="D579" s="61">
        <v>5.0007999999999999</v>
      </c>
      <c r="E579" s="61">
        <v>401.13479999999998</v>
      </c>
      <c r="F579" s="61">
        <v>14.737</v>
      </c>
      <c r="G579" s="61">
        <v>77.562700000000007</v>
      </c>
      <c r="H579" s="61">
        <v>95.025599999999997</v>
      </c>
    </row>
    <row r="580" spans="1:8" x14ac:dyDescent="0.15">
      <c r="A580" s="61" t="s">
        <v>11</v>
      </c>
      <c r="B580" s="61">
        <v>10010</v>
      </c>
      <c r="C580" s="61">
        <v>19</v>
      </c>
      <c r="D580" s="61">
        <v>4.9939</v>
      </c>
      <c r="E580" s="61">
        <v>401.69110000000001</v>
      </c>
      <c r="F580" s="61">
        <v>14.757</v>
      </c>
      <c r="G580" s="61">
        <v>77.670299999999997</v>
      </c>
      <c r="H580" s="61">
        <v>94.893600000000006</v>
      </c>
    </row>
    <row r="581" spans="1:8" x14ac:dyDescent="0.15">
      <c r="A581" s="61" t="s">
        <v>11</v>
      </c>
      <c r="B581" s="61">
        <v>10010</v>
      </c>
      <c r="C581" s="61">
        <v>19</v>
      </c>
      <c r="D581" s="61">
        <v>4.9905999999999997</v>
      </c>
      <c r="E581" s="61">
        <v>401.95769999999999</v>
      </c>
      <c r="F581" s="61">
        <v>14.766999999999999</v>
      </c>
      <c r="G581" s="61">
        <v>77.721800000000002</v>
      </c>
      <c r="H581" s="61">
        <v>94.822500000000005</v>
      </c>
    </row>
    <row r="582" spans="1:8" x14ac:dyDescent="0.15">
      <c r="A582" s="61" t="s">
        <v>11</v>
      </c>
      <c r="B582" s="61">
        <v>10010</v>
      </c>
      <c r="C582" s="61">
        <v>19</v>
      </c>
      <c r="D582" s="61">
        <v>4.9924999999999997</v>
      </c>
      <c r="E582" s="61">
        <v>401.8039</v>
      </c>
      <c r="F582" s="61">
        <v>14.760999999999999</v>
      </c>
      <c r="G582" s="61">
        <v>77.692099999999996</v>
      </c>
      <c r="H582" s="61">
        <v>94.865700000000004</v>
      </c>
    </row>
    <row r="583" spans="1:8" x14ac:dyDescent="0.15">
      <c r="A583" s="61" t="s">
        <v>11</v>
      </c>
      <c r="B583" s="61">
        <v>10010</v>
      </c>
      <c r="C583" s="61">
        <v>19</v>
      </c>
      <c r="D583" s="61">
        <v>4.9927000000000001</v>
      </c>
      <c r="E583" s="61">
        <v>401.78640000000001</v>
      </c>
      <c r="F583" s="61">
        <v>14.760999999999999</v>
      </c>
      <c r="G583" s="61">
        <v>77.688699999999997</v>
      </c>
      <c r="H583" s="61">
        <v>94.870400000000004</v>
      </c>
    </row>
    <row r="584" spans="1:8" x14ac:dyDescent="0.15">
      <c r="A584" s="61" t="s">
        <v>11</v>
      </c>
      <c r="B584" s="61">
        <v>10010</v>
      </c>
      <c r="C584" s="61">
        <v>19</v>
      </c>
      <c r="D584" s="61">
        <v>4.9962</v>
      </c>
      <c r="E584" s="61">
        <v>401.50310000000002</v>
      </c>
      <c r="F584" s="61">
        <v>14.75</v>
      </c>
      <c r="G584" s="61">
        <v>77.633899999999997</v>
      </c>
      <c r="H584" s="61">
        <v>94.937700000000007</v>
      </c>
    </row>
    <row r="585" spans="1:8" x14ac:dyDescent="0.15">
      <c r="A585" s="61" t="s">
        <v>11</v>
      </c>
      <c r="B585" s="61">
        <v>10010</v>
      </c>
      <c r="C585" s="61">
        <v>19</v>
      </c>
      <c r="D585" s="61">
        <v>4.9981999999999998</v>
      </c>
      <c r="E585" s="61">
        <v>401.34899999999999</v>
      </c>
      <c r="F585" s="61">
        <v>14.744999999999999</v>
      </c>
      <c r="G585" s="61">
        <v>77.604100000000003</v>
      </c>
      <c r="H585" s="61">
        <v>94.972399999999993</v>
      </c>
    </row>
    <row r="586" spans="1:8" x14ac:dyDescent="0.15">
      <c r="A586" s="61" t="s">
        <v>11</v>
      </c>
      <c r="B586" s="61">
        <v>10010</v>
      </c>
      <c r="C586" s="61">
        <v>19</v>
      </c>
      <c r="D586" s="61">
        <v>4.9992999999999999</v>
      </c>
      <c r="E586" s="61">
        <v>401.26049999999998</v>
      </c>
      <c r="F586" s="61">
        <v>14.742000000000001</v>
      </c>
      <c r="G586" s="61">
        <v>77.587000000000003</v>
      </c>
      <c r="H586" s="61">
        <v>94.988500000000002</v>
      </c>
    </row>
    <row r="587" spans="1:8" x14ac:dyDescent="0.15">
      <c r="A587" s="61" t="s">
        <v>11</v>
      </c>
      <c r="B587" s="61">
        <v>10010</v>
      </c>
      <c r="C587" s="61">
        <v>19</v>
      </c>
      <c r="D587" s="61">
        <v>5.0008999999999997</v>
      </c>
      <c r="E587" s="61">
        <v>401.12540000000001</v>
      </c>
      <c r="F587" s="61">
        <v>14.737</v>
      </c>
      <c r="G587" s="61">
        <v>77.560900000000004</v>
      </c>
      <c r="H587" s="61">
        <v>95.026600000000002</v>
      </c>
    </row>
    <row r="588" spans="1:8" x14ac:dyDescent="0.15">
      <c r="A588" s="61" t="s">
        <v>11</v>
      </c>
      <c r="B588" s="61">
        <v>10010</v>
      </c>
      <c r="C588" s="61">
        <v>19</v>
      </c>
      <c r="D588" s="61">
        <v>5.0012999999999996</v>
      </c>
      <c r="E588" s="61">
        <v>401.09890000000001</v>
      </c>
      <c r="F588" s="61">
        <v>14.736000000000001</v>
      </c>
      <c r="G588" s="61">
        <v>77.555800000000005</v>
      </c>
      <c r="H588" s="61">
        <v>95.032700000000006</v>
      </c>
    </row>
    <row r="589" spans="1:8" x14ac:dyDescent="0.15">
      <c r="A589" s="61" t="s">
        <v>11</v>
      </c>
      <c r="B589" s="61">
        <v>10010</v>
      </c>
      <c r="C589" s="61">
        <v>19</v>
      </c>
      <c r="D589" s="61">
        <v>5.0029000000000003</v>
      </c>
      <c r="E589" s="61">
        <v>400.96890000000002</v>
      </c>
      <c r="F589" s="61">
        <v>14.731</v>
      </c>
      <c r="G589" s="61">
        <v>77.530600000000007</v>
      </c>
      <c r="H589" s="61">
        <v>95.063500000000005</v>
      </c>
    </row>
    <row r="590" spans="1:8" x14ac:dyDescent="0.15">
      <c r="A590" s="61" t="s">
        <v>11</v>
      </c>
      <c r="B590" s="61">
        <v>10010</v>
      </c>
      <c r="C590" s="61">
        <v>19</v>
      </c>
      <c r="D590" s="61">
        <v>5.0057999999999998</v>
      </c>
      <c r="E590" s="61">
        <v>400.73759999999999</v>
      </c>
      <c r="F590" s="61">
        <v>14.722</v>
      </c>
      <c r="G590" s="61">
        <v>77.485900000000001</v>
      </c>
      <c r="H590" s="61">
        <v>95.115499999999997</v>
      </c>
    </row>
    <row r="591" spans="1:8" x14ac:dyDescent="0.15">
      <c r="A591" s="61" t="s">
        <v>11</v>
      </c>
      <c r="B591" s="61">
        <v>10010</v>
      </c>
      <c r="C591" s="61">
        <v>19</v>
      </c>
      <c r="D591" s="61">
        <v>5.0061</v>
      </c>
      <c r="E591" s="61">
        <v>400.71379999999999</v>
      </c>
      <c r="F591" s="61">
        <v>14.721</v>
      </c>
      <c r="G591" s="61">
        <v>77.481300000000005</v>
      </c>
      <c r="H591" s="61">
        <v>95.126499999999993</v>
      </c>
    </row>
    <row r="592" spans="1:8" x14ac:dyDescent="0.15">
      <c r="A592" s="61" t="s">
        <v>11</v>
      </c>
      <c r="B592" s="61">
        <v>10010</v>
      </c>
      <c r="C592" s="61">
        <v>19</v>
      </c>
      <c r="D592" s="61">
        <v>5.0083000000000002</v>
      </c>
      <c r="E592" s="61">
        <v>400.5342</v>
      </c>
      <c r="F592" s="61">
        <v>14.715</v>
      </c>
      <c r="G592" s="61">
        <v>77.446600000000004</v>
      </c>
      <c r="H592" s="61">
        <v>95.166499999999999</v>
      </c>
    </row>
    <row r="593" spans="1:8" x14ac:dyDescent="0.15">
      <c r="A593" s="61" t="s">
        <v>11</v>
      </c>
      <c r="B593" s="61">
        <v>10010</v>
      </c>
      <c r="C593" s="61">
        <v>19</v>
      </c>
      <c r="D593" s="61">
        <v>5.0103999999999997</v>
      </c>
      <c r="E593" s="61">
        <v>400.37189999999998</v>
      </c>
      <c r="F593" s="61">
        <v>14.709</v>
      </c>
      <c r="G593" s="61">
        <v>77.415199999999999</v>
      </c>
      <c r="H593" s="61">
        <v>95.196799999999996</v>
      </c>
    </row>
    <row r="594" spans="1:8" x14ac:dyDescent="0.15">
      <c r="A594" s="61" t="s">
        <v>11</v>
      </c>
      <c r="B594" s="61">
        <v>10010</v>
      </c>
      <c r="C594" s="61">
        <v>19</v>
      </c>
      <c r="D594" s="61">
        <v>5.0113000000000003</v>
      </c>
      <c r="E594" s="61">
        <v>400.29340000000002</v>
      </c>
      <c r="F594" s="61">
        <v>14.706</v>
      </c>
      <c r="G594" s="61">
        <v>77.400000000000006</v>
      </c>
      <c r="H594" s="61">
        <v>95.223600000000005</v>
      </c>
    </row>
    <row r="595" spans="1:8" x14ac:dyDescent="0.15">
      <c r="A595" s="61" t="s">
        <v>11</v>
      </c>
      <c r="B595" s="61">
        <v>10010</v>
      </c>
      <c r="C595" s="61">
        <v>19</v>
      </c>
      <c r="D595" s="61">
        <v>5.0122</v>
      </c>
      <c r="E595" s="61">
        <v>400.22370000000001</v>
      </c>
      <c r="F595" s="61">
        <v>14.702999999999999</v>
      </c>
      <c r="G595" s="61">
        <v>77.386499999999998</v>
      </c>
      <c r="H595" s="61">
        <v>95.240200000000002</v>
      </c>
    </row>
    <row r="596" spans="1:8" x14ac:dyDescent="0.15">
      <c r="A596" s="61" t="s">
        <v>11</v>
      </c>
      <c r="B596" s="61">
        <v>10010</v>
      </c>
      <c r="C596" s="61">
        <v>19</v>
      </c>
      <c r="D596" s="61">
        <v>5.0130999999999997</v>
      </c>
      <c r="E596" s="61">
        <v>400.15499999999997</v>
      </c>
      <c r="F596" s="61">
        <v>14.701000000000001</v>
      </c>
      <c r="G596" s="61">
        <v>77.3733</v>
      </c>
      <c r="H596" s="61">
        <v>95.258799999999994</v>
      </c>
    </row>
    <row r="597" spans="1:8" x14ac:dyDescent="0.15">
      <c r="A597" s="61" t="s">
        <v>11</v>
      </c>
      <c r="B597" s="61">
        <v>10010</v>
      </c>
      <c r="C597" s="61">
        <v>19</v>
      </c>
      <c r="D597" s="61">
        <v>5.0133999999999999</v>
      </c>
      <c r="E597" s="61">
        <v>400.1293</v>
      </c>
      <c r="F597" s="61">
        <v>14.7</v>
      </c>
      <c r="G597" s="61">
        <v>77.368300000000005</v>
      </c>
      <c r="H597" s="61">
        <v>95.262200000000007</v>
      </c>
    </row>
    <row r="598" spans="1:8" x14ac:dyDescent="0.15">
      <c r="A598" s="61" t="s">
        <v>11</v>
      </c>
      <c r="B598" s="61">
        <v>10010</v>
      </c>
      <c r="C598" s="61">
        <v>19</v>
      </c>
      <c r="D598" s="61">
        <v>5.0133999999999999</v>
      </c>
      <c r="E598" s="61">
        <v>400.13049999999998</v>
      </c>
      <c r="F598" s="61">
        <v>14.7</v>
      </c>
      <c r="G598" s="61">
        <v>77.368499999999997</v>
      </c>
      <c r="H598" s="61">
        <v>95.262699999999995</v>
      </c>
    </row>
    <row r="599" spans="1:8" x14ac:dyDescent="0.15">
      <c r="A599" s="61" t="s">
        <v>11</v>
      </c>
      <c r="B599" s="61">
        <v>10010</v>
      </c>
      <c r="C599" s="61">
        <v>19</v>
      </c>
      <c r="D599" s="61">
        <v>5.0141999999999998</v>
      </c>
      <c r="E599" s="61">
        <v>400.06740000000002</v>
      </c>
      <c r="F599" s="61">
        <v>14.698</v>
      </c>
      <c r="G599" s="61">
        <v>77.356300000000005</v>
      </c>
      <c r="H599" s="61">
        <v>95.276399999999995</v>
      </c>
    </row>
    <row r="600" spans="1:8" x14ac:dyDescent="0.15">
      <c r="A600" s="61" t="s">
        <v>11</v>
      </c>
      <c r="B600" s="61">
        <v>10010</v>
      </c>
      <c r="C600" s="61">
        <v>19</v>
      </c>
      <c r="D600" s="61">
        <v>5.0144000000000002</v>
      </c>
      <c r="E600" s="61">
        <v>400.04520000000002</v>
      </c>
      <c r="F600" s="61">
        <v>14.696999999999999</v>
      </c>
      <c r="G600" s="61">
        <v>77.352000000000004</v>
      </c>
      <c r="H600" s="61">
        <v>95.284700000000001</v>
      </c>
    </row>
    <row r="601" spans="1:8" x14ac:dyDescent="0.15">
      <c r="A601" s="61" t="s">
        <v>11</v>
      </c>
      <c r="B601" s="61">
        <v>10010</v>
      </c>
      <c r="C601" s="61">
        <v>19</v>
      </c>
      <c r="D601" s="61">
        <v>5.0155000000000003</v>
      </c>
      <c r="E601" s="61">
        <v>399.96100000000001</v>
      </c>
      <c r="F601" s="61">
        <v>14.694000000000001</v>
      </c>
      <c r="G601" s="61">
        <v>77.335700000000003</v>
      </c>
      <c r="H601" s="61">
        <v>95.303200000000004</v>
      </c>
    </row>
    <row r="602" spans="1:8" x14ac:dyDescent="0.15">
      <c r="A602" s="61" t="s">
        <v>11</v>
      </c>
      <c r="B602" s="61">
        <v>10010</v>
      </c>
      <c r="C602" s="61">
        <v>19</v>
      </c>
      <c r="D602" s="61">
        <v>5.0155000000000003</v>
      </c>
      <c r="E602" s="61">
        <v>399.96339999999998</v>
      </c>
      <c r="F602" s="61">
        <v>14.694000000000001</v>
      </c>
      <c r="G602" s="61">
        <v>77.336200000000005</v>
      </c>
      <c r="H602" s="61">
        <v>95.300799999999995</v>
      </c>
    </row>
    <row r="603" spans="1:8" x14ac:dyDescent="0.15">
      <c r="A603" s="61" t="s">
        <v>11</v>
      </c>
      <c r="B603" s="61">
        <v>10010</v>
      </c>
      <c r="C603" s="61">
        <v>19</v>
      </c>
      <c r="D603" s="61">
        <v>5.0155000000000003</v>
      </c>
      <c r="E603" s="61">
        <v>399.96390000000002</v>
      </c>
      <c r="F603" s="61">
        <v>14.694000000000001</v>
      </c>
      <c r="G603" s="61">
        <v>77.336299999999994</v>
      </c>
      <c r="H603" s="61">
        <v>95.301299999999998</v>
      </c>
    </row>
    <row r="604" spans="1:8" x14ac:dyDescent="0.15">
      <c r="A604" s="61" t="s">
        <v>11</v>
      </c>
      <c r="B604" s="61">
        <v>10010</v>
      </c>
      <c r="C604" s="61">
        <v>20</v>
      </c>
      <c r="D604" s="61">
        <v>4.7210000000000001</v>
      </c>
      <c r="E604" s="61">
        <v>424.91500000000002</v>
      </c>
      <c r="F604" s="61">
        <v>15.611000000000001</v>
      </c>
      <c r="G604" s="61">
        <v>78.052800000000005</v>
      </c>
      <c r="H604" s="61">
        <v>94.418000000000006</v>
      </c>
    </row>
    <row r="605" spans="1:8" x14ac:dyDescent="0.15">
      <c r="A605" s="61" t="s">
        <v>11</v>
      </c>
      <c r="B605" s="61">
        <v>10010</v>
      </c>
      <c r="C605" s="61">
        <v>20</v>
      </c>
      <c r="D605" s="61">
        <v>4.7217000000000002</v>
      </c>
      <c r="E605" s="61">
        <v>424.85180000000003</v>
      </c>
      <c r="F605" s="61">
        <v>15.608000000000001</v>
      </c>
      <c r="G605" s="61">
        <v>78.041200000000003</v>
      </c>
      <c r="H605" s="61">
        <v>94.396500000000003</v>
      </c>
    </row>
    <row r="606" spans="1:8" x14ac:dyDescent="0.15">
      <c r="A606" s="61" t="s">
        <v>11</v>
      </c>
      <c r="B606" s="61">
        <v>10010</v>
      </c>
      <c r="C606" s="61">
        <v>20</v>
      </c>
      <c r="D606" s="61">
        <v>4.7233999999999998</v>
      </c>
      <c r="E606" s="61">
        <v>424.69600000000003</v>
      </c>
      <c r="F606" s="61">
        <v>15.603</v>
      </c>
      <c r="G606" s="61">
        <v>78.012500000000003</v>
      </c>
      <c r="H606" s="61">
        <v>94.430700000000002</v>
      </c>
    </row>
    <row r="607" spans="1:8" x14ac:dyDescent="0.15">
      <c r="A607" s="61" t="s">
        <v>11</v>
      </c>
      <c r="B607" s="61">
        <v>10010</v>
      </c>
      <c r="C607" s="61">
        <v>20</v>
      </c>
      <c r="D607" s="61">
        <v>4.7222999999999997</v>
      </c>
      <c r="E607" s="61">
        <v>424.79599999999999</v>
      </c>
      <c r="F607" s="61">
        <v>15.606</v>
      </c>
      <c r="G607" s="61">
        <v>78.030900000000003</v>
      </c>
      <c r="H607" s="61">
        <v>94.416499999999999</v>
      </c>
    </row>
    <row r="608" spans="1:8" x14ac:dyDescent="0.15">
      <c r="A608" s="61" t="s">
        <v>11</v>
      </c>
      <c r="B608" s="61">
        <v>10010</v>
      </c>
      <c r="C608" s="61">
        <v>20</v>
      </c>
      <c r="D608" s="61">
        <v>4.7233000000000001</v>
      </c>
      <c r="E608" s="61">
        <v>424.70670000000001</v>
      </c>
      <c r="F608" s="61">
        <v>15.603</v>
      </c>
      <c r="G608" s="61">
        <v>78.014499999999998</v>
      </c>
      <c r="H608" s="61">
        <v>94.4268</v>
      </c>
    </row>
    <row r="609" spans="1:8" x14ac:dyDescent="0.15">
      <c r="A609" s="61" t="s">
        <v>11</v>
      </c>
      <c r="B609" s="61">
        <v>10010</v>
      </c>
      <c r="C609" s="61">
        <v>20</v>
      </c>
      <c r="D609" s="61">
        <v>4.7244000000000002</v>
      </c>
      <c r="E609" s="61">
        <v>424.60469999999998</v>
      </c>
      <c r="F609" s="61">
        <v>15.599</v>
      </c>
      <c r="G609" s="61">
        <v>77.995800000000003</v>
      </c>
      <c r="H609" s="61">
        <v>94.446799999999996</v>
      </c>
    </row>
    <row r="610" spans="1:8" x14ac:dyDescent="0.15">
      <c r="A610" s="61" t="s">
        <v>11</v>
      </c>
      <c r="B610" s="61">
        <v>10010</v>
      </c>
      <c r="C610" s="61">
        <v>20</v>
      </c>
      <c r="D610" s="61">
        <v>4.7230999999999996</v>
      </c>
      <c r="E610" s="61">
        <v>424.72199999999998</v>
      </c>
      <c r="F610" s="61">
        <v>15.603</v>
      </c>
      <c r="G610" s="61">
        <v>78.017300000000006</v>
      </c>
      <c r="H610" s="61">
        <v>94.420400000000001</v>
      </c>
    </row>
    <row r="611" spans="1:8" x14ac:dyDescent="0.15">
      <c r="A611" s="61" t="s">
        <v>11</v>
      </c>
      <c r="B611" s="61">
        <v>10010</v>
      </c>
      <c r="C611" s="61">
        <v>20</v>
      </c>
      <c r="D611" s="61">
        <v>4.7237</v>
      </c>
      <c r="E611" s="61">
        <v>424.6705</v>
      </c>
      <c r="F611" s="61">
        <v>15.602</v>
      </c>
      <c r="G611" s="61">
        <v>78.007900000000006</v>
      </c>
      <c r="H611" s="61">
        <v>94.443799999999996</v>
      </c>
    </row>
    <row r="612" spans="1:8" x14ac:dyDescent="0.15">
      <c r="A612" s="61" t="s">
        <v>11</v>
      </c>
      <c r="B612" s="61">
        <v>10010</v>
      </c>
      <c r="C612" s="61">
        <v>20</v>
      </c>
      <c r="D612" s="61">
        <v>4.7233000000000001</v>
      </c>
      <c r="E612" s="61">
        <v>424.70699999999999</v>
      </c>
      <c r="F612" s="61">
        <v>15.603</v>
      </c>
      <c r="G612" s="61">
        <v>78.014600000000002</v>
      </c>
      <c r="H612" s="61">
        <v>94.435500000000005</v>
      </c>
    </row>
    <row r="613" spans="1:8" x14ac:dyDescent="0.15">
      <c r="A613" s="61" t="s">
        <v>11</v>
      </c>
      <c r="B613" s="61">
        <v>10010</v>
      </c>
      <c r="C613" s="61">
        <v>20</v>
      </c>
      <c r="D613" s="61">
        <v>4.7230999999999996</v>
      </c>
      <c r="E613" s="61">
        <v>424.72280000000001</v>
      </c>
      <c r="F613" s="61">
        <v>15.603</v>
      </c>
      <c r="G613" s="61">
        <v>78.017499999999998</v>
      </c>
      <c r="H613" s="61">
        <v>94.397900000000007</v>
      </c>
    </row>
    <row r="614" spans="1:8" x14ac:dyDescent="0.15">
      <c r="A614" s="61" t="s">
        <v>11</v>
      </c>
      <c r="B614" s="61">
        <v>10010</v>
      </c>
      <c r="C614" s="61">
        <v>20</v>
      </c>
      <c r="D614" s="61">
        <v>4.7230999999999996</v>
      </c>
      <c r="E614" s="61">
        <v>424.72160000000002</v>
      </c>
      <c r="F614" s="61">
        <v>15.603</v>
      </c>
      <c r="G614" s="61">
        <v>78.017200000000003</v>
      </c>
      <c r="H614" s="61">
        <v>94.432599999999994</v>
      </c>
    </row>
    <row r="615" spans="1:8" x14ac:dyDescent="0.15">
      <c r="A615" s="61" t="s">
        <v>11</v>
      </c>
      <c r="B615" s="61">
        <v>10010</v>
      </c>
      <c r="C615" s="61">
        <v>20</v>
      </c>
      <c r="D615" s="61">
        <v>4.7233999999999998</v>
      </c>
      <c r="E615" s="61">
        <v>424.69159999999999</v>
      </c>
      <c r="F615" s="61">
        <v>15.602</v>
      </c>
      <c r="G615" s="61">
        <v>78.011700000000005</v>
      </c>
      <c r="H615" s="61">
        <v>94.431600000000003</v>
      </c>
    </row>
    <row r="616" spans="1:8" x14ac:dyDescent="0.15">
      <c r="A616" s="61" t="s">
        <v>11</v>
      </c>
      <c r="B616" s="61">
        <v>10010</v>
      </c>
      <c r="C616" s="61">
        <v>20</v>
      </c>
      <c r="D616" s="61">
        <v>4.7229999999999999</v>
      </c>
      <c r="E616" s="61">
        <v>424.73200000000003</v>
      </c>
      <c r="F616" s="61">
        <v>15.603999999999999</v>
      </c>
      <c r="G616" s="61">
        <v>78.019199999999998</v>
      </c>
      <c r="H616" s="61">
        <v>94.430700000000002</v>
      </c>
    </row>
    <row r="617" spans="1:8" x14ac:dyDescent="0.15">
      <c r="A617" s="61" t="s">
        <v>11</v>
      </c>
      <c r="B617" s="61">
        <v>10010</v>
      </c>
      <c r="C617" s="61">
        <v>20</v>
      </c>
      <c r="D617" s="61">
        <v>4.7257999999999996</v>
      </c>
      <c r="E617" s="61">
        <v>424.4796</v>
      </c>
      <c r="F617" s="61">
        <v>15.595000000000001</v>
      </c>
      <c r="G617" s="61">
        <v>77.972800000000007</v>
      </c>
      <c r="H617" s="61">
        <v>94.484399999999994</v>
      </c>
    </row>
    <row r="618" spans="1:8" x14ac:dyDescent="0.15">
      <c r="A618" s="61" t="s">
        <v>11</v>
      </c>
      <c r="B618" s="61">
        <v>10010</v>
      </c>
      <c r="C618" s="61">
        <v>20</v>
      </c>
      <c r="D618" s="61">
        <v>4.7257999999999996</v>
      </c>
      <c r="E618" s="61">
        <v>424.4778</v>
      </c>
      <c r="F618" s="61">
        <v>15.593999999999999</v>
      </c>
      <c r="G618" s="61">
        <v>77.972499999999997</v>
      </c>
      <c r="H618" s="61">
        <v>94.470699999999994</v>
      </c>
    </row>
    <row r="619" spans="1:8" x14ac:dyDescent="0.15">
      <c r="A619" s="61" t="s">
        <v>11</v>
      </c>
      <c r="B619" s="61">
        <v>10010</v>
      </c>
      <c r="C619" s="61">
        <v>20</v>
      </c>
      <c r="D619" s="61">
        <v>4.726</v>
      </c>
      <c r="E619" s="61">
        <v>424.46379999999999</v>
      </c>
      <c r="F619" s="61">
        <v>15.593999999999999</v>
      </c>
      <c r="G619" s="61">
        <v>77.969899999999996</v>
      </c>
      <c r="H619" s="61">
        <v>94.480500000000006</v>
      </c>
    </row>
    <row r="620" spans="1:8" x14ac:dyDescent="0.15">
      <c r="A620" s="61" t="s">
        <v>11</v>
      </c>
      <c r="B620" s="61">
        <v>10010</v>
      </c>
      <c r="C620" s="61">
        <v>20</v>
      </c>
      <c r="D620" s="61">
        <v>4.7275</v>
      </c>
      <c r="E620" s="61">
        <v>424.32600000000002</v>
      </c>
      <c r="F620" s="61">
        <v>15.589</v>
      </c>
      <c r="G620" s="61">
        <v>77.944599999999994</v>
      </c>
      <c r="H620" s="61">
        <v>94.522000000000006</v>
      </c>
    </row>
    <row r="621" spans="1:8" x14ac:dyDescent="0.15">
      <c r="A621" s="61" t="s">
        <v>11</v>
      </c>
      <c r="B621" s="61">
        <v>10010</v>
      </c>
      <c r="C621" s="61">
        <v>20</v>
      </c>
      <c r="D621" s="61">
        <v>4.7251000000000003</v>
      </c>
      <c r="E621" s="61">
        <v>424.53890000000001</v>
      </c>
      <c r="F621" s="61">
        <v>15.597</v>
      </c>
      <c r="G621" s="61">
        <v>77.983699999999999</v>
      </c>
      <c r="H621" s="61">
        <v>94.467299999999994</v>
      </c>
    </row>
    <row r="622" spans="1:8" x14ac:dyDescent="0.15">
      <c r="A622" s="61" t="s">
        <v>11</v>
      </c>
      <c r="B622" s="61">
        <v>10010</v>
      </c>
      <c r="C622" s="61">
        <v>20</v>
      </c>
      <c r="D622" s="61">
        <v>4.7587999999999999</v>
      </c>
      <c r="E622" s="61">
        <v>421.53219999999999</v>
      </c>
      <c r="F622" s="61">
        <v>15.486000000000001</v>
      </c>
      <c r="G622" s="61">
        <v>77.431399999999996</v>
      </c>
      <c r="H622" s="61">
        <v>95.060500000000005</v>
      </c>
    </row>
    <row r="623" spans="1:8" x14ac:dyDescent="0.15">
      <c r="A623" s="61" t="s">
        <v>11</v>
      </c>
      <c r="B623" s="61">
        <v>10010</v>
      </c>
      <c r="C623" s="61">
        <v>20</v>
      </c>
      <c r="D623" s="61">
        <v>4.7241999999999997</v>
      </c>
      <c r="E623" s="61">
        <v>424.62130000000002</v>
      </c>
      <c r="F623" s="61">
        <v>15.6</v>
      </c>
      <c r="G623" s="61">
        <v>77.998800000000003</v>
      </c>
      <c r="H623" s="61">
        <v>94.449700000000007</v>
      </c>
    </row>
    <row r="624" spans="1:8" x14ac:dyDescent="0.15">
      <c r="A624" s="61" t="s">
        <v>11</v>
      </c>
      <c r="B624" s="61">
        <v>10010</v>
      </c>
      <c r="C624" s="61">
        <v>20</v>
      </c>
      <c r="D624" s="61">
        <v>4.7244999999999999</v>
      </c>
      <c r="E624" s="61">
        <v>424.59879999999998</v>
      </c>
      <c r="F624" s="61">
        <v>15.599</v>
      </c>
      <c r="G624" s="61">
        <v>77.994699999999995</v>
      </c>
      <c r="H624" s="61">
        <v>94.459000000000003</v>
      </c>
    </row>
    <row r="625" spans="1:8" x14ac:dyDescent="0.15">
      <c r="A625" s="61" t="s">
        <v>11</v>
      </c>
      <c r="B625" s="61">
        <v>10010</v>
      </c>
      <c r="C625" s="61">
        <v>20</v>
      </c>
      <c r="D625" s="61">
        <v>4.7257999999999996</v>
      </c>
      <c r="E625" s="61">
        <v>424.47770000000003</v>
      </c>
      <c r="F625" s="61">
        <v>15.593999999999999</v>
      </c>
      <c r="G625" s="61">
        <v>77.972399999999993</v>
      </c>
      <c r="H625" s="61">
        <v>94.483400000000003</v>
      </c>
    </row>
    <row r="626" spans="1:8" x14ac:dyDescent="0.15">
      <c r="A626" s="61" t="s">
        <v>11</v>
      </c>
      <c r="B626" s="61">
        <v>10010</v>
      </c>
      <c r="C626" s="61">
        <v>20</v>
      </c>
      <c r="D626" s="61">
        <v>4.7251000000000003</v>
      </c>
      <c r="E626" s="61">
        <v>424.53910000000002</v>
      </c>
      <c r="F626" s="61">
        <v>15.597</v>
      </c>
      <c r="G626" s="61">
        <v>77.983699999999999</v>
      </c>
      <c r="H626" s="61">
        <v>94.459500000000006</v>
      </c>
    </row>
    <row r="627" spans="1:8" x14ac:dyDescent="0.15">
      <c r="A627" s="61" t="s">
        <v>11</v>
      </c>
      <c r="B627" s="61">
        <v>10010</v>
      </c>
      <c r="C627" s="61">
        <v>20</v>
      </c>
      <c r="D627" s="61">
        <v>4.7240000000000002</v>
      </c>
      <c r="E627" s="61">
        <v>424.64339999999999</v>
      </c>
      <c r="F627" s="61">
        <v>15.601000000000001</v>
      </c>
      <c r="G627" s="61">
        <v>78.002899999999997</v>
      </c>
      <c r="H627" s="61">
        <v>94.436999999999998</v>
      </c>
    </row>
    <row r="628" spans="1:8" x14ac:dyDescent="0.15">
      <c r="A628" s="61" t="s">
        <v>11</v>
      </c>
      <c r="B628" s="61">
        <v>10010</v>
      </c>
      <c r="C628" s="61">
        <v>20</v>
      </c>
      <c r="D628" s="61">
        <v>4.7256999999999998</v>
      </c>
      <c r="E628" s="61">
        <v>424.49149999999997</v>
      </c>
      <c r="F628" s="61">
        <v>15.595000000000001</v>
      </c>
      <c r="G628" s="61">
        <v>77.974999999999994</v>
      </c>
      <c r="H628" s="61">
        <v>94.472700000000003</v>
      </c>
    </row>
    <row r="629" spans="1:8" x14ac:dyDescent="0.15">
      <c r="A629" s="61" t="s">
        <v>11</v>
      </c>
      <c r="B629" s="61">
        <v>10010</v>
      </c>
      <c r="C629" s="61">
        <v>20</v>
      </c>
      <c r="D629" s="61">
        <v>4.7253999999999996</v>
      </c>
      <c r="E629" s="61">
        <v>424.51150000000001</v>
      </c>
      <c r="F629" s="61">
        <v>15.596</v>
      </c>
      <c r="G629" s="61">
        <v>77.978700000000003</v>
      </c>
      <c r="H629" s="61">
        <v>94.473600000000005</v>
      </c>
    </row>
    <row r="630" spans="1:8" x14ac:dyDescent="0.15">
      <c r="A630" s="61" t="s">
        <v>11</v>
      </c>
      <c r="B630" s="61">
        <v>10010</v>
      </c>
      <c r="C630" s="61">
        <v>20</v>
      </c>
      <c r="D630" s="61">
        <v>4.7233999999999998</v>
      </c>
      <c r="E630" s="61">
        <v>424.69549999999998</v>
      </c>
      <c r="F630" s="61">
        <v>15.602</v>
      </c>
      <c r="G630" s="61">
        <v>78.0124</v>
      </c>
      <c r="H630" s="61">
        <v>94.438500000000005</v>
      </c>
    </row>
    <row r="631" spans="1:8" x14ac:dyDescent="0.15">
      <c r="A631" s="61" t="s">
        <v>11</v>
      </c>
      <c r="B631" s="61">
        <v>10010</v>
      </c>
      <c r="C631" s="61">
        <v>20</v>
      </c>
      <c r="D631" s="61">
        <v>4.7233999999999998</v>
      </c>
      <c r="E631" s="61">
        <v>424.6979</v>
      </c>
      <c r="F631" s="61">
        <v>15.603</v>
      </c>
      <c r="G631" s="61">
        <v>78.012900000000002</v>
      </c>
      <c r="H631" s="61">
        <v>94.427700000000002</v>
      </c>
    </row>
    <row r="632" spans="1:8" x14ac:dyDescent="0.15">
      <c r="A632" s="61" t="s">
        <v>11</v>
      </c>
      <c r="B632" s="61">
        <v>10010</v>
      </c>
      <c r="C632" s="61">
        <v>20</v>
      </c>
      <c r="D632" s="61">
        <v>4.7241</v>
      </c>
      <c r="E632" s="61">
        <v>424.63619999999997</v>
      </c>
      <c r="F632" s="61">
        <v>15.6</v>
      </c>
      <c r="G632" s="61">
        <v>78.001499999999993</v>
      </c>
      <c r="H632" s="61">
        <v>94.443399999999997</v>
      </c>
    </row>
    <row r="633" spans="1:8" x14ac:dyDescent="0.15">
      <c r="A633" s="61" t="s">
        <v>11</v>
      </c>
      <c r="B633" s="61">
        <v>10010</v>
      </c>
      <c r="C633" s="61">
        <v>20</v>
      </c>
      <c r="D633" s="61">
        <v>4.734</v>
      </c>
      <c r="E633" s="61">
        <v>423.7448</v>
      </c>
      <c r="F633" s="61">
        <v>15.568</v>
      </c>
      <c r="G633" s="61">
        <v>77.837800000000001</v>
      </c>
      <c r="H633" s="61">
        <v>94.649900000000002</v>
      </c>
    </row>
    <row r="634" spans="1:8" x14ac:dyDescent="0.15">
      <c r="A634" s="61" t="s">
        <v>11</v>
      </c>
      <c r="B634" s="61">
        <v>10010</v>
      </c>
      <c r="C634" s="61">
        <v>20</v>
      </c>
      <c r="D634" s="61">
        <v>4.7339000000000002</v>
      </c>
      <c r="E634" s="61">
        <v>423.7491</v>
      </c>
      <c r="F634" s="61">
        <v>15.568</v>
      </c>
      <c r="G634" s="61">
        <v>77.8386</v>
      </c>
      <c r="H634" s="61">
        <v>94.585899999999995</v>
      </c>
    </row>
    <row r="635" spans="1:8" x14ac:dyDescent="0.15">
      <c r="A635" s="61" t="s">
        <v>11</v>
      </c>
      <c r="B635" s="61">
        <v>10010</v>
      </c>
      <c r="C635" s="61">
        <v>20</v>
      </c>
      <c r="D635" s="61">
        <v>4.7718999999999996</v>
      </c>
      <c r="E635" s="61">
        <v>420.37869999999998</v>
      </c>
      <c r="F635" s="61">
        <v>15.444000000000001</v>
      </c>
      <c r="G635" s="61">
        <v>77.219499999999996</v>
      </c>
      <c r="H635" s="61">
        <v>95.289100000000005</v>
      </c>
    </row>
    <row r="636" spans="1:8" x14ac:dyDescent="0.15">
      <c r="A636" s="61" t="s">
        <v>11</v>
      </c>
      <c r="B636" s="61">
        <v>10010</v>
      </c>
      <c r="C636" s="61">
        <v>20</v>
      </c>
      <c r="D636" s="61">
        <v>4.7275999999999998</v>
      </c>
      <c r="E636" s="61">
        <v>424.3159</v>
      </c>
      <c r="F636" s="61">
        <v>15.589</v>
      </c>
      <c r="G636" s="61">
        <v>77.942700000000002</v>
      </c>
      <c r="H636" s="61">
        <v>94.502899999999997</v>
      </c>
    </row>
    <row r="637" spans="1:8" x14ac:dyDescent="0.15">
      <c r="A637" s="61" t="s">
        <v>11</v>
      </c>
      <c r="B637" s="61">
        <v>10010</v>
      </c>
      <c r="C637" s="61">
        <v>20</v>
      </c>
      <c r="D637" s="61">
        <v>4.7263999999999999</v>
      </c>
      <c r="E637" s="61">
        <v>424.42689999999999</v>
      </c>
      <c r="F637" s="61">
        <v>15.593</v>
      </c>
      <c r="G637" s="61">
        <v>77.963099999999997</v>
      </c>
      <c r="H637" s="61">
        <v>94.492199999999997</v>
      </c>
    </row>
    <row r="638" spans="1:8" x14ac:dyDescent="0.15">
      <c r="A638" s="61" t="s">
        <v>11</v>
      </c>
      <c r="B638" s="61">
        <v>10010</v>
      </c>
      <c r="C638" s="61">
        <v>20</v>
      </c>
      <c r="D638" s="61">
        <v>4.7377000000000002</v>
      </c>
      <c r="E638" s="61">
        <v>423.41719999999998</v>
      </c>
      <c r="F638" s="61">
        <v>15.555999999999999</v>
      </c>
      <c r="G638" s="61">
        <v>77.777600000000007</v>
      </c>
      <c r="H638" s="61">
        <v>94.688500000000005</v>
      </c>
    </row>
    <row r="639" spans="1:8" x14ac:dyDescent="0.15">
      <c r="A639" s="61" t="s">
        <v>11</v>
      </c>
      <c r="B639" s="61">
        <v>10010</v>
      </c>
      <c r="C639" s="61">
        <v>20</v>
      </c>
      <c r="D639" s="61">
        <v>4.7263000000000002</v>
      </c>
      <c r="E639" s="61">
        <v>424.4359</v>
      </c>
      <c r="F639" s="61">
        <v>15.593</v>
      </c>
      <c r="G639" s="61">
        <v>77.964799999999997</v>
      </c>
      <c r="H639" s="61">
        <v>94.497100000000003</v>
      </c>
    </row>
    <row r="640" spans="1:8" x14ac:dyDescent="0.15">
      <c r="A640" s="61" t="s">
        <v>11</v>
      </c>
      <c r="B640" s="61">
        <v>10010</v>
      </c>
      <c r="C640" s="61">
        <v>20</v>
      </c>
      <c r="D640" s="61">
        <v>4.7222999999999997</v>
      </c>
      <c r="E640" s="61">
        <v>424.79660000000001</v>
      </c>
      <c r="F640" s="61">
        <v>15.606</v>
      </c>
      <c r="G640" s="61">
        <v>78.031000000000006</v>
      </c>
      <c r="H640" s="61">
        <v>94.418899999999994</v>
      </c>
    </row>
    <row r="641" spans="1:8" x14ac:dyDescent="0.15">
      <c r="A641" s="61" t="s">
        <v>11</v>
      </c>
      <c r="B641" s="61">
        <v>10010</v>
      </c>
      <c r="C641" s="61">
        <v>20</v>
      </c>
      <c r="D641" s="61">
        <v>4.7240000000000002</v>
      </c>
      <c r="E641" s="61">
        <v>424.6429</v>
      </c>
      <c r="F641" s="61">
        <v>15.601000000000001</v>
      </c>
      <c r="G641" s="61">
        <v>78.002799999999993</v>
      </c>
      <c r="H641" s="61">
        <v>94.474599999999995</v>
      </c>
    </row>
    <row r="642" spans="1:8" x14ac:dyDescent="0.15">
      <c r="A642" s="61" t="s">
        <v>11</v>
      </c>
      <c r="B642" s="61">
        <v>10010</v>
      </c>
      <c r="C642" s="61">
        <v>20</v>
      </c>
      <c r="D642" s="61">
        <v>4.7279</v>
      </c>
      <c r="E642" s="61">
        <v>424.29169999999999</v>
      </c>
      <c r="F642" s="61">
        <v>15.587999999999999</v>
      </c>
      <c r="G642" s="61">
        <v>77.938299999999998</v>
      </c>
      <c r="H642" s="61">
        <v>94.525400000000005</v>
      </c>
    </row>
    <row r="643" spans="1:8" x14ac:dyDescent="0.15">
      <c r="A643" s="61" t="s">
        <v>11</v>
      </c>
      <c r="B643" s="61">
        <v>10010</v>
      </c>
      <c r="C643" s="61">
        <v>20</v>
      </c>
      <c r="D643" s="61">
        <v>4.7257999999999996</v>
      </c>
      <c r="E643" s="61">
        <v>424.47519999999997</v>
      </c>
      <c r="F643" s="61">
        <v>15.593999999999999</v>
      </c>
      <c r="G643" s="61">
        <v>77.971999999999994</v>
      </c>
      <c r="H643" s="61">
        <v>94.478499999999997</v>
      </c>
    </row>
    <row r="644" spans="1:8" x14ac:dyDescent="0.15">
      <c r="A644" s="61" t="s">
        <v>11</v>
      </c>
      <c r="B644" s="61">
        <v>10010</v>
      </c>
      <c r="C644" s="61">
        <v>20</v>
      </c>
      <c r="D644" s="61">
        <v>4.7272999999999996</v>
      </c>
      <c r="E644" s="61">
        <v>424.34500000000003</v>
      </c>
      <c r="F644" s="61">
        <v>15.59</v>
      </c>
      <c r="G644" s="61">
        <v>77.948099999999997</v>
      </c>
      <c r="H644" s="61">
        <v>94.504900000000006</v>
      </c>
    </row>
    <row r="645" spans="1:8" x14ac:dyDescent="0.15">
      <c r="A645" s="61" t="s">
        <v>11</v>
      </c>
      <c r="B645" s="61">
        <v>10010</v>
      </c>
      <c r="C645" s="61">
        <v>20</v>
      </c>
      <c r="D645" s="61">
        <v>4.7237</v>
      </c>
      <c r="E645" s="61">
        <v>424.66570000000002</v>
      </c>
      <c r="F645" s="61">
        <v>15.601000000000001</v>
      </c>
      <c r="G645" s="61">
        <v>78.007000000000005</v>
      </c>
      <c r="H645" s="61">
        <v>94.446299999999994</v>
      </c>
    </row>
    <row r="646" spans="1:8" x14ac:dyDescent="0.15">
      <c r="A646" s="61" t="s">
        <v>11</v>
      </c>
      <c r="B646" s="61">
        <v>10010</v>
      </c>
      <c r="C646" s="61">
        <v>20</v>
      </c>
      <c r="D646" s="61">
        <v>4.7263999999999999</v>
      </c>
      <c r="E646" s="61">
        <v>424.42380000000003</v>
      </c>
      <c r="F646" s="61">
        <v>15.593</v>
      </c>
      <c r="G646" s="61">
        <v>77.962500000000006</v>
      </c>
      <c r="H646" s="61">
        <v>94.472700000000003</v>
      </c>
    </row>
    <row r="647" spans="1:8" x14ac:dyDescent="0.15">
      <c r="A647" s="61" t="s">
        <v>11</v>
      </c>
      <c r="B647" s="61">
        <v>10010</v>
      </c>
      <c r="C647" s="61">
        <v>20</v>
      </c>
      <c r="D647" s="61">
        <v>4.7302999999999997</v>
      </c>
      <c r="E647" s="61">
        <v>424.07350000000002</v>
      </c>
      <c r="F647" s="61">
        <v>15.58</v>
      </c>
      <c r="G647" s="61">
        <v>77.898200000000003</v>
      </c>
      <c r="H647" s="61">
        <v>94.577100000000002</v>
      </c>
    </row>
    <row r="648" spans="1:8" x14ac:dyDescent="0.15">
      <c r="A648" s="61" t="s">
        <v>11</v>
      </c>
      <c r="B648" s="61">
        <v>10010</v>
      </c>
      <c r="C648" s="61">
        <v>20</v>
      </c>
      <c r="D648" s="61">
        <v>4.7275</v>
      </c>
      <c r="E648" s="61">
        <v>424.32979999999998</v>
      </c>
      <c r="F648" s="61">
        <v>15.589</v>
      </c>
      <c r="G648" s="61">
        <v>77.945300000000003</v>
      </c>
      <c r="H648" s="61">
        <v>94.5107</v>
      </c>
    </row>
    <row r="649" spans="1:8" x14ac:dyDescent="0.15">
      <c r="A649" s="61" t="s">
        <v>11</v>
      </c>
      <c r="B649" s="61">
        <v>10010</v>
      </c>
      <c r="C649" s="61">
        <v>20</v>
      </c>
      <c r="D649" s="61">
        <v>4.7263999999999999</v>
      </c>
      <c r="E649" s="61">
        <v>424.4289</v>
      </c>
      <c r="F649" s="61">
        <v>15.593</v>
      </c>
      <c r="G649" s="61">
        <v>77.963499999999996</v>
      </c>
      <c r="H649" s="61">
        <v>94.498000000000005</v>
      </c>
    </row>
    <row r="650" spans="1:8" x14ac:dyDescent="0.15">
      <c r="A650" s="61" t="s">
        <v>11</v>
      </c>
      <c r="B650" s="61">
        <v>10010</v>
      </c>
      <c r="C650" s="61">
        <v>20</v>
      </c>
      <c r="D650" s="61">
        <v>4.7314999999999996</v>
      </c>
      <c r="E650" s="61">
        <v>423.971</v>
      </c>
      <c r="F650" s="61">
        <v>15.576000000000001</v>
      </c>
      <c r="G650" s="61">
        <v>77.879400000000004</v>
      </c>
      <c r="H650" s="61">
        <v>94.599599999999995</v>
      </c>
    </row>
    <row r="651" spans="1:8" x14ac:dyDescent="0.15">
      <c r="A651" s="61" t="s">
        <v>11</v>
      </c>
      <c r="B651" s="61">
        <v>10010</v>
      </c>
      <c r="C651" s="61">
        <v>20</v>
      </c>
      <c r="D651" s="61">
        <v>4.7319000000000004</v>
      </c>
      <c r="E651" s="61">
        <v>423.93689999999998</v>
      </c>
      <c r="F651" s="61">
        <v>15.574999999999999</v>
      </c>
      <c r="G651" s="61">
        <v>77.873099999999994</v>
      </c>
      <c r="H651" s="61">
        <v>94.587900000000005</v>
      </c>
    </row>
    <row r="652" spans="1:8" x14ac:dyDescent="0.15">
      <c r="A652" s="61" t="s">
        <v>11</v>
      </c>
      <c r="B652" s="61">
        <v>10010</v>
      </c>
      <c r="C652" s="61">
        <v>20</v>
      </c>
      <c r="D652" s="61">
        <v>4.7239000000000004</v>
      </c>
      <c r="E652" s="61">
        <v>424.64640000000003</v>
      </c>
      <c r="F652" s="61">
        <v>15.601000000000001</v>
      </c>
      <c r="G652" s="61">
        <v>78.003399999999999</v>
      </c>
      <c r="H652" s="61">
        <v>94.449200000000005</v>
      </c>
    </row>
    <row r="653" spans="1:8" x14ac:dyDescent="0.15">
      <c r="A653" s="61" t="s">
        <v>11</v>
      </c>
      <c r="B653" s="61">
        <v>10010</v>
      </c>
      <c r="C653" s="61">
        <v>20</v>
      </c>
      <c r="D653" s="61">
        <v>4.7271999999999998</v>
      </c>
      <c r="E653" s="61">
        <v>424.35680000000002</v>
      </c>
      <c r="F653" s="61">
        <v>15.59</v>
      </c>
      <c r="G653" s="61">
        <v>77.950199999999995</v>
      </c>
      <c r="H653" s="61">
        <v>94.505899999999997</v>
      </c>
    </row>
    <row r="654" spans="1:8" x14ac:dyDescent="0.15">
      <c r="A654" s="61" t="s">
        <v>11</v>
      </c>
      <c r="B654" s="61">
        <v>10010</v>
      </c>
      <c r="C654" s="61">
        <v>20</v>
      </c>
      <c r="D654" s="61">
        <v>4.7276999999999996</v>
      </c>
      <c r="E654" s="61">
        <v>424.3073</v>
      </c>
      <c r="F654" s="61">
        <v>15.587999999999999</v>
      </c>
      <c r="G654" s="61">
        <v>77.941100000000006</v>
      </c>
      <c r="H654" s="61">
        <v>94.526399999999995</v>
      </c>
    </row>
    <row r="655" spans="1:8" x14ac:dyDescent="0.15">
      <c r="A655" s="61"/>
      <c r="B655" s="61"/>
      <c r="C655" s="61"/>
      <c r="D655" s="61"/>
      <c r="E655" s="61"/>
      <c r="F655" s="61"/>
      <c r="G655" s="61"/>
      <c r="H655" s="61"/>
    </row>
    <row r="656" spans="1:8" x14ac:dyDescent="0.15">
      <c r="A656" s="61" t="s">
        <v>12</v>
      </c>
      <c r="B656" s="61"/>
      <c r="C656" s="61"/>
      <c r="D656" s="61"/>
      <c r="E656" s="61"/>
      <c r="F656" s="61"/>
      <c r="G656" s="61"/>
      <c r="H656" s="61"/>
    </row>
    <row r="657" spans="1:8" x14ac:dyDescent="0.15">
      <c r="A657" s="61"/>
      <c r="B657" s="61"/>
      <c r="C657" s="61"/>
      <c r="D657" s="61"/>
      <c r="E657" s="61"/>
      <c r="F657" s="61"/>
      <c r="G657" s="61"/>
      <c r="H657" s="61"/>
    </row>
    <row r="658" spans="1:8" x14ac:dyDescent="0.15">
      <c r="A658" s="61" t="s">
        <v>3</v>
      </c>
      <c r="B658" s="61" t="s">
        <v>4</v>
      </c>
      <c r="C658" s="61" t="s">
        <v>5</v>
      </c>
      <c r="D658" s="61" t="s">
        <v>6</v>
      </c>
      <c r="E658" s="61" t="s">
        <v>7</v>
      </c>
      <c r="F658" s="61" t="s">
        <v>8</v>
      </c>
      <c r="G658" s="61" t="s">
        <v>9</v>
      </c>
      <c r="H658" s="61" t="s">
        <v>10</v>
      </c>
    </row>
    <row r="659" spans="1:8" x14ac:dyDescent="0.15">
      <c r="A659" s="61" t="s">
        <v>13</v>
      </c>
      <c r="B659" s="61">
        <v>2500</v>
      </c>
      <c r="C659" s="61">
        <v>1</v>
      </c>
      <c r="D659" s="61">
        <v>1.7677</v>
      </c>
      <c r="E659" s="61">
        <v>17.678699999999999</v>
      </c>
      <c r="F659" s="61">
        <v>1</v>
      </c>
      <c r="G659" s="61">
        <v>100</v>
      </c>
      <c r="H659" s="61">
        <v>8.4357000000000006</v>
      </c>
    </row>
    <row r="660" spans="1:8" x14ac:dyDescent="0.15">
      <c r="A660" s="61" t="s">
        <v>13</v>
      </c>
      <c r="B660" s="61">
        <v>2500</v>
      </c>
      <c r="C660" s="61">
        <v>1</v>
      </c>
      <c r="D660" s="61">
        <v>1.1614</v>
      </c>
      <c r="E660" s="61">
        <v>26.907399999999999</v>
      </c>
      <c r="F660" s="61">
        <v>1.522</v>
      </c>
      <c r="G660" s="61">
        <v>152.20230000000001</v>
      </c>
      <c r="H660" s="61">
        <v>1.1617999999999999</v>
      </c>
    </row>
    <row r="661" spans="1:8" x14ac:dyDescent="0.15">
      <c r="A661" s="61" t="s">
        <v>13</v>
      </c>
      <c r="B661" s="61">
        <v>2500</v>
      </c>
      <c r="C661" s="61">
        <v>1</v>
      </c>
      <c r="D661" s="61">
        <v>1.1611</v>
      </c>
      <c r="E661" s="61">
        <v>26.913499999999999</v>
      </c>
      <c r="F661" s="61">
        <v>1.522</v>
      </c>
      <c r="G661" s="61">
        <v>152.23670000000001</v>
      </c>
      <c r="H661" s="61">
        <v>1.1617999999999999</v>
      </c>
    </row>
    <row r="662" spans="1:8" x14ac:dyDescent="0.15">
      <c r="A662" s="61" t="s">
        <v>13</v>
      </c>
      <c r="B662" s="61">
        <v>2500</v>
      </c>
      <c r="C662" s="61">
        <v>1</v>
      </c>
      <c r="D662" s="61">
        <v>1.1616</v>
      </c>
      <c r="E662" s="61">
        <v>26.901599999999998</v>
      </c>
      <c r="F662" s="61">
        <v>1.522</v>
      </c>
      <c r="G662" s="61">
        <v>152.16970000000001</v>
      </c>
      <c r="H662" s="61">
        <v>1.1617999999999999</v>
      </c>
    </row>
    <row r="663" spans="1:8" x14ac:dyDescent="0.15">
      <c r="A663" s="61" t="s">
        <v>13</v>
      </c>
      <c r="B663" s="61">
        <v>2500</v>
      </c>
      <c r="C663" s="61">
        <v>1</v>
      </c>
      <c r="D663" s="61">
        <v>1.1709000000000001</v>
      </c>
      <c r="E663" s="61">
        <v>26.689499999999999</v>
      </c>
      <c r="F663" s="61">
        <v>1.51</v>
      </c>
      <c r="G663" s="61">
        <v>150.9699</v>
      </c>
      <c r="H663" s="61">
        <v>1.1718</v>
      </c>
    </row>
    <row r="664" spans="1:8" x14ac:dyDescent="0.15">
      <c r="A664" s="61" t="s">
        <v>13</v>
      </c>
      <c r="B664" s="61">
        <v>2500</v>
      </c>
      <c r="C664" s="61">
        <v>1</v>
      </c>
      <c r="D664" s="61">
        <v>1.163</v>
      </c>
      <c r="E664" s="61">
        <v>26.8691</v>
      </c>
      <c r="F664" s="61">
        <v>1.52</v>
      </c>
      <c r="G664" s="61">
        <v>151.98560000000001</v>
      </c>
      <c r="H664" s="61">
        <v>1.1628000000000001</v>
      </c>
    </row>
    <row r="665" spans="1:8" x14ac:dyDescent="0.15">
      <c r="A665" s="61" t="s">
        <v>13</v>
      </c>
      <c r="B665" s="61">
        <v>2500</v>
      </c>
      <c r="C665" s="61">
        <v>19</v>
      </c>
      <c r="D665" s="61">
        <v>0.12520000000000001</v>
      </c>
      <c r="E665" s="61">
        <v>249.5787</v>
      </c>
      <c r="F665" s="61">
        <v>14.117000000000001</v>
      </c>
      <c r="G665" s="61">
        <v>74.302499999999995</v>
      </c>
      <c r="H665" s="61">
        <v>2.2267000000000001</v>
      </c>
    </row>
    <row r="666" spans="1:8" x14ac:dyDescent="0.15">
      <c r="A666" s="61" t="s">
        <v>13</v>
      </c>
      <c r="B666" s="61">
        <v>2500</v>
      </c>
      <c r="C666" s="61">
        <v>19</v>
      </c>
      <c r="D666" s="61">
        <v>8.6499999999999994E-2</v>
      </c>
      <c r="E666" s="61">
        <v>361.3218</v>
      </c>
      <c r="F666" s="61">
        <v>20.437999999999999</v>
      </c>
      <c r="G666" s="61">
        <v>107.5698</v>
      </c>
      <c r="H666" s="61">
        <v>1.6427</v>
      </c>
    </row>
    <row r="667" spans="1:8" x14ac:dyDescent="0.15">
      <c r="A667" s="61" t="s">
        <v>13</v>
      </c>
      <c r="B667" s="61">
        <v>2500</v>
      </c>
      <c r="C667" s="61">
        <v>19</v>
      </c>
      <c r="D667" s="61">
        <v>8.6400000000000005E-2</v>
      </c>
      <c r="E667" s="61">
        <v>361.6438</v>
      </c>
      <c r="F667" s="61">
        <v>20.456</v>
      </c>
      <c r="G667" s="61">
        <v>107.6656</v>
      </c>
      <c r="H667" s="61">
        <v>1.6427</v>
      </c>
    </row>
    <row r="668" spans="1:8" x14ac:dyDescent="0.15">
      <c r="A668" s="61" t="s">
        <v>13</v>
      </c>
      <c r="B668" s="61">
        <v>2500</v>
      </c>
      <c r="C668" s="61">
        <v>19</v>
      </c>
      <c r="D668" s="61">
        <v>8.6400000000000005E-2</v>
      </c>
      <c r="E668" s="61">
        <v>361.69819999999999</v>
      </c>
      <c r="F668" s="61">
        <v>20.46</v>
      </c>
      <c r="G668" s="61">
        <v>107.6818</v>
      </c>
      <c r="H668" s="61">
        <v>1.6417999999999999</v>
      </c>
    </row>
    <row r="669" spans="1:8" x14ac:dyDescent="0.15">
      <c r="A669" s="61" t="s">
        <v>13</v>
      </c>
      <c r="B669" s="61">
        <v>2500</v>
      </c>
      <c r="C669" s="61">
        <v>19</v>
      </c>
      <c r="D669" s="61">
        <v>8.6300000000000002E-2</v>
      </c>
      <c r="E669" s="61">
        <v>362.11309999999997</v>
      </c>
      <c r="F669" s="61">
        <v>20.483000000000001</v>
      </c>
      <c r="G669" s="61">
        <v>107.80540000000001</v>
      </c>
      <c r="H669" s="61">
        <v>1.6397999999999999</v>
      </c>
    </row>
    <row r="670" spans="1:8" x14ac:dyDescent="0.15">
      <c r="A670" s="61" t="s">
        <v>13</v>
      </c>
      <c r="B670" s="61">
        <v>2500</v>
      </c>
      <c r="C670" s="61">
        <v>19</v>
      </c>
      <c r="D670" s="61">
        <v>8.6300000000000002E-2</v>
      </c>
      <c r="E670" s="61">
        <v>361.93700000000001</v>
      </c>
      <c r="F670" s="61">
        <v>20.472999999999999</v>
      </c>
      <c r="G670" s="61">
        <v>107.7529</v>
      </c>
      <c r="H670" s="61">
        <v>1.6408</v>
      </c>
    </row>
    <row r="671" spans="1:8" x14ac:dyDescent="0.15">
      <c r="A671" s="61" t="s">
        <v>13</v>
      </c>
      <c r="B671" s="61">
        <v>2500</v>
      </c>
      <c r="C671" s="61">
        <v>19</v>
      </c>
      <c r="D671" s="61">
        <v>8.6300000000000002E-2</v>
      </c>
      <c r="E671" s="61">
        <v>361.916</v>
      </c>
      <c r="F671" s="61">
        <v>20.472000000000001</v>
      </c>
      <c r="G671" s="61">
        <v>107.7467</v>
      </c>
      <c r="H671" s="61">
        <v>1.6396999999999999</v>
      </c>
    </row>
    <row r="672" spans="1:8" x14ac:dyDescent="0.15">
      <c r="A672" s="61" t="s">
        <v>13</v>
      </c>
      <c r="B672" s="61">
        <v>2500</v>
      </c>
      <c r="C672" s="61">
        <v>19</v>
      </c>
      <c r="D672" s="61">
        <v>8.6300000000000002E-2</v>
      </c>
      <c r="E672" s="61">
        <v>362.02499999999998</v>
      </c>
      <c r="F672" s="61">
        <v>20.478000000000002</v>
      </c>
      <c r="G672" s="61">
        <v>107.7791</v>
      </c>
      <c r="H672" s="61">
        <v>1.6407</v>
      </c>
    </row>
    <row r="673" spans="1:8" x14ac:dyDescent="0.15">
      <c r="A673" s="61" t="s">
        <v>13</v>
      </c>
      <c r="B673" s="61">
        <v>2500</v>
      </c>
      <c r="C673" s="61">
        <v>19</v>
      </c>
      <c r="D673" s="61">
        <v>8.6400000000000005E-2</v>
      </c>
      <c r="E673" s="61">
        <v>361.85739999999998</v>
      </c>
      <c r="F673" s="61">
        <v>20.469000000000001</v>
      </c>
      <c r="G673" s="61">
        <v>107.72920000000001</v>
      </c>
      <c r="H673" s="61">
        <v>1.6408</v>
      </c>
    </row>
    <row r="674" spans="1:8" x14ac:dyDescent="0.15">
      <c r="A674" s="61" t="s">
        <v>13</v>
      </c>
      <c r="B674" s="61">
        <v>2500</v>
      </c>
      <c r="C674" s="61">
        <v>19</v>
      </c>
      <c r="D674" s="61">
        <v>8.6300000000000002E-2</v>
      </c>
      <c r="E674" s="61">
        <v>362.09629999999999</v>
      </c>
      <c r="F674" s="61">
        <v>20.481999999999999</v>
      </c>
      <c r="G674" s="61">
        <v>107.8004</v>
      </c>
      <c r="H674" s="61">
        <v>1.6397999999999999</v>
      </c>
    </row>
    <row r="675" spans="1:8" x14ac:dyDescent="0.15">
      <c r="A675" s="61" t="s">
        <v>13</v>
      </c>
      <c r="B675" s="61">
        <v>2500</v>
      </c>
      <c r="C675" s="61">
        <v>19</v>
      </c>
      <c r="D675" s="61">
        <v>8.6300000000000002E-2</v>
      </c>
      <c r="E675" s="61">
        <v>362.21390000000002</v>
      </c>
      <c r="F675" s="61">
        <v>20.489000000000001</v>
      </c>
      <c r="G675" s="61">
        <v>107.83540000000001</v>
      </c>
      <c r="H675" s="61">
        <v>1.6397999999999999</v>
      </c>
    </row>
    <row r="676" spans="1:8" x14ac:dyDescent="0.15">
      <c r="A676" s="61" t="s">
        <v>13</v>
      </c>
      <c r="B676" s="61">
        <v>2500</v>
      </c>
      <c r="C676" s="61">
        <v>19</v>
      </c>
      <c r="D676" s="61">
        <v>8.6400000000000005E-2</v>
      </c>
      <c r="E676" s="61">
        <v>361.86989999999997</v>
      </c>
      <c r="F676" s="61">
        <v>20.469000000000001</v>
      </c>
      <c r="G676" s="61">
        <v>107.733</v>
      </c>
      <c r="H676" s="61">
        <v>1.6408</v>
      </c>
    </row>
    <row r="677" spans="1:8" x14ac:dyDescent="0.15">
      <c r="A677" s="61" t="s">
        <v>13</v>
      </c>
      <c r="B677" s="61">
        <v>2500</v>
      </c>
      <c r="C677" s="61">
        <v>19</v>
      </c>
      <c r="D677" s="61">
        <v>8.6300000000000002E-2</v>
      </c>
      <c r="E677" s="61">
        <v>361.97050000000002</v>
      </c>
      <c r="F677" s="61">
        <v>20.475000000000001</v>
      </c>
      <c r="G677" s="61">
        <v>107.7629</v>
      </c>
      <c r="H677" s="61">
        <v>1.6388</v>
      </c>
    </row>
    <row r="678" spans="1:8" x14ac:dyDescent="0.15">
      <c r="A678" s="61" t="s">
        <v>13</v>
      </c>
      <c r="B678" s="61">
        <v>2500</v>
      </c>
      <c r="C678" s="61">
        <v>19</v>
      </c>
      <c r="D678" s="61">
        <v>8.6400000000000005E-2</v>
      </c>
      <c r="E678" s="61">
        <v>361.71069999999997</v>
      </c>
      <c r="F678" s="61">
        <v>20.46</v>
      </c>
      <c r="G678" s="61">
        <v>107.68559999999999</v>
      </c>
      <c r="H678" s="61">
        <v>1.6308</v>
      </c>
    </row>
    <row r="679" spans="1:8" x14ac:dyDescent="0.15">
      <c r="A679" s="61" t="s">
        <v>13</v>
      </c>
      <c r="B679" s="61">
        <v>2500</v>
      </c>
      <c r="C679" s="61">
        <v>19</v>
      </c>
      <c r="D679" s="61">
        <v>8.6300000000000002E-2</v>
      </c>
      <c r="E679" s="61">
        <v>362.02080000000001</v>
      </c>
      <c r="F679" s="61">
        <v>20.478000000000002</v>
      </c>
      <c r="G679" s="61">
        <v>107.7779</v>
      </c>
      <c r="H679" s="61">
        <v>1.6436999999999999</v>
      </c>
    </row>
    <row r="680" spans="1:8" x14ac:dyDescent="0.15">
      <c r="A680" s="61" t="s">
        <v>13</v>
      </c>
      <c r="B680" s="61">
        <v>2500</v>
      </c>
      <c r="C680" s="61">
        <v>19</v>
      </c>
      <c r="D680" s="61">
        <v>8.6400000000000005E-2</v>
      </c>
      <c r="E680" s="61">
        <v>361.88249999999999</v>
      </c>
      <c r="F680" s="61">
        <v>20.47</v>
      </c>
      <c r="G680" s="61">
        <v>107.7367</v>
      </c>
      <c r="H680" s="61">
        <v>1.6467000000000001</v>
      </c>
    </row>
    <row r="681" spans="1:8" x14ac:dyDescent="0.15">
      <c r="A681" s="61" t="s">
        <v>13</v>
      </c>
      <c r="B681" s="61">
        <v>2500</v>
      </c>
      <c r="C681" s="61">
        <v>19</v>
      </c>
      <c r="D681" s="61">
        <v>8.6300000000000002E-2</v>
      </c>
      <c r="E681" s="61">
        <v>361.96210000000002</v>
      </c>
      <c r="F681" s="61">
        <v>20.474</v>
      </c>
      <c r="G681" s="61">
        <v>107.7604</v>
      </c>
      <c r="H681" s="61">
        <v>1.6407</v>
      </c>
    </row>
    <row r="682" spans="1:8" x14ac:dyDescent="0.15">
      <c r="A682" s="61" t="s">
        <v>13</v>
      </c>
      <c r="B682" s="61">
        <v>2500</v>
      </c>
      <c r="C682" s="61">
        <v>19</v>
      </c>
      <c r="D682" s="61">
        <v>8.6400000000000005E-2</v>
      </c>
      <c r="E682" s="61">
        <v>361.81540000000001</v>
      </c>
      <c r="F682" s="61">
        <v>20.466000000000001</v>
      </c>
      <c r="G682" s="61">
        <v>107.7167</v>
      </c>
      <c r="H682" s="61">
        <v>1.6408</v>
      </c>
    </row>
    <row r="683" spans="1:8" x14ac:dyDescent="0.15">
      <c r="A683" s="61" t="s">
        <v>13</v>
      </c>
      <c r="B683" s="61">
        <v>2500</v>
      </c>
      <c r="C683" s="61">
        <v>19</v>
      </c>
      <c r="D683" s="61">
        <v>8.6400000000000005E-2</v>
      </c>
      <c r="E683" s="61">
        <v>361.68560000000002</v>
      </c>
      <c r="F683" s="61">
        <v>20.459</v>
      </c>
      <c r="G683" s="61">
        <v>107.6781</v>
      </c>
      <c r="H683" s="61">
        <v>1.6427</v>
      </c>
    </row>
    <row r="684" spans="1:8" x14ac:dyDescent="0.15">
      <c r="A684" s="61" t="s">
        <v>13</v>
      </c>
      <c r="B684" s="61">
        <v>2500</v>
      </c>
      <c r="C684" s="61">
        <v>19</v>
      </c>
      <c r="D684" s="61">
        <v>8.6400000000000005E-2</v>
      </c>
      <c r="E684" s="61">
        <v>361.8741</v>
      </c>
      <c r="F684" s="61">
        <v>20.469000000000001</v>
      </c>
      <c r="G684" s="61">
        <v>107.7342</v>
      </c>
      <c r="H684" s="61">
        <v>1.6408</v>
      </c>
    </row>
    <row r="685" spans="1:8" x14ac:dyDescent="0.15">
      <c r="A685" s="61" t="s">
        <v>13</v>
      </c>
      <c r="B685" s="61">
        <v>2500</v>
      </c>
      <c r="C685" s="61">
        <v>19</v>
      </c>
      <c r="D685" s="61">
        <v>8.6400000000000005E-2</v>
      </c>
      <c r="E685" s="61">
        <v>361.56849999999997</v>
      </c>
      <c r="F685" s="61">
        <v>20.452000000000002</v>
      </c>
      <c r="G685" s="61">
        <v>107.64319999999999</v>
      </c>
      <c r="H685" s="61">
        <v>1.6428</v>
      </c>
    </row>
    <row r="686" spans="1:8" x14ac:dyDescent="0.15">
      <c r="A686" s="61" t="s">
        <v>13</v>
      </c>
      <c r="B686" s="61">
        <v>2500</v>
      </c>
      <c r="C686" s="61">
        <v>19</v>
      </c>
      <c r="D686" s="61">
        <v>8.6300000000000002E-2</v>
      </c>
      <c r="E686" s="61">
        <v>361.94540000000001</v>
      </c>
      <c r="F686" s="61">
        <v>20.474</v>
      </c>
      <c r="G686" s="61">
        <v>107.75539999999999</v>
      </c>
      <c r="H686" s="61">
        <v>1.6396999999999999</v>
      </c>
    </row>
    <row r="687" spans="1:8" x14ac:dyDescent="0.15">
      <c r="A687" s="61" t="s">
        <v>13</v>
      </c>
      <c r="B687" s="61">
        <v>2500</v>
      </c>
      <c r="C687" s="61">
        <v>19</v>
      </c>
      <c r="D687" s="61">
        <v>8.6499999999999994E-2</v>
      </c>
      <c r="E687" s="61">
        <v>361.41370000000001</v>
      </c>
      <c r="F687" s="61">
        <v>20.443000000000001</v>
      </c>
      <c r="G687" s="61">
        <v>107.5971</v>
      </c>
      <c r="H687" s="61">
        <v>1.6436999999999999</v>
      </c>
    </row>
    <row r="688" spans="1:8" x14ac:dyDescent="0.15">
      <c r="A688" s="61" t="s">
        <v>13</v>
      </c>
      <c r="B688" s="61">
        <v>2500</v>
      </c>
      <c r="C688" s="61">
        <v>19</v>
      </c>
      <c r="D688" s="61">
        <v>8.6300000000000002E-2</v>
      </c>
      <c r="E688" s="61">
        <v>362.28519999999997</v>
      </c>
      <c r="F688" s="61">
        <v>20.492999999999999</v>
      </c>
      <c r="G688" s="61">
        <v>107.8566</v>
      </c>
      <c r="H688" s="61">
        <v>1.6387</v>
      </c>
    </row>
    <row r="689" spans="1:8" x14ac:dyDescent="0.15">
      <c r="A689" s="61" t="s">
        <v>13</v>
      </c>
      <c r="B689" s="61">
        <v>2500</v>
      </c>
      <c r="C689" s="61">
        <v>19</v>
      </c>
      <c r="D689" s="61">
        <v>8.6300000000000002E-2</v>
      </c>
      <c r="E689" s="61">
        <v>361.94540000000001</v>
      </c>
      <c r="F689" s="61">
        <v>20.474</v>
      </c>
      <c r="G689" s="61">
        <v>107.75539999999999</v>
      </c>
      <c r="H689" s="61">
        <v>1.6397999999999999</v>
      </c>
    </row>
    <row r="690" spans="1:8" x14ac:dyDescent="0.15">
      <c r="A690" s="61" t="s">
        <v>13</v>
      </c>
      <c r="B690" s="61">
        <v>2500</v>
      </c>
      <c r="C690" s="61">
        <v>19</v>
      </c>
      <c r="D690" s="61">
        <v>8.6300000000000002E-2</v>
      </c>
      <c r="E690" s="61">
        <v>362.15089999999998</v>
      </c>
      <c r="F690" s="61">
        <v>20.484999999999999</v>
      </c>
      <c r="G690" s="61">
        <v>107.81659999999999</v>
      </c>
      <c r="H690" s="61">
        <v>1.6397999999999999</v>
      </c>
    </row>
    <row r="691" spans="1:8" x14ac:dyDescent="0.15">
      <c r="A691" s="61" t="s">
        <v>13</v>
      </c>
      <c r="B691" s="61">
        <v>2500</v>
      </c>
      <c r="C691" s="61">
        <v>19</v>
      </c>
      <c r="D691" s="61">
        <v>8.6400000000000005E-2</v>
      </c>
      <c r="E691" s="61">
        <v>361.77780000000001</v>
      </c>
      <c r="F691" s="61">
        <v>20.463999999999999</v>
      </c>
      <c r="G691" s="61">
        <v>107.7055</v>
      </c>
      <c r="H691" s="61">
        <v>1.6408</v>
      </c>
    </row>
    <row r="692" spans="1:8" x14ac:dyDescent="0.15">
      <c r="A692" s="61" t="s">
        <v>13</v>
      </c>
      <c r="B692" s="61">
        <v>2500</v>
      </c>
      <c r="C692" s="61">
        <v>19</v>
      </c>
      <c r="D692" s="61">
        <v>8.6400000000000005E-2</v>
      </c>
      <c r="E692" s="61">
        <v>361.65640000000002</v>
      </c>
      <c r="F692" s="61">
        <v>20.457000000000001</v>
      </c>
      <c r="G692" s="61">
        <v>107.6694</v>
      </c>
      <c r="H692" s="61">
        <v>1.6417999999999999</v>
      </c>
    </row>
    <row r="693" spans="1:8" x14ac:dyDescent="0.15">
      <c r="A693" s="61" t="s">
        <v>13</v>
      </c>
      <c r="B693" s="61">
        <v>2500</v>
      </c>
      <c r="C693" s="61">
        <v>19</v>
      </c>
      <c r="D693" s="61">
        <v>8.6499999999999994E-2</v>
      </c>
      <c r="E693" s="61">
        <v>361.47230000000002</v>
      </c>
      <c r="F693" s="61">
        <v>20.446999999999999</v>
      </c>
      <c r="G693" s="61">
        <v>107.6146</v>
      </c>
      <c r="H693" s="61">
        <v>1.6427</v>
      </c>
    </row>
    <row r="694" spans="1:8" x14ac:dyDescent="0.15">
      <c r="A694" s="61" t="s">
        <v>13</v>
      </c>
      <c r="B694" s="61">
        <v>2500</v>
      </c>
      <c r="C694" s="61">
        <v>19</v>
      </c>
      <c r="D694" s="61">
        <v>8.6400000000000005E-2</v>
      </c>
      <c r="E694" s="61">
        <v>361.69400000000002</v>
      </c>
      <c r="F694" s="61">
        <v>20.459</v>
      </c>
      <c r="G694" s="61">
        <v>107.6806</v>
      </c>
      <c r="H694" s="61">
        <v>1.6417999999999999</v>
      </c>
    </row>
    <row r="695" spans="1:8" x14ac:dyDescent="0.15">
      <c r="A695" s="61" t="s">
        <v>13</v>
      </c>
      <c r="B695" s="61">
        <v>2500</v>
      </c>
      <c r="C695" s="61">
        <v>19</v>
      </c>
      <c r="D695" s="61">
        <v>8.6300000000000002E-2</v>
      </c>
      <c r="E695" s="61">
        <v>361.99149999999997</v>
      </c>
      <c r="F695" s="61">
        <v>20.475999999999999</v>
      </c>
      <c r="G695" s="61">
        <v>107.76909999999999</v>
      </c>
      <c r="H695" s="61">
        <v>1.6397999999999999</v>
      </c>
    </row>
    <row r="696" spans="1:8" x14ac:dyDescent="0.15">
      <c r="A696" s="61" t="s">
        <v>13</v>
      </c>
      <c r="B696" s="61">
        <v>2500</v>
      </c>
      <c r="C696" s="61">
        <v>19</v>
      </c>
      <c r="D696" s="61">
        <v>8.6400000000000005E-2</v>
      </c>
      <c r="E696" s="61">
        <v>361.61450000000002</v>
      </c>
      <c r="F696" s="61">
        <v>20.454999999999998</v>
      </c>
      <c r="G696" s="61">
        <v>107.65689999999999</v>
      </c>
      <c r="H696" s="61">
        <v>1.6427</v>
      </c>
    </row>
    <row r="697" spans="1:8" x14ac:dyDescent="0.15">
      <c r="A697" s="61" t="s">
        <v>13</v>
      </c>
      <c r="B697" s="61">
        <v>2500</v>
      </c>
      <c r="C697" s="61">
        <v>19</v>
      </c>
      <c r="D697" s="61">
        <v>8.6499999999999994E-2</v>
      </c>
      <c r="E697" s="61">
        <v>361.37200000000001</v>
      </c>
      <c r="F697" s="61">
        <v>20.440999999999999</v>
      </c>
      <c r="G697" s="61">
        <v>107.5847</v>
      </c>
      <c r="H697" s="61">
        <v>1.6437999999999999</v>
      </c>
    </row>
    <row r="698" spans="1:8" x14ac:dyDescent="0.15">
      <c r="A698" s="61" t="s">
        <v>13</v>
      </c>
      <c r="B698" s="61">
        <v>2500</v>
      </c>
      <c r="C698" s="61">
        <v>19</v>
      </c>
      <c r="D698" s="61">
        <v>8.6499999999999994E-2</v>
      </c>
      <c r="E698" s="61">
        <v>361.45549999999997</v>
      </c>
      <c r="F698" s="61">
        <v>20.446000000000002</v>
      </c>
      <c r="G698" s="61">
        <v>107.6096</v>
      </c>
      <c r="H698" s="61">
        <v>1.6416999999999999</v>
      </c>
    </row>
    <row r="699" spans="1:8" x14ac:dyDescent="0.15">
      <c r="A699" s="61" t="s">
        <v>13</v>
      </c>
      <c r="B699" s="61">
        <v>2500</v>
      </c>
      <c r="C699" s="61">
        <v>19</v>
      </c>
      <c r="D699" s="61">
        <v>8.6599999999999996E-2</v>
      </c>
      <c r="E699" s="61">
        <v>360.75040000000001</v>
      </c>
      <c r="F699" s="61">
        <v>20.405999999999999</v>
      </c>
      <c r="G699" s="61">
        <v>107.39960000000001</v>
      </c>
      <c r="H699" s="61">
        <v>1.6468</v>
      </c>
    </row>
    <row r="700" spans="1:8" x14ac:dyDescent="0.15">
      <c r="A700" s="61" t="s">
        <v>13</v>
      </c>
      <c r="B700" s="61">
        <v>2500</v>
      </c>
      <c r="C700" s="61">
        <v>19</v>
      </c>
      <c r="D700" s="61">
        <v>8.6300000000000002E-2</v>
      </c>
      <c r="E700" s="61">
        <v>362.00409999999999</v>
      </c>
      <c r="F700" s="61">
        <v>20.477</v>
      </c>
      <c r="G700" s="61">
        <v>107.77290000000001</v>
      </c>
      <c r="H700" s="61">
        <v>1.6387</v>
      </c>
    </row>
    <row r="701" spans="1:8" x14ac:dyDescent="0.15">
      <c r="A701" s="61" t="s">
        <v>13</v>
      </c>
      <c r="B701" s="61">
        <v>2500</v>
      </c>
      <c r="C701" s="61">
        <v>19</v>
      </c>
      <c r="D701" s="61">
        <v>8.6599999999999996E-2</v>
      </c>
      <c r="E701" s="61">
        <v>360.78370000000001</v>
      </c>
      <c r="F701" s="61">
        <v>20.408000000000001</v>
      </c>
      <c r="G701" s="61">
        <v>107.4096</v>
      </c>
      <c r="H701" s="61">
        <v>1.6457999999999999</v>
      </c>
    </row>
    <row r="702" spans="1:8" x14ac:dyDescent="0.15">
      <c r="A702" s="61" t="s">
        <v>13</v>
      </c>
      <c r="B702" s="61">
        <v>2500</v>
      </c>
      <c r="C702" s="61">
        <v>19</v>
      </c>
      <c r="D702" s="61">
        <v>8.6400000000000005E-2</v>
      </c>
      <c r="E702" s="61">
        <v>361.80290000000002</v>
      </c>
      <c r="F702" s="61">
        <v>20.465</v>
      </c>
      <c r="G702" s="61">
        <v>107.71299999999999</v>
      </c>
      <c r="H702" s="61">
        <v>1.6417999999999999</v>
      </c>
    </row>
    <row r="703" spans="1:8" x14ac:dyDescent="0.15">
      <c r="A703" s="61" t="s">
        <v>13</v>
      </c>
      <c r="B703" s="61">
        <v>2500</v>
      </c>
      <c r="C703" s="61">
        <v>19</v>
      </c>
      <c r="D703" s="61">
        <v>8.6300000000000002E-2</v>
      </c>
      <c r="E703" s="61">
        <v>362.05849999999998</v>
      </c>
      <c r="F703" s="61">
        <v>20.48</v>
      </c>
      <c r="G703" s="61">
        <v>107.7891</v>
      </c>
      <c r="H703" s="61">
        <v>1.6387</v>
      </c>
    </row>
    <row r="704" spans="1:8" x14ac:dyDescent="0.15">
      <c r="A704" s="61" t="s">
        <v>13</v>
      </c>
      <c r="B704" s="61">
        <v>2500</v>
      </c>
      <c r="C704" s="61">
        <v>19</v>
      </c>
      <c r="D704" s="61">
        <v>8.6199999999999999E-2</v>
      </c>
      <c r="E704" s="61">
        <v>362.34399999999999</v>
      </c>
      <c r="F704" s="61">
        <v>20.495999999999999</v>
      </c>
      <c r="G704" s="61">
        <v>107.8741</v>
      </c>
      <c r="H704" s="61">
        <v>1.6337999999999999</v>
      </c>
    </row>
    <row r="705" spans="1:8" x14ac:dyDescent="0.15">
      <c r="A705" s="61" t="s">
        <v>13</v>
      </c>
      <c r="B705" s="61">
        <v>2500</v>
      </c>
      <c r="C705" s="61">
        <v>19</v>
      </c>
      <c r="D705" s="61">
        <v>8.6400000000000005E-2</v>
      </c>
      <c r="E705" s="61">
        <v>361.58519999999999</v>
      </c>
      <c r="F705" s="61">
        <v>20.452999999999999</v>
      </c>
      <c r="G705" s="61">
        <v>107.6482</v>
      </c>
      <c r="H705" s="61">
        <v>1.6488</v>
      </c>
    </row>
    <row r="706" spans="1:8" x14ac:dyDescent="0.15">
      <c r="A706" s="61" t="s">
        <v>13</v>
      </c>
      <c r="B706" s="61">
        <v>2500</v>
      </c>
      <c r="C706" s="61">
        <v>19</v>
      </c>
      <c r="D706" s="61">
        <v>8.6400000000000005E-2</v>
      </c>
      <c r="E706" s="61">
        <v>361.65640000000002</v>
      </c>
      <c r="F706" s="61">
        <v>20.457000000000001</v>
      </c>
      <c r="G706" s="61">
        <v>107.6694</v>
      </c>
      <c r="H706" s="61">
        <v>1.6417999999999999</v>
      </c>
    </row>
    <row r="707" spans="1:8" x14ac:dyDescent="0.15">
      <c r="A707" s="61" t="s">
        <v>13</v>
      </c>
      <c r="B707" s="61">
        <v>2500</v>
      </c>
      <c r="C707" s="61">
        <v>19</v>
      </c>
      <c r="D707" s="61">
        <v>8.6499999999999994E-2</v>
      </c>
      <c r="E707" s="61">
        <v>361.23829999999998</v>
      </c>
      <c r="F707" s="61">
        <v>20.434000000000001</v>
      </c>
      <c r="G707" s="61">
        <v>107.5449</v>
      </c>
      <c r="H707" s="61">
        <v>1.6436999999999999</v>
      </c>
    </row>
    <row r="708" spans="1:8" x14ac:dyDescent="0.15">
      <c r="A708" s="61" t="s">
        <v>13</v>
      </c>
      <c r="B708" s="61">
        <v>2500</v>
      </c>
      <c r="C708" s="61">
        <v>19</v>
      </c>
      <c r="D708" s="61">
        <v>8.6400000000000005E-2</v>
      </c>
      <c r="E708" s="61">
        <v>361.8741</v>
      </c>
      <c r="F708" s="61">
        <v>20.469000000000001</v>
      </c>
      <c r="G708" s="61">
        <v>107.7342</v>
      </c>
      <c r="H708" s="61">
        <v>1.6408</v>
      </c>
    </row>
    <row r="709" spans="1:8" x14ac:dyDescent="0.15">
      <c r="A709" s="61" t="s">
        <v>13</v>
      </c>
      <c r="B709" s="61">
        <v>2500</v>
      </c>
      <c r="C709" s="61">
        <v>19</v>
      </c>
      <c r="D709" s="61">
        <v>8.6400000000000005E-2</v>
      </c>
      <c r="E709" s="61">
        <v>361.73169999999999</v>
      </c>
      <c r="F709" s="61">
        <v>20.460999999999999</v>
      </c>
      <c r="G709" s="61">
        <v>107.6918</v>
      </c>
      <c r="H709" s="61">
        <v>1.6416999999999999</v>
      </c>
    </row>
    <row r="710" spans="1:8" x14ac:dyDescent="0.15">
      <c r="A710" s="61" t="s">
        <v>13</v>
      </c>
      <c r="B710" s="61">
        <v>2500</v>
      </c>
      <c r="C710" s="61">
        <v>19</v>
      </c>
      <c r="D710" s="61">
        <v>8.6400000000000005E-2</v>
      </c>
      <c r="E710" s="61">
        <v>361.81959999999998</v>
      </c>
      <c r="F710" s="61">
        <v>20.466000000000001</v>
      </c>
      <c r="G710" s="61">
        <v>107.718</v>
      </c>
      <c r="H710" s="61">
        <v>1.6408</v>
      </c>
    </row>
    <row r="711" spans="1:8" x14ac:dyDescent="0.15">
      <c r="A711" s="61" t="s">
        <v>13</v>
      </c>
      <c r="B711" s="61">
        <v>2500</v>
      </c>
      <c r="C711" s="61">
        <v>19</v>
      </c>
      <c r="D711" s="61">
        <v>8.6300000000000002E-2</v>
      </c>
      <c r="E711" s="61">
        <v>362.22649999999999</v>
      </c>
      <c r="F711" s="61">
        <v>20.489000000000001</v>
      </c>
      <c r="G711" s="61">
        <v>107.8391</v>
      </c>
      <c r="H711" s="61">
        <v>1.6396999999999999</v>
      </c>
    </row>
    <row r="712" spans="1:8" x14ac:dyDescent="0.15">
      <c r="A712" s="61" t="s">
        <v>13</v>
      </c>
      <c r="B712" s="61">
        <v>2500</v>
      </c>
      <c r="C712" s="61">
        <v>19</v>
      </c>
      <c r="D712" s="61">
        <v>8.6400000000000005E-2</v>
      </c>
      <c r="E712" s="61">
        <v>361.76519999999999</v>
      </c>
      <c r="F712" s="61">
        <v>20.463000000000001</v>
      </c>
      <c r="G712" s="61">
        <v>107.70180000000001</v>
      </c>
      <c r="H712" s="61">
        <v>1.6408</v>
      </c>
    </row>
    <row r="713" spans="1:8" x14ac:dyDescent="0.15">
      <c r="A713" s="61" t="s">
        <v>13</v>
      </c>
      <c r="B713" s="61">
        <v>2500</v>
      </c>
      <c r="C713" s="61">
        <v>19</v>
      </c>
      <c r="D713" s="61">
        <v>8.6300000000000002E-2</v>
      </c>
      <c r="E713" s="61">
        <v>361.95370000000003</v>
      </c>
      <c r="F713" s="61">
        <v>20.474</v>
      </c>
      <c r="G713" s="61">
        <v>107.75790000000001</v>
      </c>
      <c r="H713" s="61">
        <v>1.6396999999999999</v>
      </c>
    </row>
    <row r="714" spans="1:8" x14ac:dyDescent="0.15">
      <c r="A714" s="61" t="s">
        <v>13</v>
      </c>
      <c r="B714" s="61">
        <v>2500</v>
      </c>
      <c r="C714" s="61">
        <v>19</v>
      </c>
      <c r="D714" s="61">
        <v>8.6300000000000002E-2</v>
      </c>
      <c r="E714" s="61">
        <v>362.03339999999997</v>
      </c>
      <c r="F714" s="61">
        <v>20.478999999999999</v>
      </c>
      <c r="G714" s="61">
        <v>107.7816</v>
      </c>
      <c r="H714" s="61">
        <v>1.6408</v>
      </c>
    </row>
    <row r="715" spans="1:8" x14ac:dyDescent="0.15">
      <c r="A715" s="61" t="s">
        <v>13</v>
      </c>
      <c r="B715" s="61">
        <v>2500</v>
      </c>
      <c r="C715" s="61">
        <v>19</v>
      </c>
      <c r="D715" s="61">
        <v>8.6400000000000005E-2</v>
      </c>
      <c r="E715" s="61">
        <v>361.68150000000003</v>
      </c>
      <c r="F715" s="61">
        <v>20.459</v>
      </c>
      <c r="G715" s="61">
        <v>107.6768</v>
      </c>
      <c r="H715" s="61">
        <v>1.6416999999999999</v>
      </c>
    </row>
    <row r="716" spans="1:8" x14ac:dyDescent="0.15">
      <c r="A716" s="61" t="s">
        <v>13</v>
      </c>
      <c r="B716" s="61">
        <v>2500</v>
      </c>
      <c r="C716" s="61">
        <v>20</v>
      </c>
      <c r="D716" s="61">
        <v>7.7200000000000005E-2</v>
      </c>
      <c r="E716" s="61">
        <v>404.99209999999999</v>
      </c>
      <c r="F716" s="61">
        <v>22.908000000000001</v>
      </c>
      <c r="G716" s="61">
        <v>114.5424</v>
      </c>
      <c r="H716" s="61">
        <v>1.5358000000000001</v>
      </c>
    </row>
    <row r="717" spans="1:8" x14ac:dyDescent="0.15">
      <c r="A717" s="61" t="s">
        <v>13</v>
      </c>
      <c r="B717" s="61">
        <v>2500</v>
      </c>
      <c r="C717" s="61">
        <v>20</v>
      </c>
      <c r="D717" s="61">
        <v>7.6499999999999999E-2</v>
      </c>
      <c r="E717" s="61">
        <v>408.48610000000002</v>
      </c>
      <c r="F717" s="61">
        <v>23.106000000000002</v>
      </c>
      <c r="G717" s="61">
        <v>115.53060000000001</v>
      </c>
      <c r="H717" s="61">
        <v>1.5307999999999999</v>
      </c>
    </row>
    <row r="718" spans="1:8" x14ac:dyDescent="0.15">
      <c r="A718" s="61" t="s">
        <v>13</v>
      </c>
      <c r="B718" s="61">
        <v>2500</v>
      </c>
      <c r="C718" s="61">
        <v>20</v>
      </c>
      <c r="D718" s="61">
        <v>7.7299999999999994E-2</v>
      </c>
      <c r="E718" s="61">
        <v>404.12790000000001</v>
      </c>
      <c r="F718" s="61">
        <v>22.86</v>
      </c>
      <c r="G718" s="61">
        <v>114.298</v>
      </c>
      <c r="H718" s="61">
        <v>1.5458000000000001</v>
      </c>
    </row>
    <row r="719" spans="1:8" x14ac:dyDescent="0.15">
      <c r="A719" s="61" t="s">
        <v>13</v>
      </c>
      <c r="B719" s="61">
        <v>2500</v>
      </c>
      <c r="C719" s="61">
        <v>20</v>
      </c>
      <c r="D719" s="61">
        <v>7.6899999999999996E-2</v>
      </c>
      <c r="E719" s="61">
        <v>406.44589999999999</v>
      </c>
      <c r="F719" s="61">
        <v>22.991</v>
      </c>
      <c r="G719" s="61">
        <v>114.95359999999999</v>
      </c>
      <c r="H719" s="61">
        <v>1.5378000000000001</v>
      </c>
    </row>
    <row r="720" spans="1:8" x14ac:dyDescent="0.15">
      <c r="A720" s="61" t="s">
        <v>13</v>
      </c>
      <c r="B720" s="61">
        <v>2500</v>
      </c>
      <c r="C720" s="61">
        <v>20</v>
      </c>
      <c r="D720" s="61">
        <v>7.6600000000000001E-2</v>
      </c>
      <c r="E720" s="61">
        <v>407.70800000000003</v>
      </c>
      <c r="F720" s="61">
        <v>23.062000000000001</v>
      </c>
      <c r="G720" s="61">
        <v>115.3105</v>
      </c>
      <c r="H720" s="61">
        <v>1.5327999999999999</v>
      </c>
    </row>
    <row r="721" spans="1:8" x14ac:dyDescent="0.15">
      <c r="A721" s="61" t="s">
        <v>13</v>
      </c>
      <c r="B721" s="61">
        <v>2500</v>
      </c>
      <c r="C721" s="61">
        <v>20</v>
      </c>
      <c r="D721" s="61">
        <v>7.5399999999999995E-2</v>
      </c>
      <c r="E721" s="61">
        <v>414.48919999999998</v>
      </c>
      <c r="F721" s="61">
        <v>23.446000000000002</v>
      </c>
      <c r="G721" s="61">
        <v>117.22839999999999</v>
      </c>
      <c r="H721" s="61">
        <v>1.5078</v>
      </c>
    </row>
    <row r="722" spans="1:8" x14ac:dyDescent="0.15">
      <c r="A722" s="61" t="s">
        <v>13</v>
      </c>
      <c r="B722" s="61">
        <v>2500</v>
      </c>
      <c r="C722" s="61">
        <v>20</v>
      </c>
      <c r="D722" s="61">
        <v>7.6899999999999996E-2</v>
      </c>
      <c r="E722" s="61">
        <v>406.16590000000002</v>
      </c>
      <c r="F722" s="61">
        <v>22.975000000000001</v>
      </c>
      <c r="G722" s="61">
        <v>114.87439999999999</v>
      </c>
      <c r="H722" s="61">
        <v>1.5387999999999999</v>
      </c>
    </row>
    <row r="723" spans="1:8" x14ac:dyDescent="0.15">
      <c r="A723" s="61" t="s">
        <v>13</v>
      </c>
      <c r="B723" s="61">
        <v>2500</v>
      </c>
      <c r="C723" s="61">
        <v>20</v>
      </c>
      <c r="D723" s="61">
        <v>7.5300000000000006E-2</v>
      </c>
      <c r="E723" s="61">
        <v>415.23820000000001</v>
      </c>
      <c r="F723" s="61">
        <v>23.488</v>
      </c>
      <c r="G723" s="61">
        <v>117.44029999999999</v>
      </c>
      <c r="H723" s="61">
        <v>1.5047999999999999</v>
      </c>
    </row>
    <row r="724" spans="1:8" x14ac:dyDescent="0.15">
      <c r="A724" s="61" t="s">
        <v>13</v>
      </c>
      <c r="B724" s="61">
        <v>2500</v>
      </c>
      <c r="C724" s="61">
        <v>20</v>
      </c>
      <c r="D724" s="61">
        <v>7.5499999999999998E-2</v>
      </c>
      <c r="E724" s="61">
        <v>413.858</v>
      </c>
      <c r="F724" s="61">
        <v>23.41</v>
      </c>
      <c r="G724" s="61">
        <v>117.04989999999999</v>
      </c>
      <c r="H724" s="61">
        <v>1.5107999999999999</v>
      </c>
    </row>
    <row r="725" spans="1:8" x14ac:dyDescent="0.15">
      <c r="A725" s="61" t="s">
        <v>13</v>
      </c>
      <c r="B725" s="61">
        <v>2500</v>
      </c>
      <c r="C725" s="61">
        <v>20</v>
      </c>
      <c r="D725" s="61">
        <v>7.5300000000000006E-2</v>
      </c>
      <c r="E725" s="61">
        <v>415.1114</v>
      </c>
      <c r="F725" s="61">
        <v>23.481000000000002</v>
      </c>
      <c r="G725" s="61">
        <v>117.4044</v>
      </c>
      <c r="H725" s="61">
        <v>1.5047999999999999</v>
      </c>
    </row>
    <row r="726" spans="1:8" x14ac:dyDescent="0.15">
      <c r="A726" s="61" t="s">
        <v>13</v>
      </c>
      <c r="B726" s="61">
        <v>2500</v>
      </c>
      <c r="C726" s="61">
        <v>20</v>
      </c>
      <c r="D726" s="61">
        <v>7.7100000000000002E-2</v>
      </c>
      <c r="E726" s="61">
        <v>405.54399999999998</v>
      </c>
      <c r="F726" s="61">
        <v>22.94</v>
      </c>
      <c r="G726" s="61">
        <v>114.6985</v>
      </c>
      <c r="H726" s="61">
        <v>1.5407999999999999</v>
      </c>
    </row>
    <row r="727" spans="1:8" x14ac:dyDescent="0.15">
      <c r="A727" s="61" t="s">
        <v>13</v>
      </c>
      <c r="B727" s="61">
        <v>2500</v>
      </c>
      <c r="C727" s="61">
        <v>20</v>
      </c>
      <c r="D727" s="61">
        <v>7.6600000000000001E-2</v>
      </c>
      <c r="E727" s="61">
        <v>407.7133</v>
      </c>
      <c r="F727" s="61">
        <v>23.062000000000001</v>
      </c>
      <c r="G727" s="61">
        <v>115.312</v>
      </c>
      <c r="H727" s="61">
        <v>1.5338000000000001</v>
      </c>
    </row>
    <row r="728" spans="1:8" x14ac:dyDescent="0.15">
      <c r="A728" s="61" t="s">
        <v>13</v>
      </c>
      <c r="B728" s="61">
        <v>2500</v>
      </c>
      <c r="C728" s="61">
        <v>20</v>
      </c>
      <c r="D728" s="61">
        <v>7.5899999999999995E-2</v>
      </c>
      <c r="E728" s="61">
        <v>411.59039999999999</v>
      </c>
      <c r="F728" s="61">
        <v>23.282</v>
      </c>
      <c r="G728" s="61">
        <v>116.40860000000001</v>
      </c>
      <c r="H728" s="61">
        <v>1.5187999999999999</v>
      </c>
    </row>
    <row r="729" spans="1:8" x14ac:dyDescent="0.15">
      <c r="A729" s="61" t="s">
        <v>13</v>
      </c>
      <c r="B729" s="61">
        <v>2500</v>
      </c>
      <c r="C729" s="61">
        <v>20</v>
      </c>
      <c r="D729" s="61">
        <v>7.6899999999999996E-2</v>
      </c>
      <c r="E729" s="61">
        <v>406.50400000000002</v>
      </c>
      <c r="F729" s="61">
        <v>22.994</v>
      </c>
      <c r="G729" s="61">
        <v>114.97</v>
      </c>
      <c r="H729" s="61">
        <v>1.5378000000000001</v>
      </c>
    </row>
    <row r="730" spans="1:8" x14ac:dyDescent="0.15">
      <c r="A730" s="61" t="s">
        <v>13</v>
      </c>
      <c r="B730" s="61">
        <v>2500</v>
      </c>
      <c r="C730" s="61">
        <v>20</v>
      </c>
      <c r="D730" s="61">
        <v>7.6100000000000001E-2</v>
      </c>
      <c r="E730" s="61">
        <v>410.6816</v>
      </c>
      <c r="F730" s="61">
        <v>23.23</v>
      </c>
      <c r="G730" s="61">
        <v>116.1515</v>
      </c>
      <c r="H730" s="61">
        <v>1.5138</v>
      </c>
    </row>
    <row r="731" spans="1:8" x14ac:dyDescent="0.15">
      <c r="A731" s="61" t="s">
        <v>13</v>
      </c>
      <c r="B731" s="61">
        <v>2500</v>
      </c>
      <c r="C731" s="61">
        <v>20</v>
      </c>
      <c r="D731" s="61">
        <v>7.6300000000000007E-2</v>
      </c>
      <c r="E731" s="61">
        <v>409.40120000000002</v>
      </c>
      <c r="F731" s="61">
        <v>23.158000000000001</v>
      </c>
      <c r="G731" s="61">
        <v>115.7894</v>
      </c>
      <c r="H731" s="61">
        <v>1.5178</v>
      </c>
    </row>
    <row r="732" spans="1:8" x14ac:dyDescent="0.15">
      <c r="A732" s="61" t="s">
        <v>13</v>
      </c>
      <c r="B732" s="61">
        <v>2500</v>
      </c>
      <c r="C732" s="61">
        <v>20</v>
      </c>
      <c r="D732" s="61">
        <v>7.5200000000000003E-2</v>
      </c>
      <c r="E732" s="61">
        <v>415.46460000000002</v>
      </c>
      <c r="F732" s="61">
        <v>23.501000000000001</v>
      </c>
      <c r="G732" s="61">
        <v>117.5043</v>
      </c>
      <c r="H732" s="61">
        <v>1.4998</v>
      </c>
    </row>
    <row r="733" spans="1:8" x14ac:dyDescent="0.15">
      <c r="A733" s="61" t="s">
        <v>13</v>
      </c>
      <c r="B733" s="61">
        <v>2500</v>
      </c>
      <c r="C733" s="61">
        <v>20</v>
      </c>
      <c r="D733" s="61">
        <v>7.51E-2</v>
      </c>
      <c r="E733" s="61">
        <v>416.07310000000001</v>
      </c>
      <c r="F733" s="61">
        <v>23.535</v>
      </c>
      <c r="G733" s="61">
        <v>117.6764</v>
      </c>
      <c r="H733" s="61">
        <v>1.5207999999999999</v>
      </c>
    </row>
    <row r="734" spans="1:8" x14ac:dyDescent="0.15">
      <c r="A734" s="61" t="s">
        <v>13</v>
      </c>
      <c r="B734" s="61">
        <v>2500</v>
      </c>
      <c r="C734" s="61">
        <v>20</v>
      </c>
      <c r="D734" s="61">
        <v>7.6200000000000004E-2</v>
      </c>
      <c r="E734" s="61">
        <v>410.09960000000001</v>
      </c>
      <c r="F734" s="61">
        <v>23.196999999999999</v>
      </c>
      <c r="G734" s="61">
        <v>115.98690000000001</v>
      </c>
      <c r="H734" s="61">
        <v>1.5218</v>
      </c>
    </row>
    <row r="735" spans="1:8" x14ac:dyDescent="0.15">
      <c r="A735" s="61" t="s">
        <v>13</v>
      </c>
      <c r="B735" s="61">
        <v>2500</v>
      </c>
      <c r="C735" s="61">
        <v>20</v>
      </c>
      <c r="D735" s="61">
        <v>7.5399999999999995E-2</v>
      </c>
      <c r="E735" s="61">
        <v>414.30239999999998</v>
      </c>
      <c r="F735" s="61">
        <v>23.434999999999999</v>
      </c>
      <c r="G735" s="61">
        <v>117.1756</v>
      </c>
      <c r="H735" s="61">
        <v>1.5078</v>
      </c>
    </row>
    <row r="736" spans="1:8" x14ac:dyDescent="0.15">
      <c r="A736" s="61" t="s">
        <v>13</v>
      </c>
      <c r="B736" s="61">
        <v>2500</v>
      </c>
      <c r="C736" s="61">
        <v>20</v>
      </c>
      <c r="D736" s="61">
        <v>7.5399999999999995E-2</v>
      </c>
      <c r="E736" s="61">
        <v>414.57170000000002</v>
      </c>
      <c r="F736" s="61">
        <v>23.45</v>
      </c>
      <c r="G736" s="61">
        <v>117.2517</v>
      </c>
      <c r="H736" s="61">
        <v>1.5078</v>
      </c>
    </row>
    <row r="737" spans="1:8" x14ac:dyDescent="0.15">
      <c r="A737" s="61" t="s">
        <v>13</v>
      </c>
      <c r="B737" s="61">
        <v>2500</v>
      </c>
      <c r="C737" s="61">
        <v>20</v>
      </c>
      <c r="D737" s="61">
        <v>7.6999999999999999E-2</v>
      </c>
      <c r="E737" s="61">
        <v>405.99709999999999</v>
      </c>
      <c r="F737" s="61">
        <v>22.965</v>
      </c>
      <c r="G737" s="61">
        <v>114.8266</v>
      </c>
      <c r="H737" s="61">
        <v>1.5398000000000001</v>
      </c>
    </row>
    <row r="738" spans="1:8" x14ac:dyDescent="0.15">
      <c r="A738" s="61" t="s">
        <v>13</v>
      </c>
      <c r="B738" s="61">
        <v>2500</v>
      </c>
      <c r="C738" s="61">
        <v>20</v>
      </c>
      <c r="D738" s="61">
        <v>7.5499999999999998E-2</v>
      </c>
      <c r="E738" s="61">
        <v>413.68270000000001</v>
      </c>
      <c r="F738" s="61">
        <v>23.4</v>
      </c>
      <c r="G738" s="61">
        <v>117.0003</v>
      </c>
      <c r="H738" s="61">
        <v>1.5087999999999999</v>
      </c>
    </row>
    <row r="739" spans="1:8" x14ac:dyDescent="0.15">
      <c r="A739" s="61" t="s">
        <v>13</v>
      </c>
      <c r="B739" s="61">
        <v>2500</v>
      </c>
      <c r="C739" s="61">
        <v>20</v>
      </c>
      <c r="D739" s="61">
        <v>7.5399999999999995E-2</v>
      </c>
      <c r="E739" s="61">
        <v>414.209</v>
      </c>
      <c r="F739" s="61">
        <v>23.43</v>
      </c>
      <c r="G739" s="61">
        <v>117.14919999999999</v>
      </c>
      <c r="H739" s="61">
        <v>1.5087999999999999</v>
      </c>
    </row>
    <row r="740" spans="1:8" x14ac:dyDescent="0.15">
      <c r="A740" s="61" t="s">
        <v>13</v>
      </c>
      <c r="B740" s="61">
        <v>2500</v>
      </c>
      <c r="C740" s="61">
        <v>20</v>
      </c>
      <c r="D740" s="61">
        <v>7.5300000000000006E-2</v>
      </c>
      <c r="E740" s="61">
        <v>414.78629999999998</v>
      </c>
      <c r="F740" s="61">
        <v>23.462</v>
      </c>
      <c r="G740" s="61">
        <v>117.3124</v>
      </c>
      <c r="H740" s="61">
        <v>1.5067999999999999</v>
      </c>
    </row>
    <row r="741" spans="1:8" x14ac:dyDescent="0.15">
      <c r="A741" s="61" t="s">
        <v>13</v>
      </c>
      <c r="B741" s="61">
        <v>2500</v>
      </c>
      <c r="C741" s="61">
        <v>20</v>
      </c>
      <c r="D741" s="61">
        <v>7.5399999999999995E-2</v>
      </c>
      <c r="E741" s="61">
        <v>414.30239999999998</v>
      </c>
      <c r="F741" s="61">
        <v>23.434999999999999</v>
      </c>
      <c r="G741" s="61">
        <v>117.1756</v>
      </c>
      <c r="H741" s="61">
        <v>1.5078</v>
      </c>
    </row>
    <row r="742" spans="1:8" x14ac:dyDescent="0.15">
      <c r="A742" s="61" t="s">
        <v>13</v>
      </c>
      <c r="B742" s="61">
        <v>2500</v>
      </c>
      <c r="C742" s="61">
        <v>20</v>
      </c>
      <c r="D742" s="61">
        <v>7.5399999999999995E-2</v>
      </c>
      <c r="E742" s="61">
        <v>414.31889999999999</v>
      </c>
      <c r="F742" s="61">
        <v>23.436</v>
      </c>
      <c r="G742" s="61">
        <v>117.1802</v>
      </c>
      <c r="H742" s="61">
        <v>1.5087999999999999</v>
      </c>
    </row>
    <row r="743" spans="1:8" x14ac:dyDescent="0.15">
      <c r="A743" s="61" t="s">
        <v>13</v>
      </c>
      <c r="B743" s="61">
        <v>2500</v>
      </c>
      <c r="C743" s="61">
        <v>20</v>
      </c>
      <c r="D743" s="61">
        <v>7.5399999999999995E-2</v>
      </c>
      <c r="E743" s="61">
        <v>414.32440000000003</v>
      </c>
      <c r="F743" s="61">
        <v>23.436</v>
      </c>
      <c r="G743" s="61">
        <v>117.1818</v>
      </c>
      <c r="H743" s="61">
        <v>1.5087999999999999</v>
      </c>
    </row>
    <row r="744" spans="1:8" x14ac:dyDescent="0.15">
      <c r="A744" s="61" t="s">
        <v>13</v>
      </c>
      <c r="B744" s="61">
        <v>2500</v>
      </c>
      <c r="C744" s="61">
        <v>20</v>
      </c>
      <c r="D744" s="61">
        <v>7.5999999999999998E-2</v>
      </c>
      <c r="E744" s="61">
        <v>411.18419999999998</v>
      </c>
      <c r="F744" s="61">
        <v>23.259</v>
      </c>
      <c r="G744" s="61">
        <v>116.2937</v>
      </c>
      <c r="H744" s="61">
        <v>1.5198</v>
      </c>
    </row>
    <row r="745" spans="1:8" x14ac:dyDescent="0.15">
      <c r="A745" s="61" t="s">
        <v>13</v>
      </c>
      <c r="B745" s="61">
        <v>2500</v>
      </c>
      <c r="C745" s="61">
        <v>20</v>
      </c>
      <c r="D745" s="61">
        <v>7.5300000000000006E-2</v>
      </c>
      <c r="E745" s="61">
        <v>414.84690000000001</v>
      </c>
      <c r="F745" s="61">
        <v>23.466000000000001</v>
      </c>
      <c r="G745" s="61">
        <v>117.3296</v>
      </c>
      <c r="H745" s="61">
        <v>1.5067999999999999</v>
      </c>
    </row>
    <row r="746" spans="1:8" x14ac:dyDescent="0.15">
      <c r="A746" s="61" t="s">
        <v>13</v>
      </c>
      <c r="B746" s="61">
        <v>2500</v>
      </c>
      <c r="C746" s="61">
        <v>20</v>
      </c>
      <c r="D746" s="61">
        <v>7.5499999999999998E-2</v>
      </c>
      <c r="E746" s="61">
        <v>413.6662</v>
      </c>
      <c r="F746" s="61">
        <v>23.399000000000001</v>
      </c>
      <c r="G746" s="61">
        <v>116.9957</v>
      </c>
      <c r="H746" s="61">
        <v>1.5118</v>
      </c>
    </row>
    <row r="747" spans="1:8" x14ac:dyDescent="0.15">
      <c r="A747" s="61" t="s">
        <v>13</v>
      </c>
      <c r="B747" s="61">
        <v>2500</v>
      </c>
      <c r="C747" s="61">
        <v>20</v>
      </c>
      <c r="D747" s="61">
        <v>7.5300000000000006E-2</v>
      </c>
      <c r="E747" s="61">
        <v>414.81380000000001</v>
      </c>
      <c r="F747" s="61">
        <v>23.463999999999999</v>
      </c>
      <c r="G747" s="61">
        <v>117.3202</v>
      </c>
      <c r="H747" s="61">
        <v>1.5067999999999999</v>
      </c>
    </row>
    <row r="748" spans="1:8" x14ac:dyDescent="0.15">
      <c r="A748" s="61" t="s">
        <v>13</v>
      </c>
      <c r="B748" s="61">
        <v>2500</v>
      </c>
      <c r="C748" s="61">
        <v>20</v>
      </c>
      <c r="D748" s="61">
        <v>7.5300000000000006E-2</v>
      </c>
      <c r="E748" s="61">
        <v>415.26580000000001</v>
      </c>
      <c r="F748" s="61">
        <v>23.49</v>
      </c>
      <c r="G748" s="61">
        <v>117.4481</v>
      </c>
      <c r="H748" s="61">
        <v>1.5047999999999999</v>
      </c>
    </row>
    <row r="749" spans="1:8" x14ac:dyDescent="0.15">
      <c r="A749" s="61" t="s">
        <v>13</v>
      </c>
      <c r="B749" s="61">
        <v>2500</v>
      </c>
      <c r="C749" s="61">
        <v>20</v>
      </c>
      <c r="D749" s="61">
        <v>8.2199999999999995E-2</v>
      </c>
      <c r="E749" s="61">
        <v>380.24889999999999</v>
      </c>
      <c r="F749" s="61">
        <v>21.509</v>
      </c>
      <c r="G749" s="61">
        <v>107.5444</v>
      </c>
      <c r="H749" s="61">
        <v>1.6356999999999999</v>
      </c>
    </row>
    <row r="750" spans="1:8" x14ac:dyDescent="0.15">
      <c r="A750" s="61" t="s">
        <v>13</v>
      </c>
      <c r="B750" s="61">
        <v>2500</v>
      </c>
      <c r="C750" s="61">
        <v>20</v>
      </c>
      <c r="D750" s="61">
        <v>7.5200000000000003E-2</v>
      </c>
      <c r="E750" s="61">
        <v>415.34870000000001</v>
      </c>
      <c r="F750" s="61">
        <v>23.494</v>
      </c>
      <c r="G750" s="61">
        <v>117.47150000000001</v>
      </c>
      <c r="H750" s="61">
        <v>1.5058</v>
      </c>
    </row>
    <row r="751" spans="1:8" x14ac:dyDescent="0.15">
      <c r="A751" s="61" t="s">
        <v>13</v>
      </c>
      <c r="B751" s="61">
        <v>2500</v>
      </c>
      <c r="C751" s="61">
        <v>20</v>
      </c>
      <c r="D751" s="61">
        <v>7.5499999999999998E-2</v>
      </c>
      <c r="E751" s="61">
        <v>414.0444</v>
      </c>
      <c r="F751" s="61">
        <v>23.420999999999999</v>
      </c>
      <c r="G751" s="61">
        <v>117.1026</v>
      </c>
      <c r="H751" s="61">
        <v>1.5087999999999999</v>
      </c>
    </row>
    <row r="752" spans="1:8" x14ac:dyDescent="0.15">
      <c r="A752" s="61" t="s">
        <v>13</v>
      </c>
      <c r="B752" s="61">
        <v>2500</v>
      </c>
      <c r="C752" s="61">
        <v>20</v>
      </c>
      <c r="D752" s="61">
        <v>7.5499999999999998E-2</v>
      </c>
      <c r="E752" s="61">
        <v>413.84699999999998</v>
      </c>
      <c r="F752" s="61">
        <v>23.408999999999999</v>
      </c>
      <c r="G752" s="61">
        <v>117.0468</v>
      </c>
      <c r="H752" s="61">
        <v>1.5107999999999999</v>
      </c>
    </row>
    <row r="753" spans="1:8" x14ac:dyDescent="0.15">
      <c r="A753" s="61" t="s">
        <v>13</v>
      </c>
      <c r="B753" s="61">
        <v>2500</v>
      </c>
      <c r="C753" s="61">
        <v>20</v>
      </c>
      <c r="D753" s="61">
        <v>7.5499999999999998E-2</v>
      </c>
      <c r="E753" s="61">
        <v>413.74290000000002</v>
      </c>
      <c r="F753" s="61">
        <v>23.402999999999999</v>
      </c>
      <c r="G753" s="61">
        <v>117.01730000000001</v>
      </c>
      <c r="H753" s="61">
        <v>1.5107999999999999</v>
      </c>
    </row>
    <row r="754" spans="1:8" x14ac:dyDescent="0.15">
      <c r="A754" s="61" t="s">
        <v>13</v>
      </c>
      <c r="B754" s="61">
        <v>2500</v>
      </c>
      <c r="C754" s="61">
        <v>20</v>
      </c>
      <c r="D754" s="61">
        <v>7.5399999999999995E-2</v>
      </c>
      <c r="E754" s="61">
        <v>414.2749</v>
      </c>
      <c r="F754" s="61">
        <v>23.434000000000001</v>
      </c>
      <c r="G754" s="61">
        <v>117.1678</v>
      </c>
      <c r="H754" s="61">
        <v>1.5098</v>
      </c>
    </row>
    <row r="755" spans="1:8" x14ac:dyDescent="0.15">
      <c r="A755" s="61" t="s">
        <v>13</v>
      </c>
      <c r="B755" s="61">
        <v>2500</v>
      </c>
      <c r="C755" s="61">
        <v>20</v>
      </c>
      <c r="D755" s="61">
        <v>7.5300000000000006E-2</v>
      </c>
      <c r="E755" s="61">
        <v>415.19409999999999</v>
      </c>
      <c r="F755" s="61">
        <v>23.486000000000001</v>
      </c>
      <c r="G755" s="61">
        <v>117.4278</v>
      </c>
      <c r="H755" s="61">
        <v>1.5058</v>
      </c>
    </row>
    <row r="756" spans="1:8" x14ac:dyDescent="0.15">
      <c r="A756" s="61" t="s">
        <v>13</v>
      </c>
      <c r="B756" s="61">
        <v>2500</v>
      </c>
      <c r="C756" s="61">
        <v>20</v>
      </c>
      <c r="D756" s="61">
        <v>7.5200000000000003E-2</v>
      </c>
      <c r="E756" s="61">
        <v>415.36520000000002</v>
      </c>
      <c r="F756" s="61">
        <v>23.495000000000001</v>
      </c>
      <c r="G756" s="61">
        <v>117.47620000000001</v>
      </c>
      <c r="H756" s="61">
        <v>1.5047999999999999</v>
      </c>
    </row>
    <row r="757" spans="1:8" x14ac:dyDescent="0.15">
      <c r="A757" s="61" t="s">
        <v>13</v>
      </c>
      <c r="B757" s="61">
        <v>2500</v>
      </c>
      <c r="C757" s="61">
        <v>20</v>
      </c>
      <c r="D757" s="61">
        <v>7.5200000000000003E-2</v>
      </c>
      <c r="E757" s="61">
        <v>415.69119999999998</v>
      </c>
      <c r="F757" s="61">
        <v>23.513999999999999</v>
      </c>
      <c r="G757" s="61">
        <v>117.5684</v>
      </c>
      <c r="H757" s="61">
        <v>1.5038</v>
      </c>
    </row>
    <row r="758" spans="1:8" x14ac:dyDescent="0.15">
      <c r="A758" s="61" t="s">
        <v>13</v>
      </c>
      <c r="B758" s="61">
        <v>2500</v>
      </c>
      <c r="C758" s="61">
        <v>20</v>
      </c>
      <c r="D758" s="61">
        <v>7.5499999999999998E-2</v>
      </c>
      <c r="E758" s="61">
        <v>413.67720000000003</v>
      </c>
      <c r="F758" s="61">
        <v>23.4</v>
      </c>
      <c r="G758" s="61">
        <v>116.9987</v>
      </c>
      <c r="H758" s="61">
        <v>1.5107999999999999</v>
      </c>
    </row>
    <row r="759" spans="1:8" x14ac:dyDescent="0.15">
      <c r="A759" s="61" t="s">
        <v>13</v>
      </c>
      <c r="B759" s="61">
        <v>2500</v>
      </c>
      <c r="C759" s="61">
        <v>20</v>
      </c>
      <c r="D759" s="61">
        <v>7.5499999999999998E-2</v>
      </c>
      <c r="E759" s="61">
        <v>413.86340000000001</v>
      </c>
      <c r="F759" s="61">
        <v>23.41</v>
      </c>
      <c r="G759" s="61">
        <v>117.0514</v>
      </c>
      <c r="H759" s="61">
        <v>1.5018</v>
      </c>
    </row>
    <row r="760" spans="1:8" x14ac:dyDescent="0.15">
      <c r="A760" s="61" t="s">
        <v>13</v>
      </c>
      <c r="B760" s="61">
        <v>2500</v>
      </c>
      <c r="C760" s="61">
        <v>20</v>
      </c>
      <c r="D760" s="61">
        <v>7.5300000000000006E-2</v>
      </c>
      <c r="E760" s="61">
        <v>415.22719999999998</v>
      </c>
      <c r="F760" s="61">
        <v>23.486999999999998</v>
      </c>
      <c r="G760" s="61">
        <v>117.4372</v>
      </c>
      <c r="H760" s="61">
        <v>1.4998</v>
      </c>
    </row>
    <row r="761" spans="1:8" x14ac:dyDescent="0.15">
      <c r="A761" s="61" t="s">
        <v>13</v>
      </c>
      <c r="B761" s="61">
        <v>2500</v>
      </c>
      <c r="C761" s="61">
        <v>20</v>
      </c>
      <c r="D761" s="61">
        <v>7.5300000000000006E-2</v>
      </c>
      <c r="E761" s="61">
        <v>414.85789999999997</v>
      </c>
      <c r="F761" s="61">
        <v>23.466999999999999</v>
      </c>
      <c r="G761" s="61">
        <v>117.3327</v>
      </c>
      <c r="H761" s="61">
        <v>1.5198</v>
      </c>
    </row>
    <row r="762" spans="1:8" x14ac:dyDescent="0.15">
      <c r="A762" s="61" t="s">
        <v>13</v>
      </c>
      <c r="B762" s="61">
        <v>2500</v>
      </c>
      <c r="C762" s="61">
        <v>20</v>
      </c>
      <c r="D762" s="61">
        <v>7.5200000000000003E-2</v>
      </c>
      <c r="E762" s="61">
        <v>415.35419999999999</v>
      </c>
      <c r="F762" s="61">
        <v>23.495000000000001</v>
      </c>
      <c r="G762" s="61">
        <v>117.473</v>
      </c>
      <c r="H762" s="61">
        <v>1.5058</v>
      </c>
    </row>
    <row r="763" spans="1:8" x14ac:dyDescent="0.15">
      <c r="A763" s="61" t="s">
        <v>13</v>
      </c>
      <c r="B763" s="61">
        <v>2500</v>
      </c>
      <c r="C763" s="61">
        <v>20</v>
      </c>
      <c r="D763" s="61">
        <v>7.5499999999999998E-2</v>
      </c>
      <c r="E763" s="61">
        <v>413.8689</v>
      </c>
      <c r="F763" s="61">
        <v>23.411000000000001</v>
      </c>
      <c r="G763" s="61">
        <v>117.053</v>
      </c>
      <c r="H763" s="61">
        <v>1.5107999999999999</v>
      </c>
    </row>
    <row r="764" spans="1:8" x14ac:dyDescent="0.15">
      <c r="A764" s="61" t="s">
        <v>13</v>
      </c>
      <c r="B764" s="61">
        <v>2500</v>
      </c>
      <c r="C764" s="61">
        <v>20</v>
      </c>
      <c r="D764" s="61">
        <v>7.5499999999999998E-2</v>
      </c>
      <c r="E764" s="61">
        <v>414.1103</v>
      </c>
      <c r="F764" s="61">
        <v>23.423999999999999</v>
      </c>
      <c r="G764" s="61">
        <v>117.1212</v>
      </c>
      <c r="H764" s="61">
        <v>1.5098</v>
      </c>
    </row>
    <row r="765" spans="1:8" x14ac:dyDescent="0.15">
      <c r="A765" s="61" t="s">
        <v>13</v>
      </c>
      <c r="B765" s="61">
        <v>2500</v>
      </c>
      <c r="C765" s="61">
        <v>20</v>
      </c>
      <c r="D765" s="61">
        <v>7.5200000000000003E-2</v>
      </c>
      <c r="E765" s="61">
        <v>415.66910000000001</v>
      </c>
      <c r="F765" s="61">
        <v>23.512</v>
      </c>
      <c r="G765" s="61">
        <v>117.5621</v>
      </c>
      <c r="H765" s="61">
        <v>1.5038</v>
      </c>
    </row>
    <row r="766" spans="1:8" x14ac:dyDescent="0.15">
      <c r="A766" s="61" t="s">
        <v>13</v>
      </c>
      <c r="B766" s="61">
        <v>2500</v>
      </c>
      <c r="C766" s="61">
        <v>20</v>
      </c>
      <c r="D766" s="61">
        <v>7.5600000000000001E-2</v>
      </c>
      <c r="E766" s="61">
        <v>413.38170000000002</v>
      </c>
      <c r="F766" s="61">
        <v>23.382999999999999</v>
      </c>
      <c r="G766" s="61">
        <v>116.9152</v>
      </c>
      <c r="H766" s="61">
        <v>1.5118</v>
      </c>
    </row>
    <row r="767" spans="1:8" x14ac:dyDescent="0.15">
      <c r="A767" s="61" t="s">
        <v>13</v>
      </c>
      <c r="B767" s="61">
        <v>2505</v>
      </c>
      <c r="C767" s="61">
        <v>1</v>
      </c>
      <c r="D767" s="61">
        <v>1.8096000000000001</v>
      </c>
      <c r="E767" s="61">
        <v>17.372399999999999</v>
      </c>
      <c r="F767" s="61">
        <v>1</v>
      </c>
      <c r="G767" s="61">
        <v>100</v>
      </c>
      <c r="H767" s="61">
        <v>8.4606999999999992</v>
      </c>
    </row>
    <row r="768" spans="1:8" x14ac:dyDescent="0.15">
      <c r="A768" s="61" t="s">
        <v>13</v>
      </c>
      <c r="B768" s="61">
        <v>2505</v>
      </c>
      <c r="C768" s="61">
        <v>1</v>
      </c>
      <c r="D768" s="61">
        <v>1.1958</v>
      </c>
      <c r="E768" s="61">
        <v>26.290199999999999</v>
      </c>
      <c r="F768" s="61">
        <v>1.5129999999999999</v>
      </c>
      <c r="G768" s="61">
        <v>151.3331</v>
      </c>
      <c r="H768" s="61">
        <v>1.1968000000000001</v>
      </c>
    </row>
    <row r="769" spans="1:8" x14ac:dyDescent="0.15">
      <c r="A769" s="61" t="s">
        <v>13</v>
      </c>
      <c r="B769" s="61">
        <v>2505</v>
      </c>
      <c r="C769" s="61">
        <v>1</v>
      </c>
      <c r="D769" s="61">
        <v>1.1728000000000001</v>
      </c>
      <c r="E769" s="61">
        <v>26.8048</v>
      </c>
      <c r="F769" s="61">
        <v>1.5429999999999999</v>
      </c>
      <c r="G769" s="61">
        <v>154.29509999999999</v>
      </c>
      <c r="H769" s="61">
        <v>1.1738</v>
      </c>
    </row>
    <row r="770" spans="1:8" x14ac:dyDescent="0.15">
      <c r="A770" s="61" t="s">
        <v>13</v>
      </c>
      <c r="B770" s="61">
        <v>2505</v>
      </c>
      <c r="C770" s="61">
        <v>1</v>
      </c>
      <c r="D770" s="61">
        <v>1.1738</v>
      </c>
      <c r="E770" s="61">
        <v>26.783000000000001</v>
      </c>
      <c r="F770" s="61">
        <v>1.542</v>
      </c>
      <c r="G770" s="61">
        <v>154.1696</v>
      </c>
      <c r="H770" s="61">
        <v>1.1738</v>
      </c>
    </row>
    <row r="771" spans="1:8" x14ac:dyDescent="0.15">
      <c r="A771" s="61" t="s">
        <v>13</v>
      </c>
      <c r="B771" s="61">
        <v>2505</v>
      </c>
      <c r="C771" s="61">
        <v>1</v>
      </c>
      <c r="D771" s="61">
        <v>1.1733</v>
      </c>
      <c r="E771" s="61">
        <v>26.7942</v>
      </c>
      <c r="F771" s="61">
        <v>1.542</v>
      </c>
      <c r="G771" s="61">
        <v>154.23410000000001</v>
      </c>
      <c r="H771" s="61">
        <v>1.1738</v>
      </c>
    </row>
    <row r="772" spans="1:8" x14ac:dyDescent="0.15">
      <c r="A772" s="61" t="s">
        <v>13</v>
      </c>
      <c r="B772" s="61">
        <v>2505</v>
      </c>
      <c r="C772" s="61">
        <v>1</v>
      </c>
      <c r="D772" s="61">
        <v>1.1728000000000001</v>
      </c>
      <c r="E772" s="61">
        <v>26.806699999999999</v>
      </c>
      <c r="F772" s="61">
        <v>1.5429999999999999</v>
      </c>
      <c r="G772" s="61">
        <v>154.30629999999999</v>
      </c>
      <c r="H772" s="61">
        <v>1.1738</v>
      </c>
    </row>
    <row r="773" spans="1:8" x14ac:dyDescent="0.15">
      <c r="A773" s="61" t="s">
        <v>13</v>
      </c>
      <c r="B773" s="61">
        <v>2505</v>
      </c>
      <c r="C773" s="61">
        <v>19</v>
      </c>
      <c r="D773" s="61">
        <v>8.7599999999999997E-2</v>
      </c>
      <c r="E773" s="61">
        <v>358.92899999999997</v>
      </c>
      <c r="F773" s="61">
        <v>20.661000000000001</v>
      </c>
      <c r="G773" s="61">
        <v>108.7414</v>
      </c>
      <c r="H773" s="61">
        <v>1.6428</v>
      </c>
    </row>
    <row r="774" spans="1:8" x14ac:dyDescent="0.15">
      <c r="A774" s="61" t="s">
        <v>13</v>
      </c>
      <c r="B774" s="61">
        <v>2505</v>
      </c>
      <c r="C774" s="61">
        <v>19</v>
      </c>
      <c r="D774" s="61">
        <v>8.6099999999999996E-2</v>
      </c>
      <c r="E774" s="61">
        <v>365.25510000000003</v>
      </c>
      <c r="F774" s="61">
        <v>21.024999999999999</v>
      </c>
      <c r="G774" s="61">
        <v>110.658</v>
      </c>
      <c r="H774" s="61">
        <v>1.6356999999999999</v>
      </c>
    </row>
    <row r="775" spans="1:8" x14ac:dyDescent="0.15">
      <c r="A775" s="61" t="s">
        <v>13</v>
      </c>
      <c r="B775" s="61">
        <v>2505</v>
      </c>
      <c r="C775" s="61">
        <v>19</v>
      </c>
      <c r="D775" s="61">
        <v>8.5999999999999993E-2</v>
      </c>
      <c r="E775" s="61">
        <v>365.48020000000002</v>
      </c>
      <c r="F775" s="61">
        <v>21.038</v>
      </c>
      <c r="G775" s="61">
        <v>110.7261</v>
      </c>
      <c r="H775" s="61">
        <v>1.6348</v>
      </c>
    </row>
    <row r="776" spans="1:8" x14ac:dyDescent="0.15">
      <c r="A776" s="61" t="s">
        <v>13</v>
      </c>
      <c r="B776" s="61">
        <v>2505</v>
      </c>
      <c r="C776" s="61">
        <v>19</v>
      </c>
      <c r="D776" s="61">
        <v>8.5999999999999993E-2</v>
      </c>
      <c r="E776" s="61">
        <v>365.46749999999997</v>
      </c>
      <c r="F776" s="61">
        <v>21.036999999999999</v>
      </c>
      <c r="G776" s="61">
        <v>110.7223</v>
      </c>
      <c r="H776" s="61">
        <v>1.6348</v>
      </c>
    </row>
    <row r="777" spans="1:8" x14ac:dyDescent="0.15">
      <c r="A777" s="61" t="s">
        <v>13</v>
      </c>
      <c r="B777" s="61">
        <v>2505</v>
      </c>
      <c r="C777" s="61">
        <v>19</v>
      </c>
      <c r="D777" s="61">
        <v>8.5999999999999993E-2</v>
      </c>
      <c r="E777" s="61">
        <v>365.35700000000003</v>
      </c>
      <c r="F777" s="61">
        <v>21.030999999999999</v>
      </c>
      <c r="G777" s="61">
        <v>110.6888</v>
      </c>
      <c r="H777" s="61">
        <v>1.6348</v>
      </c>
    </row>
    <row r="778" spans="1:8" x14ac:dyDescent="0.15">
      <c r="A778" s="61" t="s">
        <v>13</v>
      </c>
      <c r="B778" s="61">
        <v>2505</v>
      </c>
      <c r="C778" s="61">
        <v>19</v>
      </c>
      <c r="D778" s="61">
        <v>8.5900000000000004E-2</v>
      </c>
      <c r="E778" s="61">
        <v>365.93540000000002</v>
      </c>
      <c r="F778" s="61">
        <v>21.064</v>
      </c>
      <c r="G778" s="61">
        <v>110.86409999999999</v>
      </c>
      <c r="H778" s="61">
        <v>1.6317999999999999</v>
      </c>
    </row>
    <row r="779" spans="1:8" x14ac:dyDescent="0.15">
      <c r="A779" s="61" t="s">
        <v>13</v>
      </c>
      <c r="B779" s="61">
        <v>2505</v>
      </c>
      <c r="C779" s="61">
        <v>19</v>
      </c>
      <c r="D779" s="61">
        <v>8.6099999999999996E-2</v>
      </c>
      <c r="E779" s="61">
        <v>365.1576</v>
      </c>
      <c r="F779" s="61">
        <v>21.018999999999998</v>
      </c>
      <c r="G779" s="61">
        <v>110.6284</v>
      </c>
      <c r="H779" s="61">
        <v>1.6357999999999999</v>
      </c>
    </row>
    <row r="780" spans="1:8" x14ac:dyDescent="0.15">
      <c r="A780" s="61" t="s">
        <v>13</v>
      </c>
      <c r="B780" s="61">
        <v>2505</v>
      </c>
      <c r="C780" s="61">
        <v>19</v>
      </c>
      <c r="D780" s="61">
        <v>8.5900000000000004E-2</v>
      </c>
      <c r="E780" s="61">
        <v>365.78210000000001</v>
      </c>
      <c r="F780" s="61">
        <v>21.055</v>
      </c>
      <c r="G780" s="61">
        <v>110.8176</v>
      </c>
      <c r="H780" s="61">
        <v>1.6337999999999999</v>
      </c>
    </row>
    <row r="781" spans="1:8" x14ac:dyDescent="0.15">
      <c r="A781" s="61" t="s">
        <v>13</v>
      </c>
      <c r="B781" s="61">
        <v>2505</v>
      </c>
      <c r="C781" s="61">
        <v>19</v>
      </c>
      <c r="D781" s="61">
        <v>8.6099999999999996E-2</v>
      </c>
      <c r="E781" s="61">
        <v>365.20850000000002</v>
      </c>
      <c r="F781" s="61">
        <v>21.021999999999998</v>
      </c>
      <c r="G781" s="61">
        <v>110.6438</v>
      </c>
      <c r="H781" s="61">
        <v>1.6356999999999999</v>
      </c>
    </row>
    <row r="782" spans="1:8" x14ac:dyDescent="0.15">
      <c r="A782" s="61" t="s">
        <v>13</v>
      </c>
      <c r="B782" s="61">
        <v>2505</v>
      </c>
      <c r="C782" s="61">
        <v>19</v>
      </c>
      <c r="D782" s="61">
        <v>8.5999999999999993E-2</v>
      </c>
      <c r="E782" s="61">
        <v>365.48439999999999</v>
      </c>
      <c r="F782" s="61">
        <v>21.038</v>
      </c>
      <c r="G782" s="61">
        <v>110.7274</v>
      </c>
      <c r="H782" s="61">
        <v>1.6348</v>
      </c>
    </row>
    <row r="783" spans="1:8" x14ac:dyDescent="0.15">
      <c r="A783" s="61" t="s">
        <v>13</v>
      </c>
      <c r="B783" s="61">
        <v>2505</v>
      </c>
      <c r="C783" s="61">
        <v>19</v>
      </c>
      <c r="D783" s="61">
        <v>8.6099999999999996E-2</v>
      </c>
      <c r="E783" s="61">
        <v>365.23820000000001</v>
      </c>
      <c r="F783" s="61">
        <v>21.024000000000001</v>
      </c>
      <c r="G783" s="61">
        <v>110.6528</v>
      </c>
      <c r="H783" s="61">
        <v>1.6348</v>
      </c>
    </row>
    <row r="784" spans="1:8" x14ac:dyDescent="0.15">
      <c r="A784" s="61" t="s">
        <v>13</v>
      </c>
      <c r="B784" s="61">
        <v>2505</v>
      </c>
      <c r="C784" s="61">
        <v>19</v>
      </c>
      <c r="D784" s="61">
        <v>8.5999999999999993E-2</v>
      </c>
      <c r="E784" s="61">
        <v>365.49290000000002</v>
      </c>
      <c r="F784" s="61">
        <v>21.039000000000001</v>
      </c>
      <c r="G784" s="61">
        <v>110.73</v>
      </c>
      <c r="H784" s="61">
        <v>1.6348</v>
      </c>
    </row>
    <row r="785" spans="1:8" x14ac:dyDescent="0.15">
      <c r="A785" s="61" t="s">
        <v>13</v>
      </c>
      <c r="B785" s="61">
        <v>2505</v>
      </c>
      <c r="C785" s="61">
        <v>19</v>
      </c>
      <c r="D785" s="61">
        <v>8.5900000000000004E-2</v>
      </c>
      <c r="E785" s="61">
        <v>365.79489999999998</v>
      </c>
      <c r="F785" s="61">
        <v>21.056000000000001</v>
      </c>
      <c r="G785" s="61">
        <v>110.8215</v>
      </c>
      <c r="H785" s="61">
        <v>1.6257999999999999</v>
      </c>
    </row>
    <row r="786" spans="1:8" x14ac:dyDescent="0.15">
      <c r="A786" s="61" t="s">
        <v>13</v>
      </c>
      <c r="B786" s="61">
        <v>2505</v>
      </c>
      <c r="C786" s="61">
        <v>19</v>
      </c>
      <c r="D786" s="61">
        <v>8.5999999999999993E-2</v>
      </c>
      <c r="E786" s="61">
        <v>365.54820000000001</v>
      </c>
      <c r="F786" s="61">
        <v>21.042000000000002</v>
      </c>
      <c r="G786" s="61">
        <v>110.74679999999999</v>
      </c>
      <c r="H786" s="61">
        <v>1.6337999999999999</v>
      </c>
    </row>
    <row r="787" spans="1:8" x14ac:dyDescent="0.15">
      <c r="A787" s="61" t="s">
        <v>13</v>
      </c>
      <c r="B787" s="61">
        <v>2505</v>
      </c>
      <c r="C787" s="61">
        <v>19</v>
      </c>
      <c r="D787" s="61">
        <v>8.5999999999999993E-2</v>
      </c>
      <c r="E787" s="61">
        <v>365.48020000000002</v>
      </c>
      <c r="F787" s="61">
        <v>21.038</v>
      </c>
      <c r="G787" s="61">
        <v>110.7261</v>
      </c>
      <c r="H787" s="61">
        <v>1.6417999999999999</v>
      </c>
    </row>
    <row r="788" spans="1:8" x14ac:dyDescent="0.15">
      <c r="A788" s="61" t="s">
        <v>13</v>
      </c>
      <c r="B788" s="61">
        <v>2505</v>
      </c>
      <c r="C788" s="61">
        <v>19</v>
      </c>
      <c r="D788" s="61">
        <v>8.6099999999999996E-2</v>
      </c>
      <c r="E788" s="61">
        <v>365.31880000000001</v>
      </c>
      <c r="F788" s="61">
        <v>21.029</v>
      </c>
      <c r="G788" s="61">
        <v>110.6773</v>
      </c>
      <c r="H788" s="61">
        <v>1.6356999999999999</v>
      </c>
    </row>
    <row r="789" spans="1:8" x14ac:dyDescent="0.15">
      <c r="A789" s="61" t="s">
        <v>13</v>
      </c>
      <c r="B789" s="61">
        <v>2505</v>
      </c>
      <c r="C789" s="61">
        <v>19</v>
      </c>
      <c r="D789" s="61">
        <v>8.5999999999999993E-2</v>
      </c>
      <c r="E789" s="61">
        <v>365.42070000000001</v>
      </c>
      <c r="F789" s="61">
        <v>21.035</v>
      </c>
      <c r="G789" s="61">
        <v>110.7081</v>
      </c>
      <c r="H789" s="61">
        <v>1.6348</v>
      </c>
    </row>
    <row r="790" spans="1:8" x14ac:dyDescent="0.15">
      <c r="A790" s="61" t="s">
        <v>13</v>
      </c>
      <c r="B790" s="61">
        <v>2505</v>
      </c>
      <c r="C790" s="61">
        <v>19</v>
      </c>
      <c r="D790" s="61">
        <v>8.5999999999999993E-2</v>
      </c>
      <c r="E790" s="61">
        <v>365.65870000000001</v>
      </c>
      <c r="F790" s="61">
        <v>21.047999999999998</v>
      </c>
      <c r="G790" s="61">
        <v>110.78019999999999</v>
      </c>
      <c r="H790" s="61">
        <v>1.6337999999999999</v>
      </c>
    </row>
    <row r="791" spans="1:8" x14ac:dyDescent="0.15">
      <c r="A791" s="61" t="s">
        <v>13</v>
      </c>
      <c r="B791" s="61">
        <v>2505</v>
      </c>
      <c r="C791" s="61">
        <v>19</v>
      </c>
      <c r="D791" s="61">
        <v>8.5999999999999993E-2</v>
      </c>
      <c r="E791" s="61">
        <v>365.39949999999999</v>
      </c>
      <c r="F791" s="61">
        <v>21.033000000000001</v>
      </c>
      <c r="G791" s="61">
        <v>110.7017</v>
      </c>
      <c r="H791" s="61">
        <v>1.6337999999999999</v>
      </c>
    </row>
    <row r="792" spans="1:8" x14ac:dyDescent="0.15">
      <c r="A792" s="61" t="s">
        <v>13</v>
      </c>
      <c r="B792" s="61">
        <v>2505</v>
      </c>
      <c r="C792" s="61">
        <v>19</v>
      </c>
      <c r="D792" s="61">
        <v>8.5999999999999993E-2</v>
      </c>
      <c r="E792" s="61">
        <v>365.64170000000001</v>
      </c>
      <c r="F792" s="61">
        <v>21.047000000000001</v>
      </c>
      <c r="G792" s="61">
        <v>110.77509999999999</v>
      </c>
      <c r="H792" s="61">
        <v>1.6328</v>
      </c>
    </row>
    <row r="793" spans="1:8" x14ac:dyDescent="0.15">
      <c r="A793" s="61" t="s">
        <v>13</v>
      </c>
      <c r="B793" s="61">
        <v>2505</v>
      </c>
      <c r="C793" s="61">
        <v>19</v>
      </c>
      <c r="D793" s="61">
        <v>8.6099999999999996E-2</v>
      </c>
      <c r="E793" s="61">
        <v>365.32729999999998</v>
      </c>
      <c r="F793" s="61">
        <v>21.029</v>
      </c>
      <c r="G793" s="61">
        <v>110.6798</v>
      </c>
      <c r="H793" s="61">
        <v>1.6337999999999999</v>
      </c>
    </row>
    <row r="794" spans="1:8" x14ac:dyDescent="0.15">
      <c r="A794" s="61" t="s">
        <v>13</v>
      </c>
      <c r="B794" s="61">
        <v>2505</v>
      </c>
      <c r="C794" s="61">
        <v>19</v>
      </c>
      <c r="D794" s="61">
        <v>8.6099999999999996E-2</v>
      </c>
      <c r="E794" s="61">
        <v>365.30180000000001</v>
      </c>
      <c r="F794" s="61">
        <v>21.027999999999999</v>
      </c>
      <c r="G794" s="61">
        <v>110.6721</v>
      </c>
      <c r="H794" s="61">
        <v>1.6348</v>
      </c>
    </row>
    <row r="795" spans="1:8" x14ac:dyDescent="0.15">
      <c r="A795" s="61" t="s">
        <v>13</v>
      </c>
      <c r="B795" s="61">
        <v>2505</v>
      </c>
      <c r="C795" s="61">
        <v>19</v>
      </c>
      <c r="D795" s="61">
        <v>8.5999999999999993E-2</v>
      </c>
      <c r="E795" s="61">
        <v>365.47590000000002</v>
      </c>
      <c r="F795" s="61">
        <v>21.038</v>
      </c>
      <c r="G795" s="61">
        <v>110.72490000000001</v>
      </c>
      <c r="H795" s="61">
        <v>1.6337999999999999</v>
      </c>
    </row>
    <row r="796" spans="1:8" x14ac:dyDescent="0.15">
      <c r="A796" s="61" t="s">
        <v>13</v>
      </c>
      <c r="B796" s="61">
        <v>2505</v>
      </c>
      <c r="C796" s="61">
        <v>19</v>
      </c>
      <c r="D796" s="61">
        <v>8.5999999999999993E-2</v>
      </c>
      <c r="E796" s="61">
        <v>365.38679999999999</v>
      </c>
      <c r="F796" s="61">
        <v>21.033000000000001</v>
      </c>
      <c r="G796" s="61">
        <v>110.6978</v>
      </c>
      <c r="H796" s="61">
        <v>1.6337999999999999</v>
      </c>
    </row>
    <row r="797" spans="1:8" x14ac:dyDescent="0.15">
      <c r="A797" s="61" t="s">
        <v>13</v>
      </c>
      <c r="B797" s="61">
        <v>2505</v>
      </c>
      <c r="C797" s="61">
        <v>19</v>
      </c>
      <c r="D797" s="61">
        <v>8.5999999999999993E-2</v>
      </c>
      <c r="E797" s="61">
        <v>365.49720000000002</v>
      </c>
      <c r="F797" s="61">
        <v>21.039000000000001</v>
      </c>
      <c r="G797" s="61">
        <v>110.7313</v>
      </c>
      <c r="H797" s="61">
        <v>1.6337999999999999</v>
      </c>
    </row>
    <row r="798" spans="1:8" x14ac:dyDescent="0.15">
      <c r="A798" s="61" t="s">
        <v>13</v>
      </c>
      <c r="B798" s="61">
        <v>2505</v>
      </c>
      <c r="C798" s="61">
        <v>19</v>
      </c>
      <c r="D798" s="61">
        <v>8.5999999999999993E-2</v>
      </c>
      <c r="E798" s="61">
        <v>365.3698</v>
      </c>
      <c r="F798" s="61">
        <v>21.032</v>
      </c>
      <c r="G798" s="61">
        <v>110.6927</v>
      </c>
      <c r="H798" s="61">
        <v>1.6337999999999999</v>
      </c>
    </row>
    <row r="799" spans="1:8" x14ac:dyDescent="0.15">
      <c r="A799" s="61" t="s">
        <v>13</v>
      </c>
      <c r="B799" s="61">
        <v>2505</v>
      </c>
      <c r="C799" s="61">
        <v>19</v>
      </c>
      <c r="D799" s="61">
        <v>8.6099999999999996E-2</v>
      </c>
      <c r="E799" s="61">
        <v>365.16180000000003</v>
      </c>
      <c r="F799" s="61">
        <v>21.02</v>
      </c>
      <c r="G799" s="61">
        <v>110.6297</v>
      </c>
      <c r="H799" s="61">
        <v>1.6356999999999999</v>
      </c>
    </row>
    <row r="800" spans="1:8" x14ac:dyDescent="0.15">
      <c r="A800" s="61" t="s">
        <v>13</v>
      </c>
      <c r="B800" s="61">
        <v>2505</v>
      </c>
      <c r="C800" s="61">
        <v>19</v>
      </c>
      <c r="D800" s="61">
        <v>8.5999999999999993E-2</v>
      </c>
      <c r="E800" s="61">
        <v>365.66719999999998</v>
      </c>
      <c r="F800" s="61">
        <v>21.048999999999999</v>
      </c>
      <c r="G800" s="61">
        <v>110.78279999999999</v>
      </c>
      <c r="H800" s="61">
        <v>1.6328</v>
      </c>
    </row>
    <row r="801" spans="1:8" x14ac:dyDescent="0.15">
      <c r="A801" s="61" t="s">
        <v>13</v>
      </c>
      <c r="B801" s="61">
        <v>2505</v>
      </c>
      <c r="C801" s="61">
        <v>19</v>
      </c>
      <c r="D801" s="61">
        <v>8.6099999999999996E-2</v>
      </c>
      <c r="E801" s="61">
        <v>365.31880000000001</v>
      </c>
      <c r="F801" s="61">
        <v>21.029</v>
      </c>
      <c r="G801" s="61">
        <v>110.6773</v>
      </c>
      <c r="H801" s="61">
        <v>1.6356999999999999</v>
      </c>
    </row>
    <row r="802" spans="1:8" x14ac:dyDescent="0.15">
      <c r="A802" s="61" t="s">
        <v>13</v>
      </c>
      <c r="B802" s="61">
        <v>2505</v>
      </c>
      <c r="C802" s="61">
        <v>19</v>
      </c>
      <c r="D802" s="61">
        <v>8.5999999999999993E-2</v>
      </c>
      <c r="E802" s="61">
        <v>365.50139999999999</v>
      </c>
      <c r="F802" s="61">
        <v>21.039000000000001</v>
      </c>
      <c r="G802" s="61">
        <v>110.73260000000001</v>
      </c>
      <c r="H802" s="61">
        <v>1.6337999999999999</v>
      </c>
    </row>
    <row r="803" spans="1:8" x14ac:dyDescent="0.15">
      <c r="A803" s="61" t="s">
        <v>13</v>
      </c>
      <c r="B803" s="61">
        <v>2505</v>
      </c>
      <c r="C803" s="61">
        <v>19</v>
      </c>
      <c r="D803" s="61">
        <v>8.6099999999999996E-2</v>
      </c>
      <c r="E803" s="61">
        <v>365.29759999999999</v>
      </c>
      <c r="F803" s="61">
        <v>21.027000000000001</v>
      </c>
      <c r="G803" s="61">
        <v>110.6708</v>
      </c>
      <c r="H803" s="61">
        <v>1.6356999999999999</v>
      </c>
    </row>
    <row r="804" spans="1:8" x14ac:dyDescent="0.15">
      <c r="A804" s="61" t="s">
        <v>13</v>
      </c>
      <c r="B804" s="61">
        <v>2505</v>
      </c>
      <c r="C804" s="61">
        <v>19</v>
      </c>
      <c r="D804" s="61">
        <v>8.5999999999999993E-2</v>
      </c>
      <c r="E804" s="61">
        <v>365.56099999999998</v>
      </c>
      <c r="F804" s="61">
        <v>21.042999999999999</v>
      </c>
      <c r="G804" s="61">
        <v>110.75060000000001</v>
      </c>
      <c r="H804" s="61">
        <v>1.6337999999999999</v>
      </c>
    </row>
    <row r="805" spans="1:8" x14ac:dyDescent="0.15">
      <c r="A805" s="61" t="s">
        <v>13</v>
      </c>
      <c r="B805" s="61">
        <v>2505</v>
      </c>
      <c r="C805" s="61">
        <v>19</v>
      </c>
      <c r="D805" s="61">
        <v>8.6099999999999996E-2</v>
      </c>
      <c r="E805" s="61">
        <v>365.34</v>
      </c>
      <c r="F805" s="61">
        <v>21.03</v>
      </c>
      <c r="G805" s="61">
        <v>110.6837</v>
      </c>
      <c r="H805" s="61">
        <v>1.6348</v>
      </c>
    </row>
    <row r="806" spans="1:8" x14ac:dyDescent="0.15">
      <c r="A806" s="61" t="s">
        <v>13</v>
      </c>
      <c r="B806" s="61">
        <v>2505</v>
      </c>
      <c r="C806" s="61">
        <v>19</v>
      </c>
      <c r="D806" s="61">
        <v>8.5999999999999993E-2</v>
      </c>
      <c r="E806" s="61">
        <v>365.67149999999998</v>
      </c>
      <c r="F806" s="61">
        <v>21.048999999999999</v>
      </c>
      <c r="G806" s="61">
        <v>110.7841</v>
      </c>
      <c r="H806" s="61">
        <v>1.6337999999999999</v>
      </c>
    </row>
    <row r="807" spans="1:8" x14ac:dyDescent="0.15">
      <c r="A807" s="61" t="s">
        <v>13</v>
      </c>
      <c r="B807" s="61">
        <v>2505</v>
      </c>
      <c r="C807" s="61">
        <v>19</v>
      </c>
      <c r="D807" s="61">
        <v>8.5999999999999993E-2</v>
      </c>
      <c r="E807" s="61">
        <v>365.74380000000002</v>
      </c>
      <c r="F807" s="61">
        <v>21.053000000000001</v>
      </c>
      <c r="G807" s="61">
        <v>110.806</v>
      </c>
      <c r="H807" s="61">
        <v>1.6337999999999999</v>
      </c>
    </row>
    <row r="808" spans="1:8" x14ac:dyDescent="0.15">
      <c r="A808" s="61" t="s">
        <v>13</v>
      </c>
      <c r="B808" s="61">
        <v>2505</v>
      </c>
      <c r="C808" s="61">
        <v>19</v>
      </c>
      <c r="D808" s="61">
        <v>8.6099999999999996E-2</v>
      </c>
      <c r="E808" s="61">
        <v>365.2509</v>
      </c>
      <c r="F808" s="61">
        <v>21.024999999999999</v>
      </c>
      <c r="G808" s="61">
        <v>110.6567</v>
      </c>
      <c r="H808" s="61">
        <v>1.6348</v>
      </c>
    </row>
    <row r="809" spans="1:8" x14ac:dyDescent="0.15">
      <c r="A809" s="61" t="s">
        <v>13</v>
      </c>
      <c r="B809" s="61">
        <v>2505</v>
      </c>
      <c r="C809" s="61">
        <v>19</v>
      </c>
      <c r="D809" s="61">
        <v>8.5999999999999993E-2</v>
      </c>
      <c r="E809" s="61">
        <v>365.63749999999999</v>
      </c>
      <c r="F809" s="61">
        <v>21.047000000000001</v>
      </c>
      <c r="G809" s="61">
        <v>110.77379999999999</v>
      </c>
      <c r="H809" s="61">
        <v>1.6337999999999999</v>
      </c>
    </row>
    <row r="810" spans="1:8" x14ac:dyDescent="0.15">
      <c r="A810" s="61" t="s">
        <v>13</v>
      </c>
      <c r="B810" s="61">
        <v>2505</v>
      </c>
      <c r="C810" s="61">
        <v>19</v>
      </c>
      <c r="D810" s="61">
        <v>8.6099999999999996E-2</v>
      </c>
      <c r="E810" s="61">
        <v>365.22539999999998</v>
      </c>
      <c r="F810" s="61">
        <v>21.023</v>
      </c>
      <c r="G810" s="61">
        <v>110.649</v>
      </c>
      <c r="H810" s="61">
        <v>1.6308</v>
      </c>
    </row>
    <row r="811" spans="1:8" x14ac:dyDescent="0.15">
      <c r="A811" s="61" t="s">
        <v>13</v>
      </c>
      <c r="B811" s="61">
        <v>2505</v>
      </c>
      <c r="C811" s="61">
        <v>19</v>
      </c>
      <c r="D811" s="61">
        <v>8.6099999999999996E-2</v>
      </c>
      <c r="E811" s="61">
        <v>365.29759999999999</v>
      </c>
      <c r="F811" s="61">
        <v>21.027000000000001</v>
      </c>
      <c r="G811" s="61">
        <v>110.6708</v>
      </c>
      <c r="H811" s="61">
        <v>1.6348</v>
      </c>
    </row>
    <row r="812" spans="1:8" x14ac:dyDescent="0.15">
      <c r="A812" s="61" t="s">
        <v>13</v>
      </c>
      <c r="B812" s="61">
        <v>2505</v>
      </c>
      <c r="C812" s="61">
        <v>19</v>
      </c>
      <c r="D812" s="61">
        <v>8.6099999999999996E-2</v>
      </c>
      <c r="E812" s="61">
        <v>365.30610000000001</v>
      </c>
      <c r="F812" s="61">
        <v>21.027999999999999</v>
      </c>
      <c r="G812" s="61">
        <v>110.6734</v>
      </c>
      <c r="H812" s="61">
        <v>1.6337999999999999</v>
      </c>
    </row>
    <row r="813" spans="1:8" x14ac:dyDescent="0.15">
      <c r="A813" s="61" t="s">
        <v>13</v>
      </c>
      <c r="B813" s="61">
        <v>2505</v>
      </c>
      <c r="C813" s="61">
        <v>19</v>
      </c>
      <c r="D813" s="61">
        <v>8.5999999999999993E-2</v>
      </c>
      <c r="E813" s="61">
        <v>365.37819999999999</v>
      </c>
      <c r="F813" s="61">
        <v>21.032</v>
      </c>
      <c r="G813" s="61">
        <v>110.6953</v>
      </c>
      <c r="H813" s="61">
        <v>1.6428</v>
      </c>
    </row>
    <row r="814" spans="1:8" x14ac:dyDescent="0.15">
      <c r="A814" s="61" t="s">
        <v>13</v>
      </c>
      <c r="B814" s="61">
        <v>2505</v>
      </c>
      <c r="C814" s="61">
        <v>19</v>
      </c>
      <c r="D814" s="61">
        <v>8.5999999999999993E-2</v>
      </c>
      <c r="E814" s="61">
        <v>365.38679999999999</v>
      </c>
      <c r="F814" s="61">
        <v>21.033000000000001</v>
      </c>
      <c r="G814" s="61">
        <v>110.6978</v>
      </c>
      <c r="H814" s="61">
        <v>1.6337999999999999</v>
      </c>
    </row>
    <row r="815" spans="1:8" x14ac:dyDescent="0.15">
      <c r="A815" s="61" t="s">
        <v>13</v>
      </c>
      <c r="B815" s="61">
        <v>2505</v>
      </c>
      <c r="C815" s="61">
        <v>19</v>
      </c>
      <c r="D815" s="61">
        <v>8.6099999999999996E-2</v>
      </c>
      <c r="E815" s="61">
        <v>365.21269999999998</v>
      </c>
      <c r="F815" s="61">
        <v>21.023</v>
      </c>
      <c r="G815" s="61">
        <v>110.6451</v>
      </c>
      <c r="H815" s="61">
        <v>1.6348</v>
      </c>
    </row>
    <row r="816" spans="1:8" x14ac:dyDescent="0.15">
      <c r="A816" s="61" t="s">
        <v>13</v>
      </c>
      <c r="B816" s="61">
        <v>2505</v>
      </c>
      <c r="C816" s="61">
        <v>19</v>
      </c>
      <c r="D816" s="61">
        <v>8.5999999999999993E-2</v>
      </c>
      <c r="E816" s="61">
        <v>365.53969999999998</v>
      </c>
      <c r="F816" s="61">
        <v>21.041</v>
      </c>
      <c r="G816" s="61">
        <v>110.74420000000001</v>
      </c>
      <c r="H816" s="61">
        <v>1.6337999999999999</v>
      </c>
    </row>
    <row r="817" spans="1:8" x14ac:dyDescent="0.15">
      <c r="A817" s="61" t="s">
        <v>13</v>
      </c>
      <c r="B817" s="61">
        <v>2505</v>
      </c>
      <c r="C817" s="61">
        <v>19</v>
      </c>
      <c r="D817" s="61">
        <v>8.5999999999999993E-2</v>
      </c>
      <c r="E817" s="61">
        <v>365.42919999999998</v>
      </c>
      <c r="F817" s="61">
        <v>21.035</v>
      </c>
      <c r="G817" s="61">
        <v>110.7107</v>
      </c>
      <c r="H817" s="61">
        <v>1.6337999999999999</v>
      </c>
    </row>
    <row r="818" spans="1:8" x14ac:dyDescent="0.15">
      <c r="A818" s="61" t="s">
        <v>13</v>
      </c>
      <c r="B818" s="61">
        <v>2505</v>
      </c>
      <c r="C818" s="61">
        <v>19</v>
      </c>
      <c r="D818" s="61">
        <v>8.5999999999999993E-2</v>
      </c>
      <c r="E818" s="61">
        <v>365.37400000000002</v>
      </c>
      <c r="F818" s="61">
        <v>21.032</v>
      </c>
      <c r="G818" s="61">
        <v>110.694</v>
      </c>
      <c r="H818" s="61">
        <v>1.6348</v>
      </c>
    </row>
    <row r="819" spans="1:8" x14ac:dyDescent="0.15">
      <c r="A819" s="61" t="s">
        <v>13</v>
      </c>
      <c r="B819" s="61">
        <v>2505</v>
      </c>
      <c r="C819" s="61">
        <v>19</v>
      </c>
      <c r="D819" s="61">
        <v>8.5999999999999993E-2</v>
      </c>
      <c r="E819" s="61">
        <v>365.7183</v>
      </c>
      <c r="F819" s="61">
        <v>21.052</v>
      </c>
      <c r="G819" s="61">
        <v>110.7983</v>
      </c>
      <c r="H819" s="61">
        <v>1.6328</v>
      </c>
    </row>
    <row r="820" spans="1:8" x14ac:dyDescent="0.15">
      <c r="A820" s="61" t="s">
        <v>13</v>
      </c>
      <c r="B820" s="61">
        <v>2505</v>
      </c>
      <c r="C820" s="61">
        <v>19</v>
      </c>
      <c r="D820" s="61">
        <v>8.5999999999999993E-2</v>
      </c>
      <c r="E820" s="61">
        <v>365.45890000000003</v>
      </c>
      <c r="F820" s="61">
        <v>21.036999999999999</v>
      </c>
      <c r="G820" s="61">
        <v>110.7197</v>
      </c>
      <c r="H820" s="61">
        <v>1.6337999999999999</v>
      </c>
    </row>
    <row r="821" spans="1:8" x14ac:dyDescent="0.15">
      <c r="A821" s="61" t="s">
        <v>13</v>
      </c>
      <c r="B821" s="61">
        <v>2505</v>
      </c>
      <c r="C821" s="61">
        <v>19</v>
      </c>
      <c r="D821" s="61">
        <v>8.6099999999999996E-2</v>
      </c>
      <c r="E821" s="61">
        <v>365.28480000000002</v>
      </c>
      <c r="F821" s="61">
        <v>21.027000000000001</v>
      </c>
      <c r="G821" s="61">
        <v>110.667</v>
      </c>
      <c r="H821" s="61">
        <v>1.6348</v>
      </c>
    </row>
    <row r="822" spans="1:8" x14ac:dyDescent="0.15">
      <c r="A822" s="61" t="s">
        <v>13</v>
      </c>
      <c r="B822" s="61">
        <v>2505</v>
      </c>
      <c r="C822" s="61">
        <v>19</v>
      </c>
      <c r="D822" s="61">
        <v>8.5999999999999993E-2</v>
      </c>
      <c r="E822" s="61">
        <v>365.56939999999997</v>
      </c>
      <c r="F822" s="61">
        <v>21.042999999999999</v>
      </c>
      <c r="G822" s="61">
        <v>110.75320000000001</v>
      </c>
      <c r="H822" s="61">
        <v>1.6337999999999999</v>
      </c>
    </row>
    <row r="823" spans="1:8" x14ac:dyDescent="0.15">
      <c r="A823" s="61" t="s">
        <v>13</v>
      </c>
      <c r="B823" s="61">
        <v>2505</v>
      </c>
      <c r="C823" s="61">
        <v>19</v>
      </c>
      <c r="D823" s="61">
        <v>8.6099999999999996E-2</v>
      </c>
      <c r="E823" s="61">
        <v>365.25940000000003</v>
      </c>
      <c r="F823" s="61">
        <v>21.024999999999999</v>
      </c>
      <c r="G823" s="61">
        <v>110.6593</v>
      </c>
      <c r="H823" s="61">
        <v>1.6348</v>
      </c>
    </row>
    <row r="824" spans="1:8" x14ac:dyDescent="0.15">
      <c r="A824" s="61" t="s">
        <v>13</v>
      </c>
      <c r="B824" s="61">
        <v>2505</v>
      </c>
      <c r="C824" s="61">
        <v>20</v>
      </c>
      <c r="D824" s="61">
        <v>7.7700000000000005E-2</v>
      </c>
      <c r="E824" s="61">
        <v>404.84559999999999</v>
      </c>
      <c r="F824" s="61">
        <v>23.303999999999998</v>
      </c>
      <c r="G824" s="61">
        <v>116.5197</v>
      </c>
      <c r="H824" s="61">
        <v>1.5468</v>
      </c>
    </row>
    <row r="825" spans="1:8" x14ac:dyDescent="0.15">
      <c r="A825" s="61" t="s">
        <v>13</v>
      </c>
      <c r="B825" s="61">
        <v>2505</v>
      </c>
      <c r="C825" s="61">
        <v>20</v>
      </c>
      <c r="D825" s="61">
        <v>7.7600000000000002E-2</v>
      </c>
      <c r="E825" s="61">
        <v>405.32049999999998</v>
      </c>
      <c r="F825" s="61">
        <v>23.331</v>
      </c>
      <c r="G825" s="61">
        <v>116.6564</v>
      </c>
      <c r="H825" s="61">
        <v>1.5518000000000001</v>
      </c>
    </row>
    <row r="826" spans="1:8" x14ac:dyDescent="0.15">
      <c r="A826" s="61" t="s">
        <v>13</v>
      </c>
      <c r="B826" s="61">
        <v>2505</v>
      </c>
      <c r="C826" s="61">
        <v>20</v>
      </c>
      <c r="D826" s="61">
        <v>7.6899999999999996E-2</v>
      </c>
      <c r="E826" s="61">
        <v>408.89479999999998</v>
      </c>
      <c r="F826" s="61">
        <v>23.536999999999999</v>
      </c>
      <c r="G826" s="61">
        <v>117.68510000000001</v>
      </c>
      <c r="H826" s="61">
        <v>1.5367999999999999</v>
      </c>
    </row>
    <row r="827" spans="1:8" x14ac:dyDescent="0.15">
      <c r="A827" s="61" t="s">
        <v>13</v>
      </c>
      <c r="B827" s="61">
        <v>2505</v>
      </c>
      <c r="C827" s="61">
        <v>20</v>
      </c>
      <c r="D827" s="61">
        <v>7.6499999999999999E-2</v>
      </c>
      <c r="E827" s="61">
        <v>410.88810000000001</v>
      </c>
      <c r="F827" s="61">
        <v>23.652000000000001</v>
      </c>
      <c r="G827" s="61">
        <v>118.25879999999999</v>
      </c>
      <c r="H827" s="61">
        <v>1.5307999999999999</v>
      </c>
    </row>
    <row r="828" spans="1:8" x14ac:dyDescent="0.15">
      <c r="A828" s="61" t="s">
        <v>13</v>
      </c>
      <c r="B828" s="61">
        <v>2505</v>
      </c>
      <c r="C828" s="61">
        <v>20</v>
      </c>
      <c r="D828" s="61">
        <v>7.7899999999999997E-2</v>
      </c>
      <c r="E828" s="61">
        <v>403.69659999999999</v>
      </c>
      <c r="F828" s="61">
        <v>23.238</v>
      </c>
      <c r="G828" s="61">
        <v>116.18899999999999</v>
      </c>
      <c r="H828" s="61">
        <v>1.5588</v>
      </c>
    </row>
    <row r="829" spans="1:8" x14ac:dyDescent="0.15">
      <c r="A829" s="61" t="s">
        <v>13</v>
      </c>
      <c r="B829" s="61">
        <v>2505</v>
      </c>
      <c r="C829" s="61">
        <v>20</v>
      </c>
      <c r="D829" s="61">
        <v>7.8200000000000006E-2</v>
      </c>
      <c r="E829" s="61">
        <v>402.0034</v>
      </c>
      <c r="F829" s="61">
        <v>23.14</v>
      </c>
      <c r="G829" s="61">
        <v>115.7017</v>
      </c>
      <c r="H829" s="61">
        <v>1.5628</v>
      </c>
    </row>
    <row r="830" spans="1:8" x14ac:dyDescent="0.15">
      <c r="A830" s="61" t="s">
        <v>13</v>
      </c>
      <c r="B830" s="61">
        <v>2505</v>
      </c>
      <c r="C830" s="61">
        <v>20</v>
      </c>
      <c r="D830" s="61">
        <v>7.6600000000000001E-2</v>
      </c>
      <c r="E830" s="61">
        <v>410.6413</v>
      </c>
      <c r="F830" s="61">
        <v>23.638000000000002</v>
      </c>
      <c r="G830" s="61">
        <v>118.1878</v>
      </c>
      <c r="H830" s="61">
        <v>1.5307999999999999</v>
      </c>
    </row>
    <row r="831" spans="1:8" x14ac:dyDescent="0.15">
      <c r="A831" s="61" t="s">
        <v>13</v>
      </c>
      <c r="B831" s="61">
        <v>2505</v>
      </c>
      <c r="C831" s="61">
        <v>20</v>
      </c>
      <c r="D831" s="61">
        <v>7.6399999999999996E-2</v>
      </c>
      <c r="E831" s="61">
        <v>411.69529999999997</v>
      </c>
      <c r="F831" s="61">
        <v>23.698</v>
      </c>
      <c r="G831" s="61">
        <v>118.4911</v>
      </c>
      <c r="H831" s="61">
        <v>1.5278</v>
      </c>
    </row>
    <row r="832" spans="1:8" x14ac:dyDescent="0.15">
      <c r="A832" s="61" t="s">
        <v>13</v>
      </c>
      <c r="B832" s="61">
        <v>2505</v>
      </c>
      <c r="C832" s="61">
        <v>20</v>
      </c>
      <c r="D832" s="61">
        <v>7.8399999999999997E-2</v>
      </c>
      <c r="E832" s="61">
        <v>401.024</v>
      </c>
      <c r="F832" s="61">
        <v>23.084</v>
      </c>
      <c r="G832" s="61">
        <v>115.4198</v>
      </c>
      <c r="H832" s="61">
        <v>1.5678000000000001</v>
      </c>
    </row>
    <row r="833" spans="1:8" x14ac:dyDescent="0.15">
      <c r="A833" s="61" t="s">
        <v>13</v>
      </c>
      <c r="B833" s="61">
        <v>2505</v>
      </c>
      <c r="C833" s="61">
        <v>20</v>
      </c>
      <c r="D833" s="61">
        <v>7.8E-2</v>
      </c>
      <c r="E833" s="61">
        <v>402.99799999999999</v>
      </c>
      <c r="F833" s="61">
        <v>23.198</v>
      </c>
      <c r="G833" s="61">
        <v>115.988</v>
      </c>
      <c r="H833" s="61">
        <v>1.5608</v>
      </c>
    </row>
    <row r="834" spans="1:8" x14ac:dyDescent="0.15">
      <c r="A834" s="61" t="s">
        <v>13</v>
      </c>
      <c r="B834" s="61">
        <v>2505</v>
      </c>
      <c r="C834" s="61">
        <v>20</v>
      </c>
      <c r="D834" s="61">
        <v>7.6499999999999999E-2</v>
      </c>
      <c r="E834" s="61">
        <v>410.79149999999998</v>
      </c>
      <c r="F834" s="61">
        <v>23.646000000000001</v>
      </c>
      <c r="G834" s="61">
        <v>118.23099999999999</v>
      </c>
      <c r="H834" s="61">
        <v>1.5307999999999999</v>
      </c>
    </row>
    <row r="835" spans="1:8" x14ac:dyDescent="0.15">
      <c r="A835" s="61" t="s">
        <v>13</v>
      </c>
      <c r="B835" s="61">
        <v>2505</v>
      </c>
      <c r="C835" s="61">
        <v>20</v>
      </c>
      <c r="D835" s="61">
        <v>7.6499999999999999E-2</v>
      </c>
      <c r="E835" s="61">
        <v>410.84519999999998</v>
      </c>
      <c r="F835" s="61">
        <v>23.649000000000001</v>
      </c>
      <c r="G835" s="61">
        <v>118.2465</v>
      </c>
      <c r="H835" s="61">
        <v>1.5298</v>
      </c>
    </row>
    <row r="836" spans="1:8" x14ac:dyDescent="0.15">
      <c r="A836" s="61" t="s">
        <v>13</v>
      </c>
      <c r="B836" s="61">
        <v>2505</v>
      </c>
      <c r="C836" s="61">
        <v>20</v>
      </c>
      <c r="D836" s="61">
        <v>7.7899999999999997E-2</v>
      </c>
      <c r="E836" s="61">
        <v>403.44799999999998</v>
      </c>
      <c r="F836" s="61">
        <v>23.222999999999999</v>
      </c>
      <c r="G836" s="61">
        <v>116.1174</v>
      </c>
      <c r="H836" s="61">
        <v>1.5588</v>
      </c>
    </row>
    <row r="837" spans="1:8" x14ac:dyDescent="0.15">
      <c r="A837" s="61" t="s">
        <v>13</v>
      </c>
      <c r="B837" s="61">
        <v>2505</v>
      </c>
      <c r="C837" s="61">
        <v>20</v>
      </c>
      <c r="D837" s="61">
        <v>7.7799999999999994E-2</v>
      </c>
      <c r="E837" s="61">
        <v>404.02870000000001</v>
      </c>
      <c r="F837" s="61">
        <v>23.257000000000001</v>
      </c>
      <c r="G837" s="61">
        <v>116.2846</v>
      </c>
      <c r="H837" s="61">
        <v>1.5398000000000001</v>
      </c>
    </row>
    <row r="838" spans="1:8" x14ac:dyDescent="0.15">
      <c r="A838" s="61" t="s">
        <v>13</v>
      </c>
      <c r="B838" s="61">
        <v>2505</v>
      </c>
      <c r="C838" s="61">
        <v>20</v>
      </c>
      <c r="D838" s="61">
        <v>7.6499999999999999E-2</v>
      </c>
      <c r="E838" s="61">
        <v>410.73779999999999</v>
      </c>
      <c r="F838" s="61">
        <v>23.643000000000001</v>
      </c>
      <c r="G838" s="61">
        <v>118.21559999999999</v>
      </c>
      <c r="H838" s="61">
        <v>1.5398000000000001</v>
      </c>
    </row>
    <row r="839" spans="1:8" x14ac:dyDescent="0.15">
      <c r="A839" s="61" t="s">
        <v>13</v>
      </c>
      <c r="B839" s="61">
        <v>2505</v>
      </c>
      <c r="C839" s="61">
        <v>20</v>
      </c>
      <c r="D839" s="61">
        <v>7.6600000000000001E-2</v>
      </c>
      <c r="E839" s="61">
        <v>410.21800000000002</v>
      </c>
      <c r="F839" s="61">
        <v>23.613</v>
      </c>
      <c r="G839" s="61">
        <v>118.0659</v>
      </c>
      <c r="H839" s="61">
        <v>1.5367999999999999</v>
      </c>
    </row>
    <row r="840" spans="1:8" x14ac:dyDescent="0.15">
      <c r="A840" s="61" t="s">
        <v>13</v>
      </c>
      <c r="B840" s="61">
        <v>2505</v>
      </c>
      <c r="C840" s="61">
        <v>20</v>
      </c>
      <c r="D840" s="61">
        <v>7.6399999999999996E-2</v>
      </c>
      <c r="E840" s="61">
        <v>411.27519999999998</v>
      </c>
      <c r="F840" s="61">
        <v>23.673999999999999</v>
      </c>
      <c r="G840" s="61">
        <v>118.3702</v>
      </c>
      <c r="H840" s="61">
        <v>1.5327999999999999</v>
      </c>
    </row>
    <row r="841" spans="1:8" x14ac:dyDescent="0.15">
      <c r="A841" s="61" t="s">
        <v>13</v>
      </c>
      <c r="B841" s="61">
        <v>2505</v>
      </c>
      <c r="C841" s="61">
        <v>20</v>
      </c>
      <c r="D841" s="61">
        <v>7.6499999999999999E-2</v>
      </c>
      <c r="E841" s="61">
        <v>410.82909999999998</v>
      </c>
      <c r="F841" s="61">
        <v>23.648</v>
      </c>
      <c r="G841" s="61">
        <v>118.2418</v>
      </c>
      <c r="H841" s="61">
        <v>1.5307999999999999</v>
      </c>
    </row>
    <row r="842" spans="1:8" x14ac:dyDescent="0.15">
      <c r="A842" s="61" t="s">
        <v>13</v>
      </c>
      <c r="B842" s="61">
        <v>2505</v>
      </c>
      <c r="C842" s="61">
        <v>20</v>
      </c>
      <c r="D842" s="61">
        <v>7.6399999999999996E-2</v>
      </c>
      <c r="E842" s="61">
        <v>411.3236</v>
      </c>
      <c r="F842" s="61">
        <v>23.677</v>
      </c>
      <c r="G842" s="61">
        <v>118.38420000000001</v>
      </c>
      <c r="H842" s="61">
        <v>1.5287999999999999</v>
      </c>
    </row>
    <row r="843" spans="1:8" x14ac:dyDescent="0.15">
      <c r="A843" s="61" t="s">
        <v>13</v>
      </c>
      <c r="B843" s="61">
        <v>2505</v>
      </c>
      <c r="C843" s="61">
        <v>20</v>
      </c>
      <c r="D843" s="61">
        <v>7.6700000000000004E-2</v>
      </c>
      <c r="E843" s="61">
        <v>409.84899999999999</v>
      </c>
      <c r="F843" s="61">
        <v>23.591999999999999</v>
      </c>
      <c r="G843" s="61">
        <v>117.9597</v>
      </c>
      <c r="H843" s="61">
        <v>1.5347999999999999</v>
      </c>
    </row>
    <row r="844" spans="1:8" x14ac:dyDescent="0.15">
      <c r="A844" s="61" t="s">
        <v>13</v>
      </c>
      <c r="B844" s="61">
        <v>2505</v>
      </c>
      <c r="C844" s="61">
        <v>20</v>
      </c>
      <c r="D844" s="61">
        <v>7.6499999999999999E-2</v>
      </c>
      <c r="E844" s="61">
        <v>411.08159999999998</v>
      </c>
      <c r="F844" s="61">
        <v>23.663</v>
      </c>
      <c r="G844" s="61">
        <v>118.3145</v>
      </c>
      <c r="H844" s="61">
        <v>1.5298</v>
      </c>
    </row>
    <row r="845" spans="1:8" x14ac:dyDescent="0.15">
      <c r="A845" s="61" t="s">
        <v>13</v>
      </c>
      <c r="B845" s="61">
        <v>2505</v>
      </c>
      <c r="C845" s="61">
        <v>20</v>
      </c>
      <c r="D845" s="61">
        <v>7.6300000000000007E-2</v>
      </c>
      <c r="E845" s="61">
        <v>411.78160000000003</v>
      </c>
      <c r="F845" s="61">
        <v>23.702999999999999</v>
      </c>
      <c r="G845" s="61">
        <v>118.51600000000001</v>
      </c>
      <c r="H845" s="61">
        <v>1.5267999999999999</v>
      </c>
    </row>
    <row r="846" spans="1:8" x14ac:dyDescent="0.15">
      <c r="A846" s="61" t="s">
        <v>13</v>
      </c>
      <c r="B846" s="61">
        <v>2505</v>
      </c>
      <c r="C846" s="61">
        <v>20</v>
      </c>
      <c r="D846" s="61">
        <v>7.6799999999999993E-2</v>
      </c>
      <c r="E846" s="61">
        <v>409.43259999999998</v>
      </c>
      <c r="F846" s="61">
        <v>23.568000000000001</v>
      </c>
      <c r="G846" s="61">
        <v>117.8399</v>
      </c>
      <c r="H846" s="61">
        <v>1.5347999999999999</v>
      </c>
    </row>
    <row r="847" spans="1:8" x14ac:dyDescent="0.15">
      <c r="A847" s="61" t="s">
        <v>13</v>
      </c>
      <c r="B847" s="61">
        <v>2505</v>
      </c>
      <c r="C847" s="61">
        <v>20</v>
      </c>
      <c r="D847" s="61">
        <v>7.6499999999999999E-2</v>
      </c>
      <c r="E847" s="61">
        <v>410.94729999999998</v>
      </c>
      <c r="F847" s="61">
        <v>23.655000000000001</v>
      </c>
      <c r="G847" s="61">
        <v>118.2758</v>
      </c>
      <c r="H847" s="61">
        <v>1.5307999999999999</v>
      </c>
    </row>
    <row r="848" spans="1:8" x14ac:dyDescent="0.15">
      <c r="A848" s="61" t="s">
        <v>13</v>
      </c>
      <c r="B848" s="61">
        <v>2505</v>
      </c>
      <c r="C848" s="61">
        <v>20</v>
      </c>
      <c r="D848" s="61">
        <v>7.6399999999999996E-2</v>
      </c>
      <c r="E848" s="61">
        <v>411.44209999999998</v>
      </c>
      <c r="F848" s="61">
        <v>23.684000000000001</v>
      </c>
      <c r="G848" s="61">
        <v>118.4183</v>
      </c>
      <c r="H848" s="61">
        <v>1.5287999999999999</v>
      </c>
    </row>
    <row r="849" spans="1:8" x14ac:dyDescent="0.15">
      <c r="A849" s="61" t="s">
        <v>13</v>
      </c>
      <c r="B849" s="61">
        <v>2505</v>
      </c>
      <c r="C849" s="61">
        <v>20</v>
      </c>
      <c r="D849" s="61">
        <v>7.6600000000000001E-2</v>
      </c>
      <c r="E849" s="61">
        <v>410.66809999999998</v>
      </c>
      <c r="F849" s="61">
        <v>23.638999999999999</v>
      </c>
      <c r="G849" s="61">
        <v>118.1955</v>
      </c>
      <c r="H849" s="61">
        <v>1.5318000000000001</v>
      </c>
    </row>
    <row r="850" spans="1:8" x14ac:dyDescent="0.15">
      <c r="A850" s="61" t="s">
        <v>13</v>
      </c>
      <c r="B850" s="61">
        <v>2505</v>
      </c>
      <c r="C850" s="61">
        <v>20</v>
      </c>
      <c r="D850" s="61">
        <v>7.6499999999999999E-2</v>
      </c>
      <c r="E850" s="61">
        <v>410.81830000000002</v>
      </c>
      <c r="F850" s="61">
        <v>23.648</v>
      </c>
      <c r="G850" s="61">
        <v>118.23869999999999</v>
      </c>
      <c r="H850" s="61">
        <v>1.5307999999999999</v>
      </c>
    </row>
    <row r="851" spans="1:8" x14ac:dyDescent="0.15">
      <c r="A851" s="61" t="s">
        <v>13</v>
      </c>
      <c r="B851" s="61">
        <v>2505</v>
      </c>
      <c r="C851" s="61">
        <v>20</v>
      </c>
      <c r="D851" s="61">
        <v>7.6399999999999996E-2</v>
      </c>
      <c r="E851" s="61">
        <v>411.57130000000001</v>
      </c>
      <c r="F851" s="61">
        <v>23.690999999999999</v>
      </c>
      <c r="G851" s="61">
        <v>118.4555</v>
      </c>
      <c r="H851" s="61">
        <v>1.5278</v>
      </c>
    </row>
    <row r="852" spans="1:8" x14ac:dyDescent="0.15">
      <c r="A852" s="61" t="s">
        <v>13</v>
      </c>
      <c r="B852" s="61">
        <v>2505</v>
      </c>
      <c r="C852" s="61">
        <v>20</v>
      </c>
      <c r="D852" s="61">
        <v>7.6600000000000001E-2</v>
      </c>
      <c r="E852" s="61">
        <v>410.42149999999998</v>
      </c>
      <c r="F852" s="61">
        <v>23.625</v>
      </c>
      <c r="G852" s="61">
        <v>118.1245</v>
      </c>
      <c r="H852" s="61">
        <v>1.5318000000000001</v>
      </c>
    </row>
    <row r="853" spans="1:8" x14ac:dyDescent="0.15">
      <c r="A853" s="61" t="s">
        <v>13</v>
      </c>
      <c r="B853" s="61">
        <v>2505</v>
      </c>
      <c r="C853" s="61">
        <v>20</v>
      </c>
      <c r="D853" s="61">
        <v>7.6499999999999999E-2</v>
      </c>
      <c r="E853" s="61">
        <v>411.03320000000002</v>
      </c>
      <c r="F853" s="61">
        <v>23.66</v>
      </c>
      <c r="G853" s="61">
        <v>118.3006</v>
      </c>
      <c r="H853" s="61">
        <v>1.5298</v>
      </c>
    </row>
    <row r="854" spans="1:8" x14ac:dyDescent="0.15">
      <c r="A854" s="61" t="s">
        <v>13</v>
      </c>
      <c r="B854" s="61">
        <v>2505</v>
      </c>
      <c r="C854" s="61">
        <v>20</v>
      </c>
      <c r="D854" s="61">
        <v>7.6600000000000001E-2</v>
      </c>
      <c r="E854" s="61">
        <v>410.67340000000002</v>
      </c>
      <c r="F854" s="61">
        <v>23.638999999999999</v>
      </c>
      <c r="G854" s="61">
        <v>118.197</v>
      </c>
      <c r="H854" s="61">
        <v>1.5318000000000001</v>
      </c>
    </row>
    <row r="855" spans="1:8" x14ac:dyDescent="0.15">
      <c r="A855" s="61" t="s">
        <v>13</v>
      </c>
      <c r="B855" s="61">
        <v>2505</v>
      </c>
      <c r="C855" s="61">
        <v>20</v>
      </c>
      <c r="D855" s="61">
        <v>7.6499999999999999E-2</v>
      </c>
      <c r="E855" s="61">
        <v>410.95800000000003</v>
      </c>
      <c r="F855" s="61">
        <v>23.655999999999999</v>
      </c>
      <c r="G855" s="61">
        <v>118.27889999999999</v>
      </c>
      <c r="H855" s="61">
        <v>1.5298</v>
      </c>
    </row>
    <row r="856" spans="1:8" x14ac:dyDescent="0.15">
      <c r="A856" s="61" t="s">
        <v>13</v>
      </c>
      <c r="B856" s="61">
        <v>2505</v>
      </c>
      <c r="C856" s="61">
        <v>20</v>
      </c>
      <c r="D856" s="61">
        <v>7.6499999999999999E-2</v>
      </c>
      <c r="E856" s="61">
        <v>410.88810000000001</v>
      </c>
      <c r="F856" s="61">
        <v>23.652000000000001</v>
      </c>
      <c r="G856" s="61">
        <v>118.25879999999999</v>
      </c>
      <c r="H856" s="61">
        <v>1.5307999999999999</v>
      </c>
    </row>
    <row r="857" spans="1:8" x14ac:dyDescent="0.15">
      <c r="A857" s="61" t="s">
        <v>13</v>
      </c>
      <c r="B857" s="61">
        <v>2505</v>
      </c>
      <c r="C857" s="61">
        <v>20</v>
      </c>
      <c r="D857" s="61">
        <v>7.6600000000000001E-2</v>
      </c>
      <c r="E857" s="61">
        <v>410.58769999999998</v>
      </c>
      <c r="F857" s="61">
        <v>23.634</v>
      </c>
      <c r="G857" s="61">
        <v>118.17230000000001</v>
      </c>
      <c r="H857" s="61">
        <v>1.5318000000000001</v>
      </c>
    </row>
    <row r="858" spans="1:8" x14ac:dyDescent="0.15">
      <c r="A858" s="61" t="s">
        <v>13</v>
      </c>
      <c r="B858" s="61">
        <v>2505</v>
      </c>
      <c r="C858" s="61">
        <v>20</v>
      </c>
      <c r="D858" s="61">
        <v>7.6600000000000001E-2</v>
      </c>
      <c r="E858" s="61">
        <v>410.42680000000001</v>
      </c>
      <c r="F858" s="61">
        <v>23.625</v>
      </c>
      <c r="G858" s="61">
        <v>118.12609999999999</v>
      </c>
      <c r="H858" s="61">
        <v>1.5318000000000001</v>
      </c>
    </row>
    <row r="859" spans="1:8" x14ac:dyDescent="0.15">
      <c r="A859" s="61" t="s">
        <v>13</v>
      </c>
      <c r="B859" s="61">
        <v>2505</v>
      </c>
      <c r="C859" s="61">
        <v>20</v>
      </c>
      <c r="D859" s="61">
        <v>7.7899999999999997E-2</v>
      </c>
      <c r="E859" s="61">
        <v>403.54629999999997</v>
      </c>
      <c r="F859" s="61">
        <v>23.228999999999999</v>
      </c>
      <c r="G859" s="61">
        <v>116.14579999999999</v>
      </c>
      <c r="H859" s="61">
        <v>1.5578000000000001</v>
      </c>
    </row>
    <row r="860" spans="1:8" x14ac:dyDescent="0.15">
      <c r="A860" s="61" t="s">
        <v>13</v>
      </c>
      <c r="B860" s="61">
        <v>2505</v>
      </c>
      <c r="C860" s="61">
        <v>20</v>
      </c>
      <c r="D860" s="61">
        <v>7.6499999999999999E-2</v>
      </c>
      <c r="E860" s="61">
        <v>410.79689999999999</v>
      </c>
      <c r="F860" s="61">
        <v>23.646999999999998</v>
      </c>
      <c r="G860" s="61">
        <v>118.23260000000001</v>
      </c>
      <c r="H860" s="61">
        <v>1.5318000000000001</v>
      </c>
    </row>
    <row r="861" spans="1:8" x14ac:dyDescent="0.15">
      <c r="A861" s="61" t="s">
        <v>13</v>
      </c>
      <c r="B861" s="61">
        <v>2505</v>
      </c>
      <c r="C861" s="61">
        <v>20</v>
      </c>
      <c r="D861" s="61">
        <v>7.8200000000000006E-2</v>
      </c>
      <c r="E861" s="61">
        <v>402.18860000000001</v>
      </c>
      <c r="F861" s="61">
        <v>23.151</v>
      </c>
      <c r="G861" s="61">
        <v>115.755</v>
      </c>
      <c r="H861" s="61">
        <v>1.5638000000000001</v>
      </c>
    </row>
    <row r="862" spans="1:8" x14ac:dyDescent="0.15">
      <c r="A862" s="61" t="s">
        <v>13</v>
      </c>
      <c r="B862" s="61">
        <v>2505</v>
      </c>
      <c r="C862" s="61">
        <v>20</v>
      </c>
      <c r="D862" s="61">
        <v>7.6799999999999993E-2</v>
      </c>
      <c r="E862" s="61">
        <v>409.33670000000001</v>
      </c>
      <c r="F862" s="61">
        <v>23.562000000000001</v>
      </c>
      <c r="G862" s="61">
        <v>117.81229999999999</v>
      </c>
      <c r="H862" s="61">
        <v>1.5358000000000001</v>
      </c>
    </row>
    <row r="863" spans="1:8" x14ac:dyDescent="0.15">
      <c r="A863" s="61" t="s">
        <v>13</v>
      </c>
      <c r="B863" s="61">
        <v>2505</v>
      </c>
      <c r="C863" s="61">
        <v>20</v>
      </c>
      <c r="D863" s="61">
        <v>7.6600000000000001E-2</v>
      </c>
      <c r="E863" s="61">
        <v>410.45359999999999</v>
      </c>
      <c r="F863" s="61">
        <v>23.626999999999999</v>
      </c>
      <c r="G863" s="61">
        <v>118.13379999999999</v>
      </c>
      <c r="H863" s="61">
        <v>1.5327999999999999</v>
      </c>
    </row>
    <row r="864" spans="1:8" x14ac:dyDescent="0.15">
      <c r="A864" s="61" t="s">
        <v>13</v>
      </c>
      <c r="B864" s="61">
        <v>2505</v>
      </c>
      <c r="C864" s="61">
        <v>20</v>
      </c>
      <c r="D864" s="61">
        <v>7.6499999999999999E-2</v>
      </c>
      <c r="E864" s="61">
        <v>410.81299999999999</v>
      </c>
      <c r="F864" s="61">
        <v>23.646999999999998</v>
      </c>
      <c r="G864" s="61">
        <v>118.2372</v>
      </c>
      <c r="H864" s="61">
        <v>1.5307999999999999</v>
      </c>
    </row>
    <row r="865" spans="1:8" x14ac:dyDescent="0.15">
      <c r="A865" s="61" t="s">
        <v>13</v>
      </c>
      <c r="B865" s="61">
        <v>2505</v>
      </c>
      <c r="C865" s="61">
        <v>20</v>
      </c>
      <c r="D865" s="61">
        <v>7.6399999999999996E-2</v>
      </c>
      <c r="E865" s="61">
        <v>411.53359999999998</v>
      </c>
      <c r="F865" s="61">
        <v>23.689</v>
      </c>
      <c r="G865" s="61">
        <v>118.44459999999999</v>
      </c>
      <c r="H865" s="61">
        <v>1.5278</v>
      </c>
    </row>
    <row r="866" spans="1:8" x14ac:dyDescent="0.15">
      <c r="A866" s="61" t="s">
        <v>13</v>
      </c>
      <c r="B866" s="61">
        <v>2505</v>
      </c>
      <c r="C866" s="61">
        <v>20</v>
      </c>
      <c r="D866" s="61">
        <v>7.6600000000000001E-2</v>
      </c>
      <c r="E866" s="61">
        <v>410.5609</v>
      </c>
      <c r="F866" s="61">
        <v>23.632999999999999</v>
      </c>
      <c r="G866" s="61">
        <v>118.16459999999999</v>
      </c>
      <c r="H866" s="61">
        <v>1.5178</v>
      </c>
    </row>
    <row r="867" spans="1:8" x14ac:dyDescent="0.15">
      <c r="A867" s="61" t="s">
        <v>13</v>
      </c>
      <c r="B867" s="61">
        <v>2505</v>
      </c>
      <c r="C867" s="61">
        <v>20</v>
      </c>
      <c r="D867" s="61">
        <v>7.6700000000000004E-2</v>
      </c>
      <c r="E867" s="61">
        <v>409.95049999999998</v>
      </c>
      <c r="F867" s="61">
        <v>23.597999999999999</v>
      </c>
      <c r="G867" s="61">
        <v>117.989</v>
      </c>
      <c r="H867" s="61">
        <v>1.5407999999999999</v>
      </c>
    </row>
    <row r="868" spans="1:8" x14ac:dyDescent="0.15">
      <c r="A868" s="61" t="s">
        <v>13</v>
      </c>
      <c r="B868" s="61">
        <v>2505</v>
      </c>
      <c r="C868" s="61">
        <v>20</v>
      </c>
      <c r="D868" s="61">
        <v>7.6799999999999993E-2</v>
      </c>
      <c r="E868" s="61">
        <v>409.37400000000002</v>
      </c>
      <c r="F868" s="61">
        <v>23.565000000000001</v>
      </c>
      <c r="G868" s="61">
        <v>117.82299999999999</v>
      </c>
      <c r="H868" s="61">
        <v>1.5398000000000001</v>
      </c>
    </row>
    <row r="869" spans="1:8" x14ac:dyDescent="0.15">
      <c r="A869" s="61" t="s">
        <v>13</v>
      </c>
      <c r="B869" s="61">
        <v>2505</v>
      </c>
      <c r="C869" s="61">
        <v>20</v>
      </c>
      <c r="D869" s="61">
        <v>7.6899999999999996E-2</v>
      </c>
      <c r="E869" s="61">
        <v>408.95330000000001</v>
      </c>
      <c r="F869" s="61">
        <v>23.54</v>
      </c>
      <c r="G869" s="61">
        <v>117.70189999999999</v>
      </c>
      <c r="H869" s="61">
        <v>1.5407999999999999</v>
      </c>
    </row>
    <row r="870" spans="1:8" x14ac:dyDescent="0.15">
      <c r="A870" s="61" t="s">
        <v>13</v>
      </c>
      <c r="B870" s="61">
        <v>2505</v>
      </c>
      <c r="C870" s="61">
        <v>20</v>
      </c>
      <c r="D870" s="61">
        <v>8.2900000000000001E-2</v>
      </c>
      <c r="E870" s="61">
        <v>379.21730000000002</v>
      </c>
      <c r="F870" s="61">
        <v>21.829000000000001</v>
      </c>
      <c r="G870" s="61">
        <v>109.14360000000001</v>
      </c>
      <c r="H870" s="61">
        <v>1.6416999999999999</v>
      </c>
    </row>
    <row r="871" spans="1:8" x14ac:dyDescent="0.15">
      <c r="A871" s="61" t="s">
        <v>13</v>
      </c>
      <c r="B871" s="61">
        <v>2505</v>
      </c>
      <c r="C871" s="61">
        <v>20</v>
      </c>
      <c r="D871" s="61">
        <v>8.4099999999999994E-2</v>
      </c>
      <c r="E871" s="61">
        <v>373.59769999999997</v>
      </c>
      <c r="F871" s="61">
        <v>21.504999999999999</v>
      </c>
      <c r="G871" s="61">
        <v>107.5262</v>
      </c>
      <c r="H871" s="61">
        <v>1.6698</v>
      </c>
    </row>
    <row r="872" spans="1:8" x14ac:dyDescent="0.15">
      <c r="A872" s="61" t="s">
        <v>13</v>
      </c>
      <c r="B872" s="61">
        <v>2505</v>
      </c>
      <c r="C872" s="61">
        <v>20</v>
      </c>
      <c r="D872" s="61">
        <v>7.6799999999999993E-2</v>
      </c>
      <c r="E872" s="61">
        <v>409.08100000000002</v>
      </c>
      <c r="F872" s="61">
        <v>23.547999999999998</v>
      </c>
      <c r="G872" s="61">
        <v>117.73869999999999</v>
      </c>
      <c r="H872" s="61">
        <v>1.5367999999999999</v>
      </c>
    </row>
    <row r="873" spans="1:8" x14ac:dyDescent="0.15">
      <c r="A873" s="61" t="s">
        <v>13</v>
      </c>
      <c r="B873" s="61">
        <v>2505</v>
      </c>
      <c r="C873" s="61">
        <v>20</v>
      </c>
      <c r="D873" s="61">
        <v>7.6499999999999999E-2</v>
      </c>
      <c r="E873" s="61">
        <v>410.8023</v>
      </c>
      <c r="F873" s="61">
        <v>23.646999999999998</v>
      </c>
      <c r="G873" s="61">
        <v>118.2341</v>
      </c>
      <c r="H873" s="61">
        <v>1.5318000000000001</v>
      </c>
    </row>
    <row r="874" spans="1:8" x14ac:dyDescent="0.15">
      <c r="A874" s="61" t="s">
        <v>13</v>
      </c>
      <c r="B874" s="61">
        <v>2505</v>
      </c>
      <c r="C874" s="61">
        <v>20</v>
      </c>
      <c r="D874" s="61">
        <v>7.6300000000000007E-2</v>
      </c>
      <c r="E874" s="61">
        <v>411.78699999999998</v>
      </c>
      <c r="F874" s="61">
        <v>23.704000000000001</v>
      </c>
      <c r="G874" s="61">
        <v>118.5175</v>
      </c>
      <c r="H874" s="61">
        <v>1.5267999999999999</v>
      </c>
    </row>
    <row r="875" spans="1:8" x14ac:dyDescent="0.15">
      <c r="A875" s="61" t="s">
        <v>13</v>
      </c>
      <c r="B875" s="61">
        <v>2510</v>
      </c>
      <c r="C875" s="61">
        <v>1</v>
      </c>
      <c r="D875" s="61">
        <v>1.7351000000000001</v>
      </c>
      <c r="E875" s="61">
        <v>18.227799999999998</v>
      </c>
      <c r="F875" s="61">
        <v>1</v>
      </c>
      <c r="G875" s="61">
        <v>100</v>
      </c>
      <c r="H875" s="61">
        <v>8.3056999999999999</v>
      </c>
    </row>
    <row r="876" spans="1:8" x14ac:dyDescent="0.15">
      <c r="A876" s="61" t="s">
        <v>13</v>
      </c>
      <c r="B876" s="61">
        <v>2510</v>
      </c>
      <c r="C876" s="61">
        <v>1</v>
      </c>
      <c r="D876" s="61">
        <v>1.1725000000000001</v>
      </c>
      <c r="E876" s="61">
        <v>26.974</v>
      </c>
      <c r="F876" s="61">
        <v>1.48</v>
      </c>
      <c r="G876" s="61">
        <v>147.98310000000001</v>
      </c>
      <c r="H876" s="61">
        <v>1.1728000000000001</v>
      </c>
    </row>
    <row r="877" spans="1:8" x14ac:dyDescent="0.15">
      <c r="A877" s="61" t="s">
        <v>13</v>
      </c>
      <c r="B877" s="61">
        <v>2510</v>
      </c>
      <c r="C877" s="61">
        <v>1</v>
      </c>
      <c r="D877" s="61">
        <v>1.1726000000000001</v>
      </c>
      <c r="E877" s="61">
        <v>26.971</v>
      </c>
      <c r="F877" s="61">
        <v>1.48</v>
      </c>
      <c r="G877" s="61">
        <v>147.9665</v>
      </c>
      <c r="H877" s="61">
        <v>1.1738</v>
      </c>
    </row>
    <row r="878" spans="1:8" x14ac:dyDescent="0.15">
      <c r="A878" s="61" t="s">
        <v>13</v>
      </c>
      <c r="B878" s="61">
        <v>2510</v>
      </c>
      <c r="C878" s="61">
        <v>1</v>
      </c>
      <c r="D878" s="61">
        <v>1.1719999999999999</v>
      </c>
      <c r="E878" s="61">
        <v>26.983899999999998</v>
      </c>
      <c r="F878" s="61">
        <v>1.48</v>
      </c>
      <c r="G878" s="61">
        <v>148.0377</v>
      </c>
      <c r="H878" s="61">
        <v>1.1718</v>
      </c>
    </row>
    <row r="879" spans="1:8" x14ac:dyDescent="0.15">
      <c r="A879" s="61" t="s">
        <v>13</v>
      </c>
      <c r="B879" s="61">
        <v>2510</v>
      </c>
      <c r="C879" s="61">
        <v>1</v>
      </c>
      <c r="D879" s="61">
        <v>1.1720999999999999</v>
      </c>
      <c r="E879" s="61">
        <v>26.982500000000002</v>
      </c>
      <c r="F879" s="61">
        <v>1.48</v>
      </c>
      <c r="G879" s="61">
        <v>148.03</v>
      </c>
      <c r="H879" s="61">
        <v>1.1728000000000001</v>
      </c>
    </row>
    <row r="880" spans="1:8" x14ac:dyDescent="0.15">
      <c r="A880" s="61" t="s">
        <v>13</v>
      </c>
      <c r="B880" s="61">
        <v>2510</v>
      </c>
      <c r="C880" s="61">
        <v>1</v>
      </c>
      <c r="D880" s="61">
        <v>1.1713</v>
      </c>
      <c r="E880" s="61">
        <v>27.002199999999998</v>
      </c>
      <c r="F880" s="61">
        <v>1.4810000000000001</v>
      </c>
      <c r="G880" s="61">
        <v>148.1379</v>
      </c>
      <c r="H880" s="61">
        <v>1.1718</v>
      </c>
    </row>
    <row r="881" spans="1:8" x14ac:dyDescent="0.15">
      <c r="A881" s="61" t="s">
        <v>13</v>
      </c>
      <c r="B881" s="61">
        <v>2510</v>
      </c>
      <c r="C881" s="61">
        <v>19</v>
      </c>
      <c r="D881" s="61">
        <v>0.1076</v>
      </c>
      <c r="E881" s="61">
        <v>293.85559999999998</v>
      </c>
      <c r="F881" s="61">
        <v>16.120999999999999</v>
      </c>
      <c r="G881" s="61">
        <v>84.849100000000007</v>
      </c>
      <c r="H881" s="61">
        <v>1.9846999999999999</v>
      </c>
    </row>
    <row r="882" spans="1:8" x14ac:dyDescent="0.15">
      <c r="A882" s="61" t="s">
        <v>13</v>
      </c>
      <c r="B882" s="61">
        <v>2510</v>
      </c>
      <c r="C882" s="61">
        <v>19</v>
      </c>
      <c r="D882" s="61">
        <v>8.7099999999999997E-2</v>
      </c>
      <c r="E882" s="61">
        <v>362.98059999999998</v>
      </c>
      <c r="F882" s="61">
        <v>19.914000000000001</v>
      </c>
      <c r="G882" s="61">
        <v>104.8085</v>
      </c>
      <c r="H882" s="61">
        <v>1.6557999999999999</v>
      </c>
    </row>
    <row r="883" spans="1:8" x14ac:dyDescent="0.15">
      <c r="A883" s="61" t="s">
        <v>13</v>
      </c>
      <c r="B883" s="61">
        <v>2510</v>
      </c>
      <c r="C883" s="61">
        <v>19</v>
      </c>
      <c r="D883" s="61">
        <v>8.72E-2</v>
      </c>
      <c r="E883" s="61">
        <v>362.72250000000003</v>
      </c>
      <c r="F883" s="61">
        <v>19.899000000000001</v>
      </c>
      <c r="G883" s="61">
        <v>104.73399999999999</v>
      </c>
      <c r="H883" s="61">
        <v>1.6567000000000001</v>
      </c>
    </row>
    <row r="884" spans="1:8" x14ac:dyDescent="0.15">
      <c r="A884" s="61" t="s">
        <v>13</v>
      </c>
      <c r="B884" s="61">
        <v>2510</v>
      </c>
      <c r="C884" s="61">
        <v>19</v>
      </c>
      <c r="D884" s="61">
        <v>8.7099999999999997E-2</v>
      </c>
      <c r="E884" s="61">
        <v>363.01400000000001</v>
      </c>
      <c r="F884" s="61">
        <v>19.914999999999999</v>
      </c>
      <c r="G884" s="61">
        <v>104.8182</v>
      </c>
      <c r="H884" s="61">
        <v>1.6547000000000001</v>
      </c>
    </row>
    <row r="885" spans="1:8" x14ac:dyDescent="0.15">
      <c r="A885" s="61" t="s">
        <v>13</v>
      </c>
      <c r="B885" s="61">
        <v>2510</v>
      </c>
      <c r="C885" s="61">
        <v>19</v>
      </c>
      <c r="D885" s="61">
        <v>8.72E-2</v>
      </c>
      <c r="E885" s="61">
        <v>362.73919999999998</v>
      </c>
      <c r="F885" s="61">
        <v>19.899999999999999</v>
      </c>
      <c r="G885" s="61">
        <v>104.7388</v>
      </c>
      <c r="H885" s="61">
        <v>1.6567000000000001</v>
      </c>
    </row>
    <row r="886" spans="1:8" x14ac:dyDescent="0.15">
      <c r="A886" s="61" t="s">
        <v>13</v>
      </c>
      <c r="B886" s="61">
        <v>2510</v>
      </c>
      <c r="C886" s="61">
        <v>19</v>
      </c>
      <c r="D886" s="61">
        <v>8.72E-2</v>
      </c>
      <c r="E886" s="61">
        <v>362.53539999999998</v>
      </c>
      <c r="F886" s="61">
        <v>19.888999999999999</v>
      </c>
      <c r="G886" s="61">
        <v>104.68</v>
      </c>
      <c r="H886" s="61">
        <v>1.6577</v>
      </c>
    </row>
    <row r="887" spans="1:8" x14ac:dyDescent="0.15">
      <c r="A887" s="61" t="s">
        <v>13</v>
      </c>
      <c r="B887" s="61">
        <v>2510</v>
      </c>
      <c r="C887" s="61">
        <v>19</v>
      </c>
      <c r="D887" s="61">
        <v>8.7099999999999997E-2</v>
      </c>
      <c r="E887" s="61">
        <v>363.06810000000002</v>
      </c>
      <c r="F887" s="61">
        <v>19.917999999999999</v>
      </c>
      <c r="G887" s="61">
        <v>104.8338</v>
      </c>
      <c r="H887" s="61">
        <v>1.6547000000000001</v>
      </c>
    </row>
    <row r="888" spans="1:8" x14ac:dyDescent="0.15">
      <c r="A888" s="61" t="s">
        <v>13</v>
      </c>
      <c r="B888" s="61">
        <v>2510</v>
      </c>
      <c r="C888" s="61">
        <v>19</v>
      </c>
      <c r="D888" s="61">
        <v>8.7099999999999997E-2</v>
      </c>
      <c r="E888" s="61">
        <v>363.16399999999999</v>
      </c>
      <c r="F888" s="61">
        <v>19.923999999999999</v>
      </c>
      <c r="G888" s="61">
        <v>104.86150000000001</v>
      </c>
      <c r="H888" s="61">
        <v>1.6547000000000001</v>
      </c>
    </row>
    <row r="889" spans="1:8" x14ac:dyDescent="0.15">
      <c r="A889" s="61" t="s">
        <v>13</v>
      </c>
      <c r="B889" s="61">
        <v>2510</v>
      </c>
      <c r="C889" s="61">
        <v>19</v>
      </c>
      <c r="D889" s="61">
        <v>8.72E-2</v>
      </c>
      <c r="E889" s="61">
        <v>362.80160000000001</v>
      </c>
      <c r="F889" s="61">
        <v>19.904</v>
      </c>
      <c r="G889" s="61">
        <v>104.7569</v>
      </c>
      <c r="H889" s="61">
        <v>1.6556999999999999</v>
      </c>
    </row>
    <row r="890" spans="1:8" x14ac:dyDescent="0.15">
      <c r="A890" s="61" t="s">
        <v>13</v>
      </c>
      <c r="B890" s="61">
        <v>2510</v>
      </c>
      <c r="C890" s="61">
        <v>19</v>
      </c>
      <c r="D890" s="61">
        <v>8.72E-2</v>
      </c>
      <c r="E890" s="61">
        <v>362.56869999999998</v>
      </c>
      <c r="F890" s="61">
        <v>19.890999999999998</v>
      </c>
      <c r="G890" s="61">
        <v>104.6896</v>
      </c>
      <c r="H890" s="61">
        <v>1.6556999999999999</v>
      </c>
    </row>
    <row r="891" spans="1:8" x14ac:dyDescent="0.15">
      <c r="A891" s="61" t="s">
        <v>13</v>
      </c>
      <c r="B891" s="61">
        <v>2510</v>
      </c>
      <c r="C891" s="61">
        <v>19</v>
      </c>
      <c r="D891" s="61">
        <v>8.72E-2</v>
      </c>
      <c r="E891" s="61">
        <v>362.6601</v>
      </c>
      <c r="F891" s="61">
        <v>19.896000000000001</v>
      </c>
      <c r="G891" s="61">
        <v>104.71599999999999</v>
      </c>
      <c r="H891" s="61">
        <v>1.6577</v>
      </c>
    </row>
    <row r="892" spans="1:8" x14ac:dyDescent="0.15">
      <c r="A892" s="61" t="s">
        <v>13</v>
      </c>
      <c r="B892" s="61">
        <v>2510</v>
      </c>
      <c r="C892" s="61">
        <v>19</v>
      </c>
      <c r="D892" s="61">
        <v>8.72E-2</v>
      </c>
      <c r="E892" s="61">
        <v>362.58109999999999</v>
      </c>
      <c r="F892" s="61">
        <v>19.891999999999999</v>
      </c>
      <c r="G892" s="61">
        <v>104.6932</v>
      </c>
      <c r="H892" s="61">
        <v>1.6577</v>
      </c>
    </row>
    <row r="893" spans="1:8" x14ac:dyDescent="0.15">
      <c r="A893" s="61" t="s">
        <v>13</v>
      </c>
      <c r="B893" s="61">
        <v>2510</v>
      </c>
      <c r="C893" s="61">
        <v>19</v>
      </c>
      <c r="D893" s="61">
        <v>8.7300000000000003E-2</v>
      </c>
      <c r="E893" s="61">
        <v>362.40249999999997</v>
      </c>
      <c r="F893" s="61">
        <v>19.882000000000001</v>
      </c>
      <c r="G893" s="61">
        <v>104.6416</v>
      </c>
      <c r="H893" s="61">
        <v>1.6567000000000001</v>
      </c>
    </row>
    <row r="894" spans="1:8" x14ac:dyDescent="0.15">
      <c r="A894" s="61" t="s">
        <v>13</v>
      </c>
      <c r="B894" s="61">
        <v>2510</v>
      </c>
      <c r="C894" s="61">
        <v>19</v>
      </c>
      <c r="D894" s="61">
        <v>8.7099999999999997E-2</v>
      </c>
      <c r="E894" s="61">
        <v>362.9556</v>
      </c>
      <c r="F894" s="61">
        <v>19.911999999999999</v>
      </c>
      <c r="G894" s="61">
        <v>104.8013</v>
      </c>
      <c r="H894" s="61">
        <v>1.6408</v>
      </c>
    </row>
    <row r="895" spans="1:8" x14ac:dyDescent="0.15">
      <c r="A895" s="61" t="s">
        <v>13</v>
      </c>
      <c r="B895" s="61">
        <v>2510</v>
      </c>
      <c r="C895" s="61">
        <v>19</v>
      </c>
      <c r="D895" s="61">
        <v>8.72E-2</v>
      </c>
      <c r="E895" s="61">
        <v>362.60610000000003</v>
      </c>
      <c r="F895" s="61">
        <v>19.893000000000001</v>
      </c>
      <c r="G895" s="61">
        <v>104.7004</v>
      </c>
      <c r="H895" s="61">
        <v>1.6687000000000001</v>
      </c>
    </row>
    <row r="896" spans="1:8" x14ac:dyDescent="0.15">
      <c r="A896" s="61" t="s">
        <v>13</v>
      </c>
      <c r="B896" s="61">
        <v>2510</v>
      </c>
      <c r="C896" s="61">
        <v>19</v>
      </c>
      <c r="D896" s="61">
        <v>8.7099999999999997E-2</v>
      </c>
      <c r="E896" s="61">
        <v>362.964</v>
      </c>
      <c r="F896" s="61">
        <v>19.913</v>
      </c>
      <c r="G896" s="61">
        <v>104.80370000000001</v>
      </c>
      <c r="H896" s="61">
        <v>1.6587000000000001</v>
      </c>
    </row>
    <row r="897" spans="1:8" x14ac:dyDescent="0.15">
      <c r="A897" s="61" t="s">
        <v>13</v>
      </c>
      <c r="B897" s="61">
        <v>2510</v>
      </c>
      <c r="C897" s="61">
        <v>19</v>
      </c>
      <c r="D897" s="61">
        <v>8.77E-2</v>
      </c>
      <c r="E897" s="61">
        <v>360.6585</v>
      </c>
      <c r="F897" s="61">
        <v>19.786000000000001</v>
      </c>
      <c r="G897" s="61">
        <v>104.13800000000001</v>
      </c>
      <c r="H897" s="61">
        <v>1.6667000000000001</v>
      </c>
    </row>
    <row r="898" spans="1:8" x14ac:dyDescent="0.15">
      <c r="A898" s="61" t="s">
        <v>13</v>
      </c>
      <c r="B898" s="61">
        <v>2510</v>
      </c>
      <c r="C898" s="61">
        <v>19</v>
      </c>
      <c r="D898" s="61">
        <v>8.7099999999999997E-2</v>
      </c>
      <c r="E898" s="61">
        <v>362.94310000000002</v>
      </c>
      <c r="F898" s="61">
        <v>19.911999999999999</v>
      </c>
      <c r="G898" s="61">
        <v>104.79770000000001</v>
      </c>
      <c r="H898" s="61">
        <v>1.6557999999999999</v>
      </c>
    </row>
    <row r="899" spans="1:8" x14ac:dyDescent="0.15">
      <c r="A899" s="61" t="s">
        <v>13</v>
      </c>
      <c r="B899" s="61">
        <v>2510</v>
      </c>
      <c r="C899" s="61">
        <v>19</v>
      </c>
      <c r="D899" s="61">
        <v>8.72E-2</v>
      </c>
      <c r="E899" s="61">
        <v>362.64350000000002</v>
      </c>
      <c r="F899" s="61">
        <v>19.895</v>
      </c>
      <c r="G899" s="61">
        <v>104.71120000000001</v>
      </c>
      <c r="H899" s="61">
        <v>1.6567000000000001</v>
      </c>
    </row>
    <row r="900" spans="1:8" x14ac:dyDescent="0.15">
      <c r="A900" s="61" t="s">
        <v>13</v>
      </c>
      <c r="B900" s="61">
        <v>2510</v>
      </c>
      <c r="C900" s="61">
        <v>19</v>
      </c>
      <c r="D900" s="61">
        <v>8.72E-2</v>
      </c>
      <c r="E900" s="61">
        <v>362.89319999999998</v>
      </c>
      <c r="F900" s="61">
        <v>19.908999999999999</v>
      </c>
      <c r="G900" s="61">
        <v>104.7833</v>
      </c>
      <c r="H900" s="61">
        <v>1.6557999999999999</v>
      </c>
    </row>
    <row r="901" spans="1:8" x14ac:dyDescent="0.15">
      <c r="A901" s="61" t="s">
        <v>13</v>
      </c>
      <c r="B901" s="61">
        <v>2510</v>
      </c>
      <c r="C901" s="61">
        <v>19</v>
      </c>
      <c r="D901" s="61">
        <v>8.72E-2</v>
      </c>
      <c r="E901" s="61">
        <v>362.83069999999998</v>
      </c>
      <c r="F901" s="61">
        <v>19.905000000000001</v>
      </c>
      <c r="G901" s="61">
        <v>104.7653</v>
      </c>
      <c r="H901" s="61">
        <v>1.6556999999999999</v>
      </c>
    </row>
    <row r="902" spans="1:8" x14ac:dyDescent="0.15">
      <c r="A902" s="61" t="s">
        <v>13</v>
      </c>
      <c r="B902" s="61">
        <v>2510</v>
      </c>
      <c r="C902" s="61">
        <v>19</v>
      </c>
      <c r="D902" s="61">
        <v>8.7099999999999997E-2</v>
      </c>
      <c r="E902" s="61">
        <v>362.90980000000002</v>
      </c>
      <c r="F902" s="61">
        <v>19.91</v>
      </c>
      <c r="G902" s="61">
        <v>104.7881</v>
      </c>
      <c r="H902" s="61">
        <v>1.6548</v>
      </c>
    </row>
    <row r="903" spans="1:8" x14ac:dyDescent="0.15">
      <c r="A903" s="61" t="s">
        <v>13</v>
      </c>
      <c r="B903" s="61">
        <v>2510</v>
      </c>
      <c r="C903" s="61">
        <v>19</v>
      </c>
      <c r="D903" s="61">
        <v>8.7099999999999997E-2</v>
      </c>
      <c r="E903" s="61">
        <v>363.06400000000002</v>
      </c>
      <c r="F903" s="61">
        <v>19.917999999999999</v>
      </c>
      <c r="G903" s="61">
        <v>104.8326</v>
      </c>
      <c r="H903" s="61">
        <v>1.6547000000000001</v>
      </c>
    </row>
    <row r="904" spans="1:8" x14ac:dyDescent="0.15">
      <c r="A904" s="61" t="s">
        <v>13</v>
      </c>
      <c r="B904" s="61">
        <v>2510</v>
      </c>
      <c r="C904" s="61">
        <v>19</v>
      </c>
      <c r="D904" s="61">
        <v>8.7099999999999997E-2</v>
      </c>
      <c r="E904" s="61">
        <v>363.27249999999998</v>
      </c>
      <c r="F904" s="61">
        <v>19.93</v>
      </c>
      <c r="G904" s="61">
        <v>104.89279999999999</v>
      </c>
      <c r="H904" s="61">
        <v>1.6527000000000001</v>
      </c>
    </row>
    <row r="905" spans="1:8" x14ac:dyDescent="0.15">
      <c r="A905" s="61" t="s">
        <v>13</v>
      </c>
      <c r="B905" s="61">
        <v>2510</v>
      </c>
      <c r="C905" s="61">
        <v>19</v>
      </c>
      <c r="D905" s="61">
        <v>8.72E-2</v>
      </c>
      <c r="E905" s="61">
        <v>362.65179999999998</v>
      </c>
      <c r="F905" s="61">
        <v>19.896000000000001</v>
      </c>
      <c r="G905" s="61">
        <v>104.7136</v>
      </c>
      <c r="H905" s="61">
        <v>1.6577</v>
      </c>
    </row>
    <row r="906" spans="1:8" x14ac:dyDescent="0.15">
      <c r="A906" s="61" t="s">
        <v>13</v>
      </c>
      <c r="B906" s="61">
        <v>2510</v>
      </c>
      <c r="C906" s="61">
        <v>19</v>
      </c>
      <c r="D906" s="61">
        <v>8.72E-2</v>
      </c>
      <c r="E906" s="61">
        <v>362.53129999999999</v>
      </c>
      <c r="F906" s="61">
        <v>19.888999999999999</v>
      </c>
      <c r="G906" s="61">
        <v>104.6788</v>
      </c>
      <c r="H906" s="61">
        <v>1.6577</v>
      </c>
    </row>
    <row r="907" spans="1:8" x14ac:dyDescent="0.15">
      <c r="A907" s="61" t="s">
        <v>13</v>
      </c>
      <c r="B907" s="61">
        <v>2510</v>
      </c>
      <c r="C907" s="61">
        <v>19</v>
      </c>
      <c r="D907" s="61">
        <v>8.7099999999999997E-2</v>
      </c>
      <c r="E907" s="61">
        <v>363.10559999999998</v>
      </c>
      <c r="F907" s="61">
        <v>19.920000000000002</v>
      </c>
      <c r="G907" s="61">
        <v>104.8446</v>
      </c>
      <c r="H907" s="61">
        <v>1.6548</v>
      </c>
    </row>
    <row r="908" spans="1:8" x14ac:dyDescent="0.15">
      <c r="A908" s="61" t="s">
        <v>13</v>
      </c>
      <c r="B908" s="61">
        <v>2510</v>
      </c>
      <c r="C908" s="61">
        <v>19</v>
      </c>
      <c r="D908" s="61">
        <v>8.72E-2</v>
      </c>
      <c r="E908" s="61">
        <v>362.65179999999998</v>
      </c>
      <c r="F908" s="61">
        <v>19.896000000000001</v>
      </c>
      <c r="G908" s="61">
        <v>104.7136</v>
      </c>
      <c r="H908" s="61">
        <v>1.6567000000000001</v>
      </c>
    </row>
    <row r="909" spans="1:8" x14ac:dyDescent="0.15">
      <c r="A909" s="61" t="s">
        <v>13</v>
      </c>
      <c r="B909" s="61">
        <v>2510</v>
      </c>
      <c r="C909" s="61">
        <v>19</v>
      </c>
      <c r="D909" s="61">
        <v>8.7099999999999997E-2</v>
      </c>
      <c r="E909" s="61">
        <v>362.90980000000002</v>
      </c>
      <c r="F909" s="61">
        <v>19.91</v>
      </c>
      <c r="G909" s="61">
        <v>104.7881</v>
      </c>
      <c r="H909" s="61">
        <v>1.6557999999999999</v>
      </c>
    </row>
    <row r="910" spans="1:8" x14ac:dyDescent="0.15">
      <c r="A910" s="61" t="s">
        <v>13</v>
      </c>
      <c r="B910" s="61">
        <v>2510</v>
      </c>
      <c r="C910" s="61">
        <v>19</v>
      </c>
      <c r="D910" s="61">
        <v>8.72E-2</v>
      </c>
      <c r="E910" s="61">
        <v>362.82650000000001</v>
      </c>
      <c r="F910" s="61">
        <v>19.905000000000001</v>
      </c>
      <c r="G910" s="61">
        <v>104.7641</v>
      </c>
      <c r="H910" s="61">
        <v>1.6557999999999999</v>
      </c>
    </row>
    <row r="911" spans="1:8" x14ac:dyDescent="0.15">
      <c r="A911" s="61" t="s">
        <v>13</v>
      </c>
      <c r="B911" s="61">
        <v>2510</v>
      </c>
      <c r="C911" s="61">
        <v>19</v>
      </c>
      <c r="D911" s="61">
        <v>8.7099999999999997E-2</v>
      </c>
      <c r="E911" s="61">
        <v>363.10559999999998</v>
      </c>
      <c r="F911" s="61">
        <v>19.920000000000002</v>
      </c>
      <c r="G911" s="61">
        <v>104.8446</v>
      </c>
      <c r="H911" s="61">
        <v>1.6556999999999999</v>
      </c>
    </row>
    <row r="912" spans="1:8" x14ac:dyDescent="0.15">
      <c r="A912" s="61" t="s">
        <v>13</v>
      </c>
      <c r="B912" s="61">
        <v>2510</v>
      </c>
      <c r="C912" s="61">
        <v>19</v>
      </c>
      <c r="D912" s="61">
        <v>8.7099999999999997E-2</v>
      </c>
      <c r="E912" s="61">
        <v>362.95150000000001</v>
      </c>
      <c r="F912" s="61">
        <v>19.911999999999999</v>
      </c>
      <c r="G912" s="61">
        <v>104.8001</v>
      </c>
      <c r="H912" s="61">
        <v>1.6556999999999999</v>
      </c>
    </row>
    <row r="913" spans="1:8" x14ac:dyDescent="0.15">
      <c r="A913" s="61" t="s">
        <v>13</v>
      </c>
      <c r="B913" s="61">
        <v>2510</v>
      </c>
      <c r="C913" s="61">
        <v>19</v>
      </c>
      <c r="D913" s="61">
        <v>8.7300000000000003E-2</v>
      </c>
      <c r="E913" s="61">
        <v>362.39830000000001</v>
      </c>
      <c r="F913" s="61">
        <v>19.882000000000001</v>
      </c>
      <c r="G913" s="61">
        <v>104.6404</v>
      </c>
      <c r="H913" s="61">
        <v>1.6577</v>
      </c>
    </row>
    <row r="914" spans="1:8" x14ac:dyDescent="0.15">
      <c r="A914" s="61" t="s">
        <v>13</v>
      </c>
      <c r="B914" s="61">
        <v>2510</v>
      </c>
      <c r="C914" s="61">
        <v>19</v>
      </c>
      <c r="D914" s="61">
        <v>8.72E-2</v>
      </c>
      <c r="E914" s="61">
        <v>362.84320000000002</v>
      </c>
      <c r="F914" s="61">
        <v>19.905999999999999</v>
      </c>
      <c r="G914" s="61">
        <v>104.7689</v>
      </c>
      <c r="H914" s="61">
        <v>1.6556999999999999</v>
      </c>
    </row>
    <row r="915" spans="1:8" x14ac:dyDescent="0.15">
      <c r="A915" s="61" t="s">
        <v>13</v>
      </c>
      <c r="B915" s="61">
        <v>2510</v>
      </c>
      <c r="C915" s="61">
        <v>19</v>
      </c>
      <c r="D915" s="61">
        <v>8.72E-2</v>
      </c>
      <c r="E915" s="61">
        <v>362.75580000000002</v>
      </c>
      <c r="F915" s="61">
        <v>19.901</v>
      </c>
      <c r="G915" s="61">
        <v>104.7436</v>
      </c>
      <c r="H915" s="61">
        <v>1.6567000000000001</v>
      </c>
    </row>
    <row r="916" spans="1:8" x14ac:dyDescent="0.15">
      <c r="A916" s="61" t="s">
        <v>13</v>
      </c>
      <c r="B916" s="61">
        <v>2510</v>
      </c>
      <c r="C916" s="61">
        <v>19</v>
      </c>
      <c r="D916" s="61">
        <v>8.72E-2</v>
      </c>
      <c r="E916" s="61">
        <v>362.58109999999999</v>
      </c>
      <c r="F916" s="61">
        <v>19.891999999999999</v>
      </c>
      <c r="G916" s="61">
        <v>104.6932</v>
      </c>
      <c r="H916" s="61">
        <v>1.6567000000000001</v>
      </c>
    </row>
    <row r="917" spans="1:8" x14ac:dyDescent="0.15">
      <c r="A917" s="61" t="s">
        <v>13</v>
      </c>
      <c r="B917" s="61">
        <v>2510</v>
      </c>
      <c r="C917" s="61">
        <v>19</v>
      </c>
      <c r="D917" s="61">
        <v>8.72E-2</v>
      </c>
      <c r="E917" s="61">
        <v>362.7808</v>
      </c>
      <c r="F917" s="61">
        <v>19.902999999999999</v>
      </c>
      <c r="G917" s="61">
        <v>104.7508</v>
      </c>
      <c r="H917" s="61">
        <v>1.6568000000000001</v>
      </c>
    </row>
    <row r="918" spans="1:8" x14ac:dyDescent="0.15">
      <c r="A918" s="61" t="s">
        <v>13</v>
      </c>
      <c r="B918" s="61">
        <v>2510</v>
      </c>
      <c r="C918" s="61">
        <v>19</v>
      </c>
      <c r="D918" s="61">
        <v>8.72E-2</v>
      </c>
      <c r="E918" s="61">
        <v>362.68090000000001</v>
      </c>
      <c r="F918" s="61">
        <v>19.896999999999998</v>
      </c>
      <c r="G918" s="61">
        <v>104.72199999999999</v>
      </c>
      <c r="H918" s="61">
        <v>1.6567000000000001</v>
      </c>
    </row>
    <row r="919" spans="1:8" x14ac:dyDescent="0.15">
      <c r="A919" s="61" t="s">
        <v>13</v>
      </c>
      <c r="B919" s="61">
        <v>2510</v>
      </c>
      <c r="C919" s="61">
        <v>19</v>
      </c>
      <c r="D919" s="61">
        <v>8.72E-2</v>
      </c>
      <c r="E919" s="61">
        <v>362.70170000000002</v>
      </c>
      <c r="F919" s="61">
        <v>19.898</v>
      </c>
      <c r="G919" s="61">
        <v>104.72799999999999</v>
      </c>
      <c r="H919" s="61">
        <v>1.6408</v>
      </c>
    </row>
    <row r="920" spans="1:8" x14ac:dyDescent="0.15">
      <c r="A920" s="61" t="s">
        <v>13</v>
      </c>
      <c r="B920" s="61">
        <v>2510</v>
      </c>
      <c r="C920" s="61">
        <v>19</v>
      </c>
      <c r="D920" s="61">
        <v>8.72E-2</v>
      </c>
      <c r="E920" s="61">
        <v>362.80160000000001</v>
      </c>
      <c r="F920" s="61">
        <v>19.904</v>
      </c>
      <c r="G920" s="61">
        <v>104.7569</v>
      </c>
      <c r="H920" s="61">
        <v>1.6697</v>
      </c>
    </row>
    <row r="921" spans="1:8" x14ac:dyDescent="0.15">
      <c r="A921" s="61" t="s">
        <v>13</v>
      </c>
      <c r="B921" s="61">
        <v>2510</v>
      </c>
      <c r="C921" s="61">
        <v>19</v>
      </c>
      <c r="D921" s="61">
        <v>8.72E-2</v>
      </c>
      <c r="E921" s="61">
        <v>362.8141</v>
      </c>
      <c r="F921" s="61">
        <v>19.904</v>
      </c>
      <c r="G921" s="61">
        <v>104.76049999999999</v>
      </c>
      <c r="H921" s="61">
        <v>1.6587000000000001</v>
      </c>
    </row>
    <row r="922" spans="1:8" x14ac:dyDescent="0.15">
      <c r="A922" s="61" t="s">
        <v>13</v>
      </c>
      <c r="B922" s="61">
        <v>2510</v>
      </c>
      <c r="C922" s="61">
        <v>19</v>
      </c>
      <c r="D922" s="61">
        <v>8.72E-2</v>
      </c>
      <c r="E922" s="61">
        <v>362.6934</v>
      </c>
      <c r="F922" s="61">
        <v>19.898</v>
      </c>
      <c r="G922" s="61">
        <v>104.7256</v>
      </c>
      <c r="H922" s="61">
        <v>1.6556999999999999</v>
      </c>
    </row>
    <row r="923" spans="1:8" x14ac:dyDescent="0.15">
      <c r="A923" s="61" t="s">
        <v>13</v>
      </c>
      <c r="B923" s="61">
        <v>2510</v>
      </c>
      <c r="C923" s="61">
        <v>19</v>
      </c>
      <c r="D923" s="61">
        <v>8.72E-2</v>
      </c>
      <c r="E923" s="61">
        <v>362.56869999999998</v>
      </c>
      <c r="F923" s="61">
        <v>19.890999999999998</v>
      </c>
      <c r="G923" s="61">
        <v>104.6896</v>
      </c>
      <c r="H923" s="61">
        <v>1.6567000000000001</v>
      </c>
    </row>
    <row r="924" spans="1:8" x14ac:dyDescent="0.15">
      <c r="A924" s="61" t="s">
        <v>13</v>
      </c>
      <c r="B924" s="61">
        <v>2510</v>
      </c>
      <c r="C924" s="61">
        <v>19</v>
      </c>
      <c r="D924" s="61">
        <v>8.7400000000000005E-2</v>
      </c>
      <c r="E924" s="61">
        <v>362.0333</v>
      </c>
      <c r="F924" s="61">
        <v>19.861999999999998</v>
      </c>
      <c r="G924" s="61">
        <v>104.535</v>
      </c>
      <c r="H924" s="61">
        <v>1.6597999999999999</v>
      </c>
    </row>
    <row r="925" spans="1:8" x14ac:dyDescent="0.15">
      <c r="A925" s="61" t="s">
        <v>13</v>
      </c>
      <c r="B925" s="61">
        <v>2510</v>
      </c>
      <c r="C925" s="61">
        <v>19</v>
      </c>
      <c r="D925" s="61">
        <v>8.7400000000000005E-2</v>
      </c>
      <c r="E925" s="61">
        <v>362.05810000000002</v>
      </c>
      <c r="F925" s="61">
        <v>19.863</v>
      </c>
      <c r="G925" s="61">
        <v>104.54219999999999</v>
      </c>
      <c r="H925" s="61">
        <v>1.6597</v>
      </c>
    </row>
    <row r="926" spans="1:8" x14ac:dyDescent="0.15">
      <c r="A926" s="61" t="s">
        <v>13</v>
      </c>
      <c r="B926" s="61">
        <v>2510</v>
      </c>
      <c r="C926" s="61">
        <v>19</v>
      </c>
      <c r="D926" s="61">
        <v>8.72E-2</v>
      </c>
      <c r="E926" s="61">
        <v>362.71420000000001</v>
      </c>
      <c r="F926" s="61">
        <v>19.899000000000001</v>
      </c>
      <c r="G926" s="61">
        <v>104.7316</v>
      </c>
      <c r="H926" s="61">
        <v>1.6568000000000001</v>
      </c>
    </row>
    <row r="927" spans="1:8" x14ac:dyDescent="0.15">
      <c r="A927" s="61" t="s">
        <v>13</v>
      </c>
      <c r="B927" s="61">
        <v>2510</v>
      </c>
      <c r="C927" s="61">
        <v>19</v>
      </c>
      <c r="D927" s="61">
        <v>8.72E-2</v>
      </c>
      <c r="E927" s="61">
        <v>362.56869999999998</v>
      </c>
      <c r="F927" s="61">
        <v>19.890999999999998</v>
      </c>
      <c r="G927" s="61">
        <v>104.6896</v>
      </c>
      <c r="H927" s="61">
        <v>1.6567000000000001</v>
      </c>
    </row>
    <row r="928" spans="1:8" x14ac:dyDescent="0.15">
      <c r="A928" s="61" t="s">
        <v>13</v>
      </c>
      <c r="B928" s="61">
        <v>2510</v>
      </c>
      <c r="C928" s="61">
        <v>19</v>
      </c>
      <c r="D928" s="61">
        <v>8.72E-2</v>
      </c>
      <c r="E928" s="61">
        <v>362.8141</v>
      </c>
      <c r="F928" s="61">
        <v>19.904</v>
      </c>
      <c r="G928" s="61">
        <v>104.76049999999999</v>
      </c>
      <c r="H928" s="61">
        <v>1.6556999999999999</v>
      </c>
    </row>
    <row r="929" spans="1:8" x14ac:dyDescent="0.15">
      <c r="A929" s="61" t="s">
        <v>13</v>
      </c>
      <c r="B929" s="61">
        <v>2510</v>
      </c>
      <c r="C929" s="61">
        <v>19</v>
      </c>
      <c r="D929" s="61">
        <v>8.7099999999999997E-2</v>
      </c>
      <c r="E929" s="61">
        <v>363.13479999999998</v>
      </c>
      <c r="F929" s="61">
        <v>19.922000000000001</v>
      </c>
      <c r="G929" s="61">
        <v>104.8531</v>
      </c>
      <c r="H929" s="61">
        <v>1.6557999999999999</v>
      </c>
    </row>
    <row r="930" spans="1:8" x14ac:dyDescent="0.15">
      <c r="A930" s="61" t="s">
        <v>13</v>
      </c>
      <c r="B930" s="61">
        <v>2510</v>
      </c>
      <c r="C930" s="61">
        <v>19</v>
      </c>
      <c r="D930" s="61">
        <v>8.72E-2</v>
      </c>
      <c r="E930" s="61">
        <v>362.73919999999998</v>
      </c>
      <c r="F930" s="61">
        <v>19.899999999999999</v>
      </c>
      <c r="G930" s="61">
        <v>104.7388</v>
      </c>
      <c r="H930" s="61">
        <v>1.6556999999999999</v>
      </c>
    </row>
    <row r="931" spans="1:8" x14ac:dyDescent="0.15">
      <c r="A931" s="61" t="s">
        <v>13</v>
      </c>
      <c r="B931" s="61">
        <v>2510</v>
      </c>
      <c r="C931" s="61">
        <v>19</v>
      </c>
      <c r="D931" s="61">
        <v>8.72E-2</v>
      </c>
      <c r="E931" s="61">
        <v>362.65179999999998</v>
      </c>
      <c r="F931" s="61">
        <v>19.896000000000001</v>
      </c>
      <c r="G931" s="61">
        <v>104.7136</v>
      </c>
      <c r="H931" s="61">
        <v>1.6567000000000001</v>
      </c>
    </row>
    <row r="932" spans="1:8" x14ac:dyDescent="0.15">
      <c r="A932" s="61" t="s">
        <v>13</v>
      </c>
      <c r="B932" s="61">
        <v>2510</v>
      </c>
      <c r="C932" s="61">
        <v>20</v>
      </c>
      <c r="D932" s="61">
        <v>7.9100000000000004E-2</v>
      </c>
      <c r="E932" s="61">
        <v>399.73840000000001</v>
      </c>
      <c r="F932" s="61">
        <v>21.93</v>
      </c>
      <c r="G932" s="61">
        <v>109.651</v>
      </c>
      <c r="H932" s="61">
        <v>1.5758000000000001</v>
      </c>
    </row>
    <row r="933" spans="1:8" x14ac:dyDescent="0.15">
      <c r="A933" s="61" t="s">
        <v>13</v>
      </c>
      <c r="B933" s="61">
        <v>2510</v>
      </c>
      <c r="C933" s="61">
        <v>20</v>
      </c>
      <c r="D933" s="61">
        <v>7.9500000000000001E-2</v>
      </c>
      <c r="E933" s="61">
        <v>397.63260000000002</v>
      </c>
      <c r="F933" s="61">
        <v>21.815000000000001</v>
      </c>
      <c r="G933" s="61">
        <v>109.07340000000001</v>
      </c>
      <c r="H933" s="61">
        <v>1.5908</v>
      </c>
    </row>
    <row r="934" spans="1:8" x14ac:dyDescent="0.15">
      <c r="A934" s="61" t="s">
        <v>13</v>
      </c>
      <c r="B934" s="61">
        <v>2510</v>
      </c>
      <c r="C934" s="61">
        <v>20</v>
      </c>
      <c r="D934" s="61">
        <v>7.8200000000000006E-2</v>
      </c>
      <c r="E934" s="61">
        <v>404.68450000000001</v>
      </c>
      <c r="F934" s="61">
        <v>22.202000000000002</v>
      </c>
      <c r="G934" s="61">
        <v>111.0078</v>
      </c>
      <c r="H934" s="61">
        <v>1.5638000000000001</v>
      </c>
    </row>
    <row r="935" spans="1:8" x14ac:dyDescent="0.15">
      <c r="A935" s="61" t="s">
        <v>13</v>
      </c>
      <c r="B935" s="61">
        <v>2510</v>
      </c>
      <c r="C935" s="61">
        <v>20</v>
      </c>
      <c r="D935" s="61">
        <v>7.9600000000000004E-2</v>
      </c>
      <c r="E935" s="61">
        <v>397.24299999999999</v>
      </c>
      <c r="F935" s="61">
        <v>21.792999999999999</v>
      </c>
      <c r="G935" s="61">
        <v>108.9665</v>
      </c>
      <c r="H935" s="61">
        <v>1.5928</v>
      </c>
    </row>
    <row r="936" spans="1:8" x14ac:dyDescent="0.15">
      <c r="A936" s="61" t="s">
        <v>13</v>
      </c>
      <c r="B936" s="61">
        <v>2510</v>
      </c>
      <c r="C936" s="61">
        <v>20</v>
      </c>
      <c r="D936" s="61">
        <v>7.9799999999999996E-2</v>
      </c>
      <c r="E936" s="61">
        <v>396.08390000000003</v>
      </c>
      <c r="F936" s="61">
        <v>21.73</v>
      </c>
      <c r="G936" s="61">
        <v>108.6486</v>
      </c>
      <c r="H936" s="61">
        <v>1.5978000000000001</v>
      </c>
    </row>
    <row r="937" spans="1:8" x14ac:dyDescent="0.15">
      <c r="A937" s="61" t="s">
        <v>13</v>
      </c>
      <c r="B937" s="61">
        <v>2510</v>
      </c>
      <c r="C937" s="61">
        <v>20</v>
      </c>
      <c r="D937" s="61">
        <v>7.9899999999999999E-2</v>
      </c>
      <c r="E937" s="61">
        <v>395.66759999999999</v>
      </c>
      <c r="F937" s="61">
        <v>21.707000000000001</v>
      </c>
      <c r="G937" s="61">
        <v>108.53440000000001</v>
      </c>
      <c r="H937" s="61">
        <v>1.5988</v>
      </c>
    </row>
    <row r="938" spans="1:8" x14ac:dyDescent="0.15">
      <c r="A938" s="61" t="s">
        <v>13</v>
      </c>
      <c r="B938" s="61">
        <v>2510</v>
      </c>
      <c r="C938" s="61">
        <v>20</v>
      </c>
      <c r="D938" s="61">
        <v>8.1100000000000005E-2</v>
      </c>
      <c r="E938" s="61">
        <v>390.17610000000002</v>
      </c>
      <c r="F938" s="61">
        <v>21.405999999999999</v>
      </c>
      <c r="G938" s="61">
        <v>107.02800000000001</v>
      </c>
      <c r="H938" s="61">
        <v>1.6188</v>
      </c>
    </row>
    <row r="939" spans="1:8" x14ac:dyDescent="0.15">
      <c r="A939" s="61" t="s">
        <v>13</v>
      </c>
      <c r="B939" s="61">
        <v>2510</v>
      </c>
      <c r="C939" s="61">
        <v>20</v>
      </c>
      <c r="D939" s="61">
        <v>8.2500000000000004E-2</v>
      </c>
      <c r="E939" s="61">
        <v>383.1472</v>
      </c>
      <c r="F939" s="61">
        <v>21.02</v>
      </c>
      <c r="G939" s="61">
        <v>105.1</v>
      </c>
      <c r="H939" s="61">
        <v>1.6488</v>
      </c>
    </row>
    <row r="940" spans="1:8" x14ac:dyDescent="0.15">
      <c r="A940" s="61" t="s">
        <v>13</v>
      </c>
      <c r="B940" s="61">
        <v>2510</v>
      </c>
      <c r="C940" s="61">
        <v>20</v>
      </c>
      <c r="D940" s="61">
        <v>7.8299999999999995E-2</v>
      </c>
      <c r="E940" s="61">
        <v>403.98149999999998</v>
      </c>
      <c r="F940" s="61">
        <v>22.163</v>
      </c>
      <c r="G940" s="61">
        <v>110.815</v>
      </c>
      <c r="H940" s="61">
        <v>1.5658000000000001</v>
      </c>
    </row>
    <row r="941" spans="1:8" x14ac:dyDescent="0.15">
      <c r="A941" s="61" t="s">
        <v>13</v>
      </c>
      <c r="B941" s="61">
        <v>2510</v>
      </c>
      <c r="C941" s="61">
        <v>20</v>
      </c>
      <c r="D941" s="61">
        <v>7.8100000000000003E-2</v>
      </c>
      <c r="E941" s="61">
        <v>404.71039999999999</v>
      </c>
      <c r="F941" s="61">
        <v>22.202999999999999</v>
      </c>
      <c r="G941" s="61">
        <v>111.0149</v>
      </c>
      <c r="H941" s="61">
        <v>1.5628</v>
      </c>
    </row>
    <row r="942" spans="1:8" x14ac:dyDescent="0.15">
      <c r="A942" s="61" t="s">
        <v>13</v>
      </c>
      <c r="B942" s="61">
        <v>2510</v>
      </c>
      <c r="C942" s="61">
        <v>20</v>
      </c>
      <c r="D942" s="61">
        <v>7.9600000000000004E-2</v>
      </c>
      <c r="E942" s="61">
        <v>397.32279999999997</v>
      </c>
      <c r="F942" s="61">
        <v>21.797999999999998</v>
      </c>
      <c r="G942" s="61">
        <v>108.9884</v>
      </c>
      <c r="H942" s="61">
        <v>1.5928</v>
      </c>
    </row>
    <row r="943" spans="1:8" x14ac:dyDescent="0.15">
      <c r="A943" s="61" t="s">
        <v>13</v>
      </c>
      <c r="B943" s="61">
        <v>2510</v>
      </c>
      <c r="C943" s="61">
        <v>20</v>
      </c>
      <c r="D943" s="61">
        <v>7.8200000000000006E-2</v>
      </c>
      <c r="E943" s="61">
        <v>404.54480000000001</v>
      </c>
      <c r="F943" s="61">
        <v>22.193999999999999</v>
      </c>
      <c r="G943" s="61">
        <v>110.9695</v>
      </c>
      <c r="H943" s="61">
        <v>1.5638000000000001</v>
      </c>
    </row>
    <row r="944" spans="1:8" x14ac:dyDescent="0.15">
      <c r="A944" s="61" t="s">
        <v>13</v>
      </c>
      <c r="B944" s="61">
        <v>2510</v>
      </c>
      <c r="C944" s="61">
        <v>20</v>
      </c>
      <c r="D944" s="61">
        <v>7.8299999999999995E-2</v>
      </c>
      <c r="E944" s="61">
        <v>403.98669999999998</v>
      </c>
      <c r="F944" s="61">
        <v>22.163</v>
      </c>
      <c r="G944" s="61">
        <v>110.8164</v>
      </c>
      <c r="H944" s="61">
        <v>1.5668</v>
      </c>
    </row>
    <row r="945" spans="1:8" x14ac:dyDescent="0.15">
      <c r="A945" s="61" t="s">
        <v>13</v>
      </c>
      <c r="B945" s="61">
        <v>2510</v>
      </c>
      <c r="C945" s="61">
        <v>20</v>
      </c>
      <c r="D945" s="61">
        <v>7.8200000000000006E-2</v>
      </c>
      <c r="E945" s="61">
        <v>404.62759999999997</v>
      </c>
      <c r="F945" s="61">
        <v>22.198</v>
      </c>
      <c r="G945" s="61">
        <v>110.9922</v>
      </c>
      <c r="H945" s="61">
        <v>1.5608</v>
      </c>
    </row>
    <row r="946" spans="1:8" x14ac:dyDescent="0.15">
      <c r="A946" s="61" t="s">
        <v>13</v>
      </c>
      <c r="B946" s="61">
        <v>2510</v>
      </c>
      <c r="C946" s="61">
        <v>20</v>
      </c>
      <c r="D946" s="61">
        <v>7.8200000000000006E-2</v>
      </c>
      <c r="E946" s="61">
        <v>404.44130000000001</v>
      </c>
      <c r="F946" s="61">
        <v>22.187999999999999</v>
      </c>
      <c r="G946" s="61">
        <v>110.94110000000001</v>
      </c>
      <c r="H946" s="61">
        <v>1.5598000000000001</v>
      </c>
    </row>
    <row r="947" spans="1:8" x14ac:dyDescent="0.15">
      <c r="A947" s="61" t="s">
        <v>13</v>
      </c>
      <c r="B947" s="61">
        <v>2510</v>
      </c>
      <c r="C947" s="61">
        <v>20</v>
      </c>
      <c r="D947" s="61">
        <v>7.8E-2</v>
      </c>
      <c r="E947" s="61">
        <v>405.58760000000001</v>
      </c>
      <c r="F947" s="61">
        <v>22.251000000000001</v>
      </c>
      <c r="G947" s="61">
        <v>111.2555</v>
      </c>
      <c r="H947" s="61">
        <v>1.5598000000000001</v>
      </c>
    </row>
    <row r="948" spans="1:8" x14ac:dyDescent="0.15">
      <c r="A948" s="61" t="s">
        <v>13</v>
      </c>
      <c r="B948" s="61">
        <v>2510</v>
      </c>
      <c r="C948" s="61">
        <v>20</v>
      </c>
      <c r="D948" s="61">
        <v>7.9600000000000004E-2</v>
      </c>
      <c r="E948" s="61">
        <v>397.32780000000002</v>
      </c>
      <c r="F948" s="61">
        <v>21.797999999999998</v>
      </c>
      <c r="G948" s="61">
        <v>108.9898</v>
      </c>
      <c r="H948" s="61">
        <v>1.5998000000000001</v>
      </c>
    </row>
    <row r="949" spans="1:8" x14ac:dyDescent="0.15">
      <c r="A949" s="61" t="s">
        <v>13</v>
      </c>
      <c r="B949" s="61">
        <v>2510</v>
      </c>
      <c r="C949" s="61">
        <v>20</v>
      </c>
      <c r="D949" s="61">
        <v>7.8299999999999995E-2</v>
      </c>
      <c r="E949" s="61">
        <v>403.80099999999999</v>
      </c>
      <c r="F949" s="61">
        <v>22.152999999999999</v>
      </c>
      <c r="G949" s="61">
        <v>110.7654</v>
      </c>
      <c r="H949" s="61">
        <v>1.5668</v>
      </c>
    </row>
    <row r="950" spans="1:8" x14ac:dyDescent="0.15">
      <c r="A950" s="61" t="s">
        <v>13</v>
      </c>
      <c r="B950" s="61">
        <v>2510</v>
      </c>
      <c r="C950" s="61">
        <v>20</v>
      </c>
      <c r="D950" s="61">
        <v>7.8200000000000006E-2</v>
      </c>
      <c r="E950" s="61">
        <v>404.64830000000001</v>
      </c>
      <c r="F950" s="61">
        <v>22.2</v>
      </c>
      <c r="G950" s="61">
        <v>110.9979</v>
      </c>
      <c r="H950" s="61">
        <v>1.5638000000000001</v>
      </c>
    </row>
    <row r="951" spans="1:8" x14ac:dyDescent="0.15">
      <c r="A951" s="61" t="s">
        <v>13</v>
      </c>
      <c r="B951" s="61">
        <v>2510</v>
      </c>
      <c r="C951" s="61">
        <v>20</v>
      </c>
      <c r="D951" s="61">
        <v>7.8200000000000006E-2</v>
      </c>
      <c r="E951" s="61">
        <v>404.27069999999998</v>
      </c>
      <c r="F951" s="61">
        <v>22.178999999999998</v>
      </c>
      <c r="G951" s="61">
        <v>110.8943</v>
      </c>
      <c r="H951" s="61">
        <v>1.5658000000000001</v>
      </c>
    </row>
    <row r="952" spans="1:8" x14ac:dyDescent="0.15">
      <c r="A952" s="61" t="s">
        <v>13</v>
      </c>
      <c r="B952" s="61">
        <v>2510</v>
      </c>
      <c r="C952" s="61">
        <v>20</v>
      </c>
      <c r="D952" s="61">
        <v>7.8100000000000003E-2</v>
      </c>
      <c r="E952" s="61">
        <v>404.70519999999999</v>
      </c>
      <c r="F952" s="61">
        <v>22.202999999999999</v>
      </c>
      <c r="G952" s="61">
        <v>111.01349999999999</v>
      </c>
      <c r="H952" s="61">
        <v>1.5628</v>
      </c>
    </row>
    <row r="953" spans="1:8" x14ac:dyDescent="0.15">
      <c r="A953" s="61" t="s">
        <v>13</v>
      </c>
      <c r="B953" s="61">
        <v>2510</v>
      </c>
      <c r="C953" s="61">
        <v>20</v>
      </c>
      <c r="D953" s="61">
        <v>7.8200000000000006E-2</v>
      </c>
      <c r="E953" s="61">
        <v>404.3689</v>
      </c>
      <c r="F953" s="61">
        <v>22.184000000000001</v>
      </c>
      <c r="G953" s="61">
        <v>110.9212</v>
      </c>
      <c r="H953" s="61">
        <v>1.5648</v>
      </c>
    </row>
    <row r="954" spans="1:8" x14ac:dyDescent="0.15">
      <c r="A954" s="61" t="s">
        <v>13</v>
      </c>
      <c r="B954" s="61">
        <v>2510</v>
      </c>
      <c r="C954" s="61">
        <v>20</v>
      </c>
      <c r="D954" s="61">
        <v>7.8200000000000006E-2</v>
      </c>
      <c r="E954" s="61">
        <v>404.66379999999998</v>
      </c>
      <c r="F954" s="61">
        <v>22.2</v>
      </c>
      <c r="G954" s="61">
        <v>111.0021</v>
      </c>
      <c r="H954" s="61">
        <v>1.5628</v>
      </c>
    </row>
    <row r="955" spans="1:8" x14ac:dyDescent="0.15">
      <c r="A955" s="61" t="s">
        <v>13</v>
      </c>
      <c r="B955" s="61">
        <v>2510</v>
      </c>
      <c r="C955" s="61">
        <v>20</v>
      </c>
      <c r="D955" s="61">
        <v>7.7899999999999997E-2</v>
      </c>
      <c r="E955" s="61">
        <v>406.05099999999999</v>
      </c>
      <c r="F955" s="61">
        <v>22.277000000000001</v>
      </c>
      <c r="G955" s="61">
        <v>111.3826</v>
      </c>
      <c r="H955" s="61">
        <v>1.5588</v>
      </c>
    </row>
    <row r="956" spans="1:8" x14ac:dyDescent="0.15">
      <c r="A956" s="61" t="s">
        <v>13</v>
      </c>
      <c r="B956" s="61">
        <v>2510</v>
      </c>
      <c r="C956" s="61">
        <v>20</v>
      </c>
      <c r="D956" s="61">
        <v>7.8100000000000003E-2</v>
      </c>
      <c r="E956" s="61">
        <v>404.74669999999998</v>
      </c>
      <c r="F956" s="61">
        <v>22.204999999999998</v>
      </c>
      <c r="G956" s="61">
        <v>111.0248</v>
      </c>
      <c r="H956" s="61">
        <v>1.5628</v>
      </c>
    </row>
    <row r="957" spans="1:8" x14ac:dyDescent="0.15">
      <c r="A957" s="61" t="s">
        <v>13</v>
      </c>
      <c r="B957" s="61">
        <v>2510</v>
      </c>
      <c r="C957" s="61">
        <v>20</v>
      </c>
      <c r="D957" s="61">
        <v>7.8100000000000003E-2</v>
      </c>
      <c r="E957" s="61">
        <v>405.1771</v>
      </c>
      <c r="F957" s="61">
        <v>22.228999999999999</v>
      </c>
      <c r="G957" s="61">
        <v>111.1429</v>
      </c>
      <c r="H957" s="61">
        <v>1.5618000000000001</v>
      </c>
    </row>
    <row r="958" spans="1:8" x14ac:dyDescent="0.15">
      <c r="A958" s="61" t="s">
        <v>13</v>
      </c>
      <c r="B958" s="61">
        <v>2510</v>
      </c>
      <c r="C958" s="61">
        <v>20</v>
      </c>
      <c r="D958" s="61">
        <v>7.8200000000000006E-2</v>
      </c>
      <c r="E958" s="61">
        <v>404.65350000000001</v>
      </c>
      <c r="F958" s="61">
        <v>22.2</v>
      </c>
      <c r="G958" s="61">
        <v>110.99930000000001</v>
      </c>
      <c r="H958" s="61">
        <v>1.5638000000000001</v>
      </c>
    </row>
    <row r="959" spans="1:8" x14ac:dyDescent="0.15">
      <c r="A959" s="61" t="s">
        <v>13</v>
      </c>
      <c r="B959" s="61">
        <v>2510</v>
      </c>
      <c r="C959" s="61">
        <v>20</v>
      </c>
      <c r="D959" s="61">
        <v>7.8299999999999995E-2</v>
      </c>
      <c r="E959" s="61">
        <v>403.88350000000003</v>
      </c>
      <c r="F959" s="61">
        <v>22.158000000000001</v>
      </c>
      <c r="G959" s="61">
        <v>110.7881</v>
      </c>
      <c r="H959" s="61">
        <v>1.5658000000000001</v>
      </c>
    </row>
    <row r="960" spans="1:8" x14ac:dyDescent="0.15">
      <c r="A960" s="61" t="s">
        <v>13</v>
      </c>
      <c r="B960" s="61">
        <v>2510</v>
      </c>
      <c r="C960" s="61">
        <v>20</v>
      </c>
      <c r="D960" s="61">
        <v>7.8200000000000006E-2</v>
      </c>
      <c r="E960" s="61">
        <v>404.51889999999997</v>
      </c>
      <c r="F960" s="61">
        <v>22.192</v>
      </c>
      <c r="G960" s="61">
        <v>110.9624</v>
      </c>
      <c r="H960" s="61">
        <v>1.5648</v>
      </c>
    </row>
    <row r="961" spans="1:8" x14ac:dyDescent="0.15">
      <c r="A961" s="61" t="s">
        <v>13</v>
      </c>
      <c r="B961" s="61">
        <v>2510</v>
      </c>
      <c r="C961" s="61">
        <v>20</v>
      </c>
      <c r="D961" s="61">
        <v>7.8200000000000006E-2</v>
      </c>
      <c r="E961" s="61">
        <v>404.47230000000002</v>
      </c>
      <c r="F961" s="61">
        <v>22.19</v>
      </c>
      <c r="G961" s="61">
        <v>110.9496</v>
      </c>
      <c r="H961" s="61">
        <v>1.5628</v>
      </c>
    </row>
    <row r="962" spans="1:8" x14ac:dyDescent="0.15">
      <c r="A962" s="61" t="s">
        <v>13</v>
      </c>
      <c r="B962" s="61">
        <v>2510</v>
      </c>
      <c r="C962" s="61">
        <v>20</v>
      </c>
      <c r="D962" s="61">
        <v>7.8299999999999995E-2</v>
      </c>
      <c r="E962" s="61">
        <v>403.97640000000001</v>
      </c>
      <c r="F962" s="61">
        <v>22.163</v>
      </c>
      <c r="G962" s="61">
        <v>110.8135</v>
      </c>
      <c r="H962" s="61">
        <v>1.5658000000000001</v>
      </c>
    </row>
    <row r="963" spans="1:8" x14ac:dyDescent="0.15">
      <c r="A963" s="61" t="s">
        <v>13</v>
      </c>
      <c r="B963" s="61">
        <v>2510</v>
      </c>
      <c r="C963" s="61">
        <v>20</v>
      </c>
      <c r="D963" s="61">
        <v>8.2900000000000001E-2</v>
      </c>
      <c r="E963" s="61">
        <v>381.49259999999998</v>
      </c>
      <c r="F963" s="61">
        <v>20.928999999999998</v>
      </c>
      <c r="G963" s="61">
        <v>104.6461</v>
      </c>
      <c r="H963" s="61">
        <v>1.6508</v>
      </c>
    </row>
    <row r="964" spans="1:8" x14ac:dyDescent="0.15">
      <c r="A964" s="61" t="s">
        <v>13</v>
      </c>
      <c r="B964" s="61">
        <v>2510</v>
      </c>
      <c r="C964" s="61">
        <v>20</v>
      </c>
      <c r="D964" s="61">
        <v>8.6599999999999996E-2</v>
      </c>
      <c r="E964" s="61">
        <v>365.02510000000001</v>
      </c>
      <c r="F964" s="61">
        <v>20.026</v>
      </c>
      <c r="G964" s="61">
        <v>100.1289</v>
      </c>
      <c r="H964" s="61">
        <v>1.7177</v>
      </c>
    </row>
    <row r="965" spans="1:8" x14ac:dyDescent="0.15">
      <c r="A965" s="61" t="s">
        <v>13</v>
      </c>
      <c r="B965" s="61">
        <v>2510</v>
      </c>
      <c r="C965" s="61">
        <v>20</v>
      </c>
      <c r="D965" s="61">
        <v>8.09E-2</v>
      </c>
      <c r="E965" s="61">
        <v>391.16050000000001</v>
      </c>
      <c r="F965" s="61">
        <v>21.46</v>
      </c>
      <c r="G965" s="61">
        <v>107.29810000000001</v>
      </c>
      <c r="H965" s="61">
        <v>1.6117999999999999</v>
      </c>
    </row>
    <row r="966" spans="1:8" x14ac:dyDescent="0.15">
      <c r="A966" s="61" t="s">
        <v>13</v>
      </c>
      <c r="B966" s="61">
        <v>2510</v>
      </c>
      <c r="C966" s="61">
        <v>20</v>
      </c>
      <c r="D966" s="61">
        <v>7.8299999999999995E-2</v>
      </c>
      <c r="E966" s="61">
        <v>404.0899</v>
      </c>
      <c r="F966" s="61">
        <v>22.169</v>
      </c>
      <c r="G966" s="61">
        <v>110.8447</v>
      </c>
      <c r="H966" s="61">
        <v>1.5658000000000001</v>
      </c>
    </row>
    <row r="967" spans="1:8" x14ac:dyDescent="0.15">
      <c r="A967" s="61" t="s">
        <v>13</v>
      </c>
      <c r="B967" s="61">
        <v>2510</v>
      </c>
      <c r="C967" s="61">
        <v>20</v>
      </c>
      <c r="D967" s="61">
        <v>7.8399999999999997E-2</v>
      </c>
      <c r="E967" s="61">
        <v>403.46100000000001</v>
      </c>
      <c r="F967" s="61">
        <v>22.134</v>
      </c>
      <c r="G967" s="61">
        <v>110.6722</v>
      </c>
      <c r="H967" s="61">
        <v>1.5678000000000001</v>
      </c>
    </row>
    <row r="968" spans="1:8" x14ac:dyDescent="0.15">
      <c r="A968" s="61" t="s">
        <v>13</v>
      </c>
      <c r="B968" s="61">
        <v>2510</v>
      </c>
      <c r="C968" s="61">
        <v>20</v>
      </c>
      <c r="D968" s="61">
        <v>7.8E-2</v>
      </c>
      <c r="E968" s="61">
        <v>405.27569999999997</v>
      </c>
      <c r="F968" s="61">
        <v>22.234000000000002</v>
      </c>
      <c r="G968" s="61">
        <v>111.17</v>
      </c>
      <c r="H968" s="61">
        <v>1.5618000000000001</v>
      </c>
    </row>
    <row r="969" spans="1:8" x14ac:dyDescent="0.15">
      <c r="A969" s="61" t="s">
        <v>13</v>
      </c>
      <c r="B969" s="61">
        <v>2510</v>
      </c>
      <c r="C969" s="61">
        <v>20</v>
      </c>
      <c r="D969" s="61">
        <v>7.8200000000000006E-2</v>
      </c>
      <c r="E969" s="61">
        <v>404.57069999999999</v>
      </c>
      <c r="F969" s="61">
        <v>22.195</v>
      </c>
      <c r="G969" s="61">
        <v>110.9766</v>
      </c>
      <c r="H969" s="61">
        <v>1.5638000000000001</v>
      </c>
    </row>
    <row r="970" spans="1:8" x14ac:dyDescent="0.15">
      <c r="A970" s="61" t="s">
        <v>13</v>
      </c>
      <c r="B970" s="61">
        <v>2510</v>
      </c>
      <c r="C970" s="61">
        <v>20</v>
      </c>
      <c r="D970" s="61">
        <v>7.8100000000000003E-2</v>
      </c>
      <c r="E970" s="61">
        <v>405.14069999999998</v>
      </c>
      <c r="F970" s="61">
        <v>22.227</v>
      </c>
      <c r="G970" s="61">
        <v>111.13290000000001</v>
      </c>
      <c r="H970" s="61">
        <v>1.5618000000000001</v>
      </c>
    </row>
    <row r="971" spans="1:8" x14ac:dyDescent="0.15">
      <c r="A971" s="61" t="s">
        <v>13</v>
      </c>
      <c r="B971" s="61">
        <v>2510</v>
      </c>
      <c r="C971" s="61">
        <v>20</v>
      </c>
      <c r="D971" s="61">
        <v>7.8200000000000006E-2</v>
      </c>
      <c r="E971" s="61">
        <v>404.51369999999997</v>
      </c>
      <c r="F971" s="61">
        <v>22.192</v>
      </c>
      <c r="G971" s="61">
        <v>110.9609</v>
      </c>
      <c r="H971" s="61">
        <v>1.5638000000000001</v>
      </c>
    </row>
    <row r="972" spans="1:8" x14ac:dyDescent="0.15">
      <c r="A972" s="61" t="s">
        <v>13</v>
      </c>
      <c r="B972" s="61">
        <v>2510</v>
      </c>
      <c r="C972" s="61">
        <v>20</v>
      </c>
      <c r="D972" s="61">
        <v>7.8299999999999995E-2</v>
      </c>
      <c r="E972" s="61">
        <v>404.12610000000001</v>
      </c>
      <c r="F972" s="61">
        <v>22.170999999999999</v>
      </c>
      <c r="G972" s="61">
        <v>110.8546</v>
      </c>
      <c r="H972" s="61">
        <v>1.5658000000000001</v>
      </c>
    </row>
    <row r="973" spans="1:8" x14ac:dyDescent="0.15">
      <c r="A973" s="61" t="s">
        <v>13</v>
      </c>
      <c r="B973" s="61">
        <v>2510</v>
      </c>
      <c r="C973" s="61">
        <v>20</v>
      </c>
      <c r="D973" s="61">
        <v>7.8100000000000003E-2</v>
      </c>
      <c r="E973" s="61">
        <v>404.76740000000001</v>
      </c>
      <c r="F973" s="61">
        <v>22.206</v>
      </c>
      <c r="G973" s="61">
        <v>111.0305</v>
      </c>
      <c r="H973" s="61">
        <v>1.5508</v>
      </c>
    </row>
    <row r="974" spans="1:8" x14ac:dyDescent="0.15">
      <c r="A974" s="61" t="s">
        <v>13</v>
      </c>
      <c r="B974" s="61">
        <v>2510</v>
      </c>
      <c r="C974" s="61">
        <v>20</v>
      </c>
      <c r="D974" s="61">
        <v>7.7899999999999997E-2</v>
      </c>
      <c r="E974" s="61">
        <v>406.10840000000002</v>
      </c>
      <c r="F974" s="61">
        <v>22.28</v>
      </c>
      <c r="G974" s="61">
        <v>111.3984</v>
      </c>
      <c r="H974" s="61">
        <v>1.5608</v>
      </c>
    </row>
    <row r="975" spans="1:8" x14ac:dyDescent="0.15">
      <c r="A975" s="61" t="s">
        <v>13</v>
      </c>
      <c r="B975" s="61">
        <v>2510</v>
      </c>
      <c r="C975" s="61">
        <v>20</v>
      </c>
      <c r="D975" s="61">
        <v>7.8200000000000006E-2</v>
      </c>
      <c r="E975" s="61">
        <v>404.45679999999999</v>
      </c>
      <c r="F975" s="61">
        <v>22.189</v>
      </c>
      <c r="G975" s="61">
        <v>110.9453</v>
      </c>
      <c r="H975" s="61">
        <v>1.5598000000000001</v>
      </c>
    </row>
    <row r="976" spans="1:8" x14ac:dyDescent="0.15">
      <c r="A976" s="61" t="s">
        <v>13</v>
      </c>
      <c r="B976" s="61">
        <v>2510</v>
      </c>
      <c r="C976" s="61">
        <v>20</v>
      </c>
      <c r="D976" s="61">
        <v>7.8200000000000006E-2</v>
      </c>
      <c r="E976" s="61">
        <v>404.38959999999997</v>
      </c>
      <c r="F976" s="61">
        <v>22.184999999999999</v>
      </c>
      <c r="G976" s="61">
        <v>110.9269</v>
      </c>
      <c r="H976" s="61">
        <v>1.5778000000000001</v>
      </c>
    </row>
    <row r="977" spans="1:8" x14ac:dyDescent="0.15">
      <c r="A977" s="61" t="s">
        <v>13</v>
      </c>
      <c r="B977" s="61">
        <v>2510</v>
      </c>
      <c r="C977" s="61">
        <v>20</v>
      </c>
      <c r="D977" s="61">
        <v>7.8399999999999997E-2</v>
      </c>
      <c r="E977" s="61">
        <v>403.19869999999997</v>
      </c>
      <c r="F977" s="61">
        <v>22.12</v>
      </c>
      <c r="G977" s="61">
        <v>110.6002</v>
      </c>
      <c r="H977" s="61">
        <v>1.5688</v>
      </c>
    </row>
    <row r="978" spans="1:8" x14ac:dyDescent="0.15">
      <c r="A978" s="61" t="s">
        <v>13</v>
      </c>
      <c r="B978" s="61">
        <v>2510</v>
      </c>
      <c r="C978" s="61">
        <v>20</v>
      </c>
      <c r="D978" s="61">
        <v>7.8200000000000006E-2</v>
      </c>
      <c r="E978" s="61">
        <v>404.42059999999998</v>
      </c>
      <c r="F978" s="61">
        <v>22.187000000000001</v>
      </c>
      <c r="G978" s="61">
        <v>110.9354</v>
      </c>
      <c r="H978" s="61">
        <v>1.5648</v>
      </c>
    </row>
    <row r="979" spans="1:8" x14ac:dyDescent="0.15">
      <c r="A979" s="61" t="s">
        <v>13</v>
      </c>
      <c r="B979" s="61">
        <v>2510</v>
      </c>
      <c r="C979" s="61">
        <v>20</v>
      </c>
      <c r="D979" s="61">
        <v>7.7899999999999997E-2</v>
      </c>
      <c r="E979" s="61">
        <v>405.9676</v>
      </c>
      <c r="F979" s="61">
        <v>22.271999999999998</v>
      </c>
      <c r="G979" s="61">
        <v>111.35980000000001</v>
      </c>
      <c r="H979" s="61">
        <v>1.5588</v>
      </c>
    </row>
    <row r="980" spans="1:8" x14ac:dyDescent="0.15">
      <c r="A980" s="61" t="s">
        <v>13</v>
      </c>
      <c r="B980" s="61">
        <v>2510</v>
      </c>
      <c r="C980" s="61">
        <v>20</v>
      </c>
      <c r="D980" s="61">
        <v>7.8E-2</v>
      </c>
      <c r="E980" s="61">
        <v>405.7124</v>
      </c>
      <c r="F980" s="61">
        <v>22.257999999999999</v>
      </c>
      <c r="G980" s="61">
        <v>111.2897</v>
      </c>
      <c r="H980" s="61">
        <v>1.5588</v>
      </c>
    </row>
    <row r="981" spans="1:8" x14ac:dyDescent="0.15">
      <c r="A981" s="61" t="s">
        <v>13</v>
      </c>
      <c r="B981" s="61">
        <v>2510</v>
      </c>
      <c r="C981" s="61">
        <v>20</v>
      </c>
      <c r="D981" s="61">
        <v>7.9699999999999993E-2</v>
      </c>
      <c r="E981" s="61">
        <v>397.02359999999999</v>
      </c>
      <c r="F981" s="61">
        <v>21.780999999999999</v>
      </c>
      <c r="G981" s="61">
        <v>108.9063</v>
      </c>
      <c r="H981" s="61">
        <v>1.5928</v>
      </c>
    </row>
    <row r="982" spans="1:8" x14ac:dyDescent="0.15">
      <c r="A982" s="61" t="s">
        <v>13</v>
      </c>
      <c r="B982" s="61">
        <v>2510</v>
      </c>
      <c r="C982" s="61">
        <v>20</v>
      </c>
      <c r="D982" s="61">
        <v>7.8399999999999997E-2</v>
      </c>
      <c r="E982" s="61">
        <v>403.6309</v>
      </c>
      <c r="F982" s="61">
        <v>22.143999999999998</v>
      </c>
      <c r="G982" s="61">
        <v>110.7188</v>
      </c>
      <c r="H982" s="61">
        <v>1.5668</v>
      </c>
    </row>
    <row r="983" spans="1:8" x14ac:dyDescent="0.15">
      <c r="A983" s="61" t="s">
        <v>13</v>
      </c>
      <c r="B983" s="61">
        <v>10000</v>
      </c>
      <c r="C983" s="61">
        <v>1</v>
      </c>
      <c r="D983" s="61">
        <v>73.915800000000004</v>
      </c>
      <c r="E983" s="61">
        <v>27.0578</v>
      </c>
      <c r="F983" s="61">
        <v>1</v>
      </c>
      <c r="G983" s="61">
        <v>100</v>
      </c>
      <c r="H983" s="61">
        <v>79.387900000000002</v>
      </c>
    </row>
    <row r="984" spans="1:8" x14ac:dyDescent="0.15">
      <c r="A984" s="61" t="s">
        <v>13</v>
      </c>
      <c r="B984" s="61">
        <v>10000</v>
      </c>
      <c r="C984" s="61">
        <v>1</v>
      </c>
      <c r="D984" s="61">
        <v>73.450699999999998</v>
      </c>
      <c r="E984" s="61">
        <v>27.229099999999999</v>
      </c>
      <c r="F984" s="61">
        <v>1.006</v>
      </c>
      <c r="G984" s="61">
        <v>100.6331</v>
      </c>
      <c r="H984" s="61">
        <v>73.480800000000002</v>
      </c>
    </row>
    <row r="985" spans="1:8" x14ac:dyDescent="0.15">
      <c r="A985" s="61" t="s">
        <v>13</v>
      </c>
      <c r="B985" s="61">
        <v>10000</v>
      </c>
      <c r="C985" s="61">
        <v>1</v>
      </c>
      <c r="D985" s="61">
        <v>73.448800000000006</v>
      </c>
      <c r="E985" s="61">
        <v>27.229800000000001</v>
      </c>
      <c r="F985" s="61">
        <v>1.006</v>
      </c>
      <c r="G985" s="61">
        <v>100.6358</v>
      </c>
      <c r="H985" s="61">
        <v>73.478800000000007</v>
      </c>
    </row>
    <row r="986" spans="1:8" x14ac:dyDescent="0.15">
      <c r="A986" s="61" t="s">
        <v>13</v>
      </c>
      <c r="B986" s="61">
        <v>10000</v>
      </c>
      <c r="C986" s="61">
        <v>1</v>
      </c>
      <c r="D986" s="61">
        <v>73.421899999999994</v>
      </c>
      <c r="E986" s="61">
        <v>27.239799999999999</v>
      </c>
      <c r="F986" s="61">
        <v>1.0069999999999999</v>
      </c>
      <c r="G986" s="61">
        <v>100.6726</v>
      </c>
      <c r="H986" s="61">
        <v>73.453800000000001</v>
      </c>
    </row>
    <row r="987" spans="1:8" x14ac:dyDescent="0.15">
      <c r="A987" s="61" t="s">
        <v>13</v>
      </c>
      <c r="B987" s="61">
        <v>10000</v>
      </c>
      <c r="C987" s="61">
        <v>1</v>
      </c>
      <c r="D987" s="61">
        <v>73.473299999999995</v>
      </c>
      <c r="E987" s="61">
        <v>27.220800000000001</v>
      </c>
      <c r="F987" s="61">
        <v>1.006</v>
      </c>
      <c r="G987" s="61">
        <v>100.6022</v>
      </c>
      <c r="H987" s="61">
        <v>73.503799999999998</v>
      </c>
    </row>
    <row r="988" spans="1:8" x14ac:dyDescent="0.15">
      <c r="A988" s="61" t="s">
        <v>13</v>
      </c>
      <c r="B988" s="61">
        <v>10000</v>
      </c>
      <c r="C988" s="61">
        <v>1</v>
      </c>
      <c r="D988" s="61">
        <v>73.418400000000005</v>
      </c>
      <c r="E988" s="61">
        <v>27.241099999999999</v>
      </c>
      <c r="F988" s="61">
        <v>1.0069999999999999</v>
      </c>
      <c r="G988" s="61">
        <v>100.67740000000001</v>
      </c>
      <c r="H988" s="61">
        <v>73.4499</v>
      </c>
    </row>
    <row r="989" spans="1:8" x14ac:dyDescent="0.15">
      <c r="A989" s="61" t="s">
        <v>13</v>
      </c>
      <c r="B989" s="61">
        <v>10000</v>
      </c>
      <c r="C989" s="61">
        <v>19</v>
      </c>
      <c r="D989" s="61">
        <v>4.9973999999999998</v>
      </c>
      <c r="E989" s="61">
        <v>400.21199999999999</v>
      </c>
      <c r="F989" s="61">
        <v>14.791</v>
      </c>
      <c r="G989" s="61">
        <v>77.847300000000004</v>
      </c>
      <c r="H989" s="61">
        <v>90.270300000000006</v>
      </c>
    </row>
    <row r="990" spans="1:8" x14ac:dyDescent="0.15">
      <c r="A990" s="61" t="s">
        <v>13</v>
      </c>
      <c r="B990" s="61">
        <v>10000</v>
      </c>
      <c r="C990" s="61">
        <v>19</v>
      </c>
      <c r="D990" s="61">
        <v>4.9884000000000004</v>
      </c>
      <c r="E990" s="61">
        <v>400.92619999999999</v>
      </c>
      <c r="F990" s="61">
        <v>14.817</v>
      </c>
      <c r="G990" s="61">
        <v>77.986199999999997</v>
      </c>
      <c r="H990" s="61">
        <v>90.150300000000001</v>
      </c>
    </row>
    <row r="991" spans="1:8" x14ac:dyDescent="0.15">
      <c r="A991" s="61" t="s">
        <v>13</v>
      </c>
      <c r="B991" s="61">
        <v>10000</v>
      </c>
      <c r="C991" s="61">
        <v>19</v>
      </c>
      <c r="D991" s="61">
        <v>4.9912999999999998</v>
      </c>
      <c r="E991" s="61">
        <v>400.6979</v>
      </c>
      <c r="F991" s="61">
        <v>14.808999999999999</v>
      </c>
      <c r="G991" s="61">
        <v>77.941800000000001</v>
      </c>
      <c r="H991" s="61">
        <v>90.2363</v>
      </c>
    </row>
    <row r="992" spans="1:8" x14ac:dyDescent="0.15">
      <c r="A992" s="61" t="s">
        <v>13</v>
      </c>
      <c r="B992" s="61">
        <v>10000</v>
      </c>
      <c r="C992" s="61">
        <v>19</v>
      </c>
      <c r="D992" s="61">
        <v>4.9913999999999996</v>
      </c>
      <c r="E992" s="61">
        <v>400.69119999999998</v>
      </c>
      <c r="F992" s="61">
        <v>14.808999999999999</v>
      </c>
      <c r="G992" s="61">
        <v>77.9405</v>
      </c>
      <c r="H992" s="61">
        <v>90.240200000000002</v>
      </c>
    </row>
    <row r="993" spans="1:8" x14ac:dyDescent="0.15">
      <c r="A993" s="61" t="s">
        <v>13</v>
      </c>
      <c r="B993" s="61">
        <v>10000</v>
      </c>
      <c r="C993" s="61">
        <v>19</v>
      </c>
      <c r="D993" s="61">
        <v>4.9911000000000003</v>
      </c>
      <c r="E993" s="61">
        <v>400.71519999999998</v>
      </c>
      <c r="F993" s="61">
        <v>14.81</v>
      </c>
      <c r="G993" s="61">
        <v>77.9452</v>
      </c>
      <c r="H993" s="61">
        <v>90.2483</v>
      </c>
    </row>
    <row r="994" spans="1:8" x14ac:dyDescent="0.15">
      <c r="A994" s="61" t="s">
        <v>13</v>
      </c>
      <c r="B994" s="61">
        <v>10000</v>
      </c>
      <c r="C994" s="61">
        <v>19</v>
      </c>
      <c r="D994" s="61">
        <v>4.9869000000000003</v>
      </c>
      <c r="E994" s="61">
        <v>401.05189999999999</v>
      </c>
      <c r="F994" s="61">
        <v>14.821999999999999</v>
      </c>
      <c r="G994" s="61">
        <v>78.0107</v>
      </c>
      <c r="H994" s="61">
        <v>89.969399999999993</v>
      </c>
    </row>
    <row r="995" spans="1:8" x14ac:dyDescent="0.15">
      <c r="A995" s="61" t="s">
        <v>13</v>
      </c>
      <c r="B995" s="61">
        <v>10000</v>
      </c>
      <c r="C995" s="61">
        <v>19</v>
      </c>
      <c r="D995" s="61">
        <v>4.9908000000000001</v>
      </c>
      <c r="E995" s="61">
        <v>400.73540000000003</v>
      </c>
      <c r="F995" s="61">
        <v>14.81</v>
      </c>
      <c r="G995" s="61">
        <v>77.949100000000001</v>
      </c>
      <c r="H995" s="61">
        <v>90.075299999999999</v>
      </c>
    </row>
    <row r="996" spans="1:8" x14ac:dyDescent="0.15">
      <c r="A996" s="61" t="s">
        <v>13</v>
      </c>
      <c r="B996" s="61">
        <v>10000</v>
      </c>
      <c r="C996" s="61">
        <v>19</v>
      </c>
      <c r="D996" s="61">
        <v>4.9915000000000003</v>
      </c>
      <c r="E996" s="61">
        <v>400.68380000000002</v>
      </c>
      <c r="F996" s="61">
        <v>14.808</v>
      </c>
      <c r="G996" s="61">
        <v>77.939099999999996</v>
      </c>
      <c r="H996" s="61">
        <v>90.089399999999998</v>
      </c>
    </row>
    <row r="997" spans="1:8" x14ac:dyDescent="0.15">
      <c r="A997" s="61" t="s">
        <v>13</v>
      </c>
      <c r="B997" s="61">
        <v>10000</v>
      </c>
      <c r="C997" s="61">
        <v>19</v>
      </c>
      <c r="D997" s="61">
        <v>4.9837999999999996</v>
      </c>
      <c r="E997" s="61">
        <v>401.29809999999998</v>
      </c>
      <c r="F997" s="61">
        <v>14.831</v>
      </c>
      <c r="G997" s="61">
        <v>78.058599999999998</v>
      </c>
      <c r="H997" s="61">
        <v>89.964399999999998</v>
      </c>
    </row>
    <row r="998" spans="1:8" x14ac:dyDescent="0.15">
      <c r="A998" s="61" t="s">
        <v>13</v>
      </c>
      <c r="B998" s="61">
        <v>10000</v>
      </c>
      <c r="C998" s="61">
        <v>19</v>
      </c>
      <c r="D998" s="61">
        <v>4.9828999999999999</v>
      </c>
      <c r="E998" s="61">
        <v>401.3759</v>
      </c>
      <c r="F998" s="61">
        <v>14.834</v>
      </c>
      <c r="G998" s="61">
        <v>78.073700000000002</v>
      </c>
      <c r="H998" s="61">
        <v>89.967299999999994</v>
      </c>
    </row>
    <row r="999" spans="1:8" x14ac:dyDescent="0.15">
      <c r="A999" s="61" t="s">
        <v>13</v>
      </c>
      <c r="B999" s="61">
        <v>10000</v>
      </c>
      <c r="C999" s="61">
        <v>19</v>
      </c>
      <c r="D999" s="61">
        <v>4.9819000000000004</v>
      </c>
      <c r="E999" s="61">
        <v>401.45420000000001</v>
      </c>
      <c r="F999" s="61">
        <v>14.837</v>
      </c>
      <c r="G999" s="61">
        <v>78.088999999999999</v>
      </c>
      <c r="H999" s="61">
        <v>89.969399999999993</v>
      </c>
    </row>
    <row r="1000" spans="1:8" x14ac:dyDescent="0.15">
      <c r="A1000" s="61" t="s">
        <v>13</v>
      </c>
      <c r="B1000" s="61">
        <v>10000</v>
      </c>
      <c r="C1000" s="61">
        <v>19</v>
      </c>
      <c r="D1000" s="61">
        <v>4.9823000000000004</v>
      </c>
      <c r="E1000" s="61">
        <v>401.42160000000001</v>
      </c>
      <c r="F1000" s="61">
        <v>14.836</v>
      </c>
      <c r="G1000" s="61">
        <v>78.082599999999999</v>
      </c>
      <c r="H1000" s="61">
        <v>89.996300000000005</v>
      </c>
    </row>
    <row r="1001" spans="1:8" x14ac:dyDescent="0.15">
      <c r="A1001" s="61" t="s">
        <v>13</v>
      </c>
      <c r="B1001" s="61">
        <v>10000</v>
      </c>
      <c r="C1001" s="61">
        <v>19</v>
      </c>
      <c r="D1001" s="61">
        <v>4.9819000000000004</v>
      </c>
      <c r="E1001" s="61">
        <v>401.45269999999999</v>
      </c>
      <c r="F1001" s="61">
        <v>14.837</v>
      </c>
      <c r="G1001" s="61">
        <v>78.088700000000003</v>
      </c>
      <c r="H1001" s="61">
        <v>90.010300000000001</v>
      </c>
    </row>
    <row r="1002" spans="1:8" x14ac:dyDescent="0.15">
      <c r="A1002" s="61" t="s">
        <v>13</v>
      </c>
      <c r="B1002" s="61">
        <v>10000</v>
      </c>
      <c r="C1002" s="61">
        <v>19</v>
      </c>
      <c r="D1002" s="61">
        <v>4.9825999999999997</v>
      </c>
      <c r="E1002" s="61">
        <v>401.39609999999999</v>
      </c>
      <c r="F1002" s="61">
        <v>14.835000000000001</v>
      </c>
      <c r="G1002" s="61">
        <v>78.077699999999993</v>
      </c>
      <c r="H1002" s="61">
        <v>90.041399999999996</v>
      </c>
    </row>
    <row r="1003" spans="1:8" x14ac:dyDescent="0.15">
      <c r="A1003" s="61" t="s">
        <v>13</v>
      </c>
      <c r="B1003" s="61">
        <v>10000</v>
      </c>
      <c r="C1003" s="61">
        <v>19</v>
      </c>
      <c r="D1003" s="61">
        <v>4.9816000000000003</v>
      </c>
      <c r="E1003" s="61">
        <v>401.4735</v>
      </c>
      <c r="F1003" s="61">
        <v>14.837999999999999</v>
      </c>
      <c r="G1003" s="61">
        <v>78.092699999999994</v>
      </c>
      <c r="H1003" s="61">
        <v>90.045299999999997</v>
      </c>
    </row>
    <row r="1004" spans="1:8" x14ac:dyDescent="0.15">
      <c r="A1004" s="61" t="s">
        <v>13</v>
      </c>
      <c r="B1004" s="61">
        <v>10000</v>
      </c>
      <c r="C1004" s="61">
        <v>19</v>
      </c>
      <c r="D1004" s="61">
        <v>4.9829999999999997</v>
      </c>
      <c r="E1004" s="61">
        <v>401.36689999999999</v>
      </c>
      <c r="F1004" s="61">
        <v>14.834</v>
      </c>
      <c r="G1004" s="61">
        <v>78.072000000000003</v>
      </c>
      <c r="H1004" s="61">
        <v>90.088300000000004</v>
      </c>
    </row>
    <row r="1005" spans="1:8" x14ac:dyDescent="0.15">
      <c r="A1005" s="61" t="s">
        <v>13</v>
      </c>
      <c r="B1005" s="61">
        <v>10000</v>
      </c>
      <c r="C1005" s="61">
        <v>19</v>
      </c>
      <c r="D1005" s="61">
        <v>4.9810999999999996</v>
      </c>
      <c r="E1005" s="61">
        <v>401.52080000000001</v>
      </c>
      <c r="F1005" s="61">
        <v>14.839</v>
      </c>
      <c r="G1005" s="61">
        <v>78.101900000000001</v>
      </c>
      <c r="H1005" s="61">
        <v>89.874399999999994</v>
      </c>
    </row>
    <row r="1006" spans="1:8" x14ac:dyDescent="0.15">
      <c r="A1006" s="61" t="s">
        <v>13</v>
      </c>
      <c r="B1006" s="61">
        <v>10000</v>
      </c>
      <c r="C1006" s="61">
        <v>19</v>
      </c>
      <c r="D1006" s="61">
        <v>4.9827000000000004</v>
      </c>
      <c r="E1006" s="61">
        <v>401.38850000000002</v>
      </c>
      <c r="F1006" s="61">
        <v>14.834</v>
      </c>
      <c r="G1006" s="61">
        <v>78.0762</v>
      </c>
      <c r="H1006" s="61">
        <v>89.924300000000002</v>
      </c>
    </row>
    <row r="1007" spans="1:8" x14ac:dyDescent="0.15">
      <c r="A1007" s="61" t="s">
        <v>13</v>
      </c>
      <c r="B1007" s="61">
        <v>10000</v>
      </c>
      <c r="C1007" s="61">
        <v>19</v>
      </c>
      <c r="D1007" s="61">
        <v>4.9806999999999997</v>
      </c>
      <c r="E1007" s="61">
        <v>401.54840000000002</v>
      </c>
      <c r="F1007" s="61">
        <v>14.84</v>
      </c>
      <c r="G1007" s="61">
        <v>78.107299999999995</v>
      </c>
      <c r="H1007" s="61">
        <v>89.908199999999994</v>
      </c>
    </row>
    <row r="1008" spans="1:8" x14ac:dyDescent="0.15">
      <c r="A1008" s="61" t="s">
        <v>13</v>
      </c>
      <c r="B1008" s="61">
        <v>10000</v>
      </c>
      <c r="C1008" s="61">
        <v>19</v>
      </c>
      <c r="D1008" s="61">
        <v>4.9824000000000002</v>
      </c>
      <c r="E1008" s="61">
        <v>401.41050000000001</v>
      </c>
      <c r="F1008" s="61">
        <v>14.835000000000001</v>
      </c>
      <c r="G1008" s="61">
        <v>78.080399999999997</v>
      </c>
      <c r="H1008" s="61">
        <v>89.960400000000007</v>
      </c>
    </row>
    <row r="1009" spans="1:8" x14ac:dyDescent="0.15">
      <c r="A1009" s="61" t="s">
        <v>13</v>
      </c>
      <c r="B1009" s="61">
        <v>10000</v>
      </c>
      <c r="C1009" s="61">
        <v>19</v>
      </c>
      <c r="D1009" s="61">
        <v>4.9814999999999996</v>
      </c>
      <c r="E1009" s="61">
        <v>401.48509999999999</v>
      </c>
      <c r="F1009" s="61">
        <v>14.837999999999999</v>
      </c>
      <c r="G1009" s="61">
        <v>78.094999999999999</v>
      </c>
      <c r="H1009" s="61">
        <v>89.951400000000007</v>
      </c>
    </row>
    <row r="1010" spans="1:8" x14ac:dyDescent="0.15">
      <c r="A1010" s="61" t="s">
        <v>13</v>
      </c>
      <c r="B1010" s="61">
        <v>10000</v>
      </c>
      <c r="C1010" s="61">
        <v>19</v>
      </c>
      <c r="D1010" s="61">
        <v>4.9821</v>
      </c>
      <c r="E1010" s="61">
        <v>401.43810000000002</v>
      </c>
      <c r="F1010" s="61">
        <v>14.836</v>
      </c>
      <c r="G1010" s="61">
        <v>78.085800000000006</v>
      </c>
      <c r="H1010" s="61">
        <v>90.007300000000001</v>
      </c>
    </row>
    <row r="1011" spans="1:8" x14ac:dyDescent="0.15">
      <c r="A1011" s="61" t="s">
        <v>13</v>
      </c>
      <c r="B1011" s="61">
        <v>10000</v>
      </c>
      <c r="C1011" s="61">
        <v>19</v>
      </c>
      <c r="D1011" s="61">
        <v>4.9812000000000003</v>
      </c>
      <c r="E1011" s="61">
        <v>401.51350000000002</v>
      </c>
      <c r="F1011" s="61">
        <v>14.839</v>
      </c>
      <c r="G1011" s="61">
        <v>78.100499999999997</v>
      </c>
      <c r="H1011" s="61">
        <v>89.9983</v>
      </c>
    </row>
    <row r="1012" spans="1:8" x14ac:dyDescent="0.15">
      <c r="A1012" s="61" t="s">
        <v>13</v>
      </c>
      <c r="B1012" s="61">
        <v>10000</v>
      </c>
      <c r="C1012" s="61">
        <v>19</v>
      </c>
      <c r="D1012" s="61">
        <v>4.9825999999999997</v>
      </c>
      <c r="E1012" s="61">
        <v>401.39710000000002</v>
      </c>
      <c r="F1012" s="61">
        <v>14.835000000000001</v>
      </c>
      <c r="G1012" s="61">
        <v>78.077799999999996</v>
      </c>
      <c r="H1012" s="61">
        <v>90.044200000000004</v>
      </c>
    </row>
    <row r="1013" spans="1:8" x14ac:dyDescent="0.15">
      <c r="A1013" s="61" t="s">
        <v>13</v>
      </c>
      <c r="B1013" s="61">
        <v>10000</v>
      </c>
      <c r="C1013" s="61">
        <v>19</v>
      </c>
      <c r="D1013" s="61">
        <v>4.9816000000000003</v>
      </c>
      <c r="E1013" s="61">
        <v>401.47359999999998</v>
      </c>
      <c r="F1013" s="61">
        <v>14.837999999999999</v>
      </c>
      <c r="G1013" s="61">
        <v>78.092699999999994</v>
      </c>
      <c r="H1013" s="61">
        <v>90.045400000000001</v>
      </c>
    </row>
    <row r="1014" spans="1:8" x14ac:dyDescent="0.15">
      <c r="A1014" s="61" t="s">
        <v>13</v>
      </c>
      <c r="B1014" s="61">
        <v>10000</v>
      </c>
      <c r="C1014" s="61">
        <v>19</v>
      </c>
      <c r="D1014" s="61">
        <v>4.9821999999999997</v>
      </c>
      <c r="E1014" s="61">
        <v>401.43110000000001</v>
      </c>
      <c r="F1014" s="61">
        <v>14.836</v>
      </c>
      <c r="G1014" s="61">
        <v>78.084500000000006</v>
      </c>
      <c r="H1014" s="61">
        <v>90.0762</v>
      </c>
    </row>
    <row r="1015" spans="1:8" x14ac:dyDescent="0.15">
      <c r="A1015" s="61" t="s">
        <v>13</v>
      </c>
      <c r="B1015" s="61">
        <v>10000</v>
      </c>
      <c r="C1015" s="61">
        <v>19</v>
      </c>
      <c r="D1015" s="61">
        <v>4.9814999999999996</v>
      </c>
      <c r="E1015" s="61">
        <v>401.48270000000002</v>
      </c>
      <c r="F1015" s="61">
        <v>14.837999999999999</v>
      </c>
      <c r="G1015" s="61">
        <v>78.094499999999996</v>
      </c>
      <c r="H1015" s="61">
        <v>89.886499999999998</v>
      </c>
    </row>
    <row r="1016" spans="1:8" x14ac:dyDescent="0.15">
      <c r="A1016" s="61" t="s">
        <v>13</v>
      </c>
      <c r="B1016" s="61">
        <v>10000</v>
      </c>
      <c r="C1016" s="61">
        <v>19</v>
      </c>
      <c r="D1016" s="61">
        <v>4.9820000000000002</v>
      </c>
      <c r="E1016" s="61">
        <v>401.44869999999997</v>
      </c>
      <c r="F1016" s="61">
        <v>14.837</v>
      </c>
      <c r="G1016" s="61">
        <v>78.087900000000005</v>
      </c>
      <c r="H1016" s="61">
        <v>89.914299999999997</v>
      </c>
    </row>
    <row r="1017" spans="1:8" x14ac:dyDescent="0.15">
      <c r="A1017" s="61" t="s">
        <v>13</v>
      </c>
      <c r="B1017" s="61">
        <v>10000</v>
      </c>
      <c r="C1017" s="61">
        <v>19</v>
      </c>
      <c r="D1017" s="61">
        <v>4.9823000000000004</v>
      </c>
      <c r="E1017" s="61">
        <v>401.42090000000002</v>
      </c>
      <c r="F1017" s="61">
        <v>14.836</v>
      </c>
      <c r="G1017" s="61">
        <v>78.082499999999996</v>
      </c>
      <c r="H1017" s="61">
        <v>89.940399999999997</v>
      </c>
    </row>
    <row r="1018" spans="1:8" x14ac:dyDescent="0.15">
      <c r="A1018" s="61" t="s">
        <v>13</v>
      </c>
      <c r="B1018" s="61">
        <v>10000</v>
      </c>
      <c r="C1018" s="61">
        <v>19</v>
      </c>
      <c r="D1018" s="61">
        <v>4.9819000000000004</v>
      </c>
      <c r="E1018" s="61">
        <v>401.45069999999998</v>
      </c>
      <c r="F1018" s="61">
        <v>14.837</v>
      </c>
      <c r="G1018" s="61">
        <v>78.088300000000004</v>
      </c>
      <c r="H1018" s="61">
        <v>89.954099999999997</v>
      </c>
    </row>
    <row r="1019" spans="1:8" x14ac:dyDescent="0.15">
      <c r="A1019" s="61" t="s">
        <v>13</v>
      </c>
      <c r="B1019" s="61">
        <v>10000</v>
      </c>
      <c r="C1019" s="61">
        <v>19</v>
      </c>
      <c r="D1019" s="61">
        <v>4.9825999999999997</v>
      </c>
      <c r="E1019" s="61">
        <v>401.39530000000002</v>
      </c>
      <c r="F1019" s="61">
        <v>14.835000000000001</v>
      </c>
      <c r="G1019" s="61">
        <v>78.077500000000001</v>
      </c>
      <c r="H1019" s="61">
        <v>89.9863</v>
      </c>
    </row>
    <row r="1020" spans="1:8" x14ac:dyDescent="0.15">
      <c r="A1020" s="61" t="s">
        <v>13</v>
      </c>
      <c r="B1020" s="61">
        <v>10000</v>
      </c>
      <c r="C1020" s="61">
        <v>19</v>
      </c>
      <c r="D1020" s="61">
        <v>4.9817999999999998</v>
      </c>
      <c r="E1020" s="61">
        <v>401.46109999999999</v>
      </c>
      <c r="F1020" s="61">
        <v>14.837</v>
      </c>
      <c r="G1020" s="61">
        <v>78.090299999999999</v>
      </c>
      <c r="H1020" s="61">
        <v>89.991500000000002</v>
      </c>
    </row>
    <row r="1021" spans="1:8" x14ac:dyDescent="0.15">
      <c r="A1021" s="61" t="s">
        <v>13</v>
      </c>
      <c r="B1021" s="61">
        <v>10000</v>
      </c>
      <c r="C1021" s="61">
        <v>19</v>
      </c>
      <c r="D1021" s="61">
        <v>4.9813999999999998</v>
      </c>
      <c r="E1021" s="61">
        <v>401.49470000000002</v>
      </c>
      <c r="F1021" s="61">
        <v>14.837999999999999</v>
      </c>
      <c r="G1021" s="61">
        <v>78.096800000000002</v>
      </c>
      <c r="H1021" s="61">
        <v>90.004400000000004</v>
      </c>
    </row>
    <row r="1022" spans="1:8" x14ac:dyDescent="0.15">
      <c r="A1022" s="61" t="s">
        <v>13</v>
      </c>
      <c r="B1022" s="61">
        <v>10000</v>
      </c>
      <c r="C1022" s="61">
        <v>19</v>
      </c>
      <c r="D1022" s="61">
        <v>4.9820000000000002</v>
      </c>
      <c r="E1022" s="61">
        <v>401.44659999999999</v>
      </c>
      <c r="F1022" s="61">
        <v>14.837</v>
      </c>
      <c r="G1022" s="61">
        <v>78.087500000000006</v>
      </c>
      <c r="H1022" s="61">
        <v>90.035200000000003</v>
      </c>
    </row>
    <row r="1023" spans="1:8" x14ac:dyDescent="0.15">
      <c r="A1023" s="61" t="s">
        <v>13</v>
      </c>
      <c r="B1023" s="61">
        <v>10000</v>
      </c>
      <c r="C1023" s="61">
        <v>19</v>
      </c>
      <c r="D1023" s="61">
        <v>4.9819000000000004</v>
      </c>
      <c r="E1023" s="61">
        <v>401.45260000000002</v>
      </c>
      <c r="F1023" s="61">
        <v>14.837</v>
      </c>
      <c r="G1023" s="61">
        <v>78.0886</v>
      </c>
      <c r="H1023" s="61">
        <v>90.055400000000006</v>
      </c>
    </row>
    <row r="1024" spans="1:8" x14ac:dyDescent="0.15">
      <c r="A1024" s="61" t="s">
        <v>13</v>
      </c>
      <c r="B1024" s="61">
        <v>10000</v>
      </c>
      <c r="C1024" s="61">
        <v>19</v>
      </c>
      <c r="D1024" s="61">
        <v>4.9812000000000003</v>
      </c>
      <c r="E1024" s="61">
        <v>401.50850000000003</v>
      </c>
      <c r="F1024" s="61">
        <v>14.839</v>
      </c>
      <c r="G1024" s="61">
        <v>78.099500000000006</v>
      </c>
      <c r="H1024" s="61">
        <v>90.062299999999993</v>
      </c>
    </row>
    <row r="1025" spans="1:8" x14ac:dyDescent="0.15">
      <c r="A1025" s="61" t="s">
        <v>13</v>
      </c>
      <c r="B1025" s="61">
        <v>10000</v>
      </c>
      <c r="C1025" s="61">
        <v>19</v>
      </c>
      <c r="D1025" s="61">
        <v>4.9824999999999999</v>
      </c>
      <c r="E1025" s="61">
        <v>401.40170000000001</v>
      </c>
      <c r="F1025" s="61">
        <v>14.835000000000001</v>
      </c>
      <c r="G1025" s="61">
        <v>78.078699999999998</v>
      </c>
      <c r="H1025" s="61">
        <v>89.910399999999996</v>
      </c>
    </row>
    <row r="1026" spans="1:8" x14ac:dyDescent="0.15">
      <c r="A1026" s="61" t="s">
        <v>13</v>
      </c>
      <c r="B1026" s="61">
        <v>10000</v>
      </c>
      <c r="C1026" s="61">
        <v>19</v>
      </c>
      <c r="D1026" s="61">
        <v>4.9820000000000002</v>
      </c>
      <c r="E1026" s="61">
        <v>401.44290000000001</v>
      </c>
      <c r="F1026" s="61">
        <v>14.836</v>
      </c>
      <c r="G1026" s="61">
        <v>78.086799999999997</v>
      </c>
      <c r="H1026" s="61">
        <v>89.919200000000004</v>
      </c>
    </row>
    <row r="1027" spans="1:8" x14ac:dyDescent="0.15">
      <c r="A1027" s="61" t="s">
        <v>13</v>
      </c>
      <c r="B1027" s="61">
        <v>10000</v>
      </c>
      <c r="C1027" s="61">
        <v>19</v>
      </c>
      <c r="D1027" s="61">
        <v>4.9819000000000004</v>
      </c>
      <c r="E1027" s="61">
        <v>401.45190000000002</v>
      </c>
      <c r="F1027" s="61">
        <v>14.837</v>
      </c>
      <c r="G1027" s="61">
        <v>78.088499999999996</v>
      </c>
      <c r="H1027" s="61">
        <v>89.940399999999997</v>
      </c>
    </row>
    <row r="1028" spans="1:8" x14ac:dyDescent="0.15">
      <c r="A1028" s="61" t="s">
        <v>13</v>
      </c>
      <c r="B1028" s="61">
        <v>10000</v>
      </c>
      <c r="C1028" s="61">
        <v>19</v>
      </c>
      <c r="D1028" s="61">
        <v>4.9816000000000003</v>
      </c>
      <c r="E1028" s="61">
        <v>401.47390000000001</v>
      </c>
      <c r="F1028" s="61">
        <v>14.837999999999999</v>
      </c>
      <c r="G1028" s="61">
        <v>78.092799999999997</v>
      </c>
      <c r="H1028" s="61">
        <v>89.945300000000003</v>
      </c>
    </row>
    <row r="1029" spans="1:8" x14ac:dyDescent="0.15">
      <c r="A1029" s="61" t="s">
        <v>13</v>
      </c>
      <c r="B1029" s="61">
        <v>10000</v>
      </c>
      <c r="C1029" s="61">
        <v>19</v>
      </c>
      <c r="D1029" s="61">
        <v>4.9817999999999998</v>
      </c>
      <c r="E1029" s="61">
        <v>401.459</v>
      </c>
      <c r="F1029" s="61">
        <v>14.837</v>
      </c>
      <c r="G1029" s="61">
        <v>78.0899</v>
      </c>
      <c r="H1029" s="61">
        <v>89.992400000000004</v>
      </c>
    </row>
    <row r="1030" spans="1:8" x14ac:dyDescent="0.15">
      <c r="A1030" s="61" t="s">
        <v>13</v>
      </c>
      <c r="B1030" s="61">
        <v>10000</v>
      </c>
      <c r="C1030" s="61">
        <v>19</v>
      </c>
      <c r="D1030" s="61">
        <v>4.9814999999999996</v>
      </c>
      <c r="E1030" s="61">
        <v>401.4821</v>
      </c>
      <c r="F1030" s="61">
        <v>14.837999999999999</v>
      </c>
      <c r="G1030" s="61">
        <v>78.094399999999993</v>
      </c>
      <c r="H1030" s="61">
        <v>89.995099999999994</v>
      </c>
    </row>
    <row r="1031" spans="1:8" x14ac:dyDescent="0.15">
      <c r="A1031" s="61" t="s">
        <v>13</v>
      </c>
      <c r="B1031" s="61">
        <v>10000</v>
      </c>
      <c r="C1031" s="61">
        <v>19</v>
      </c>
      <c r="D1031" s="61">
        <v>4.9823000000000004</v>
      </c>
      <c r="E1031" s="61">
        <v>401.41719999999998</v>
      </c>
      <c r="F1031" s="61">
        <v>14.836</v>
      </c>
      <c r="G1031" s="61">
        <v>78.081800000000001</v>
      </c>
      <c r="H1031" s="61">
        <v>90.033199999999994</v>
      </c>
    </row>
    <row r="1032" spans="1:8" x14ac:dyDescent="0.15">
      <c r="A1032" s="61" t="s">
        <v>13</v>
      </c>
      <c r="B1032" s="61">
        <v>10000</v>
      </c>
      <c r="C1032" s="61">
        <v>19</v>
      </c>
      <c r="D1032" s="61">
        <v>4.9816000000000003</v>
      </c>
      <c r="E1032" s="61">
        <v>401.4753</v>
      </c>
      <c r="F1032" s="61">
        <v>14.837999999999999</v>
      </c>
      <c r="G1032" s="61">
        <v>78.093100000000007</v>
      </c>
      <c r="H1032" s="61">
        <v>90.040499999999994</v>
      </c>
    </row>
    <row r="1033" spans="1:8" x14ac:dyDescent="0.15">
      <c r="A1033" s="61" t="s">
        <v>13</v>
      </c>
      <c r="B1033" s="61">
        <v>10000</v>
      </c>
      <c r="C1033" s="61">
        <v>19</v>
      </c>
      <c r="D1033" s="61">
        <v>4.9820000000000002</v>
      </c>
      <c r="E1033" s="61">
        <v>401.44630000000001</v>
      </c>
      <c r="F1033" s="61">
        <v>14.837</v>
      </c>
      <c r="G1033" s="61">
        <v>78.087400000000002</v>
      </c>
      <c r="H1033" s="61">
        <v>90.068399999999997</v>
      </c>
    </row>
    <row r="1034" spans="1:8" x14ac:dyDescent="0.15">
      <c r="A1034" s="61" t="s">
        <v>13</v>
      </c>
      <c r="B1034" s="61">
        <v>10000</v>
      </c>
      <c r="C1034" s="61">
        <v>19</v>
      </c>
      <c r="D1034" s="61">
        <v>4.9813000000000001</v>
      </c>
      <c r="E1034" s="61">
        <v>401.50369999999998</v>
      </c>
      <c r="F1034" s="61">
        <v>14.839</v>
      </c>
      <c r="G1034" s="61">
        <v>78.098600000000005</v>
      </c>
      <c r="H1034" s="61">
        <v>90.0762</v>
      </c>
    </row>
    <row r="1035" spans="1:8" x14ac:dyDescent="0.15">
      <c r="A1035" s="61" t="s">
        <v>13</v>
      </c>
      <c r="B1035" s="61">
        <v>10000</v>
      </c>
      <c r="C1035" s="61">
        <v>19</v>
      </c>
      <c r="D1035" s="61">
        <v>4.9821</v>
      </c>
      <c r="E1035" s="61">
        <v>401.43869999999998</v>
      </c>
      <c r="F1035" s="61">
        <v>14.836</v>
      </c>
      <c r="G1035" s="61">
        <v>78.085899999999995</v>
      </c>
      <c r="H1035" s="61">
        <v>89.911600000000007</v>
      </c>
    </row>
    <row r="1036" spans="1:8" x14ac:dyDescent="0.15">
      <c r="A1036" s="61" t="s">
        <v>13</v>
      </c>
      <c r="B1036" s="61">
        <v>10000</v>
      </c>
      <c r="C1036" s="61">
        <v>19</v>
      </c>
      <c r="D1036" s="61">
        <v>4.9814999999999996</v>
      </c>
      <c r="E1036" s="61">
        <v>401.48340000000002</v>
      </c>
      <c r="F1036" s="61">
        <v>14.837999999999999</v>
      </c>
      <c r="G1036" s="61">
        <v>78.0946</v>
      </c>
      <c r="H1036" s="61">
        <v>89.923299999999998</v>
      </c>
    </row>
    <row r="1037" spans="1:8" x14ac:dyDescent="0.15">
      <c r="A1037" s="61" t="s">
        <v>13</v>
      </c>
      <c r="B1037" s="61">
        <v>10000</v>
      </c>
      <c r="C1037" s="61">
        <v>19</v>
      </c>
      <c r="D1037" s="61">
        <v>4.9820000000000002</v>
      </c>
      <c r="E1037" s="61">
        <v>401.44409999999999</v>
      </c>
      <c r="F1037" s="61">
        <v>14.837</v>
      </c>
      <c r="G1037" s="61">
        <v>78.087000000000003</v>
      </c>
      <c r="H1037" s="61">
        <v>89.9512</v>
      </c>
    </row>
    <row r="1038" spans="1:8" x14ac:dyDescent="0.15">
      <c r="A1038" s="61" t="s">
        <v>13</v>
      </c>
      <c r="B1038" s="61">
        <v>10000</v>
      </c>
      <c r="C1038" s="61">
        <v>19</v>
      </c>
      <c r="D1038" s="61">
        <v>4.9816000000000003</v>
      </c>
      <c r="E1038" s="61">
        <v>401.47750000000002</v>
      </c>
      <c r="F1038" s="61">
        <v>14.837999999999999</v>
      </c>
      <c r="G1038" s="61">
        <v>78.093500000000006</v>
      </c>
      <c r="H1038" s="61">
        <v>89.964399999999998</v>
      </c>
    </row>
    <row r="1039" spans="1:8" x14ac:dyDescent="0.15">
      <c r="A1039" s="61" t="s">
        <v>13</v>
      </c>
      <c r="B1039" s="61">
        <v>10000</v>
      </c>
      <c r="C1039" s="61">
        <v>19</v>
      </c>
      <c r="D1039" s="61">
        <v>4.9820000000000002</v>
      </c>
      <c r="E1039" s="61">
        <v>401.44510000000002</v>
      </c>
      <c r="F1039" s="61">
        <v>14.837</v>
      </c>
      <c r="G1039" s="61">
        <v>78.087199999999996</v>
      </c>
      <c r="H1039" s="61">
        <v>89.994100000000003</v>
      </c>
    </row>
    <row r="1040" spans="1:8" x14ac:dyDescent="0.15">
      <c r="A1040" s="61" t="s">
        <v>13</v>
      </c>
      <c r="B1040" s="61">
        <v>10000</v>
      </c>
      <c r="C1040" s="61">
        <v>20</v>
      </c>
      <c r="D1040" s="61">
        <v>4.4414999999999996</v>
      </c>
      <c r="E1040" s="61">
        <v>450.29969999999997</v>
      </c>
      <c r="F1040" s="61">
        <v>16.641999999999999</v>
      </c>
      <c r="G1040" s="61">
        <v>83.210599999999999</v>
      </c>
      <c r="H1040" s="61">
        <v>88.7607</v>
      </c>
    </row>
    <row r="1041" spans="1:8" x14ac:dyDescent="0.15">
      <c r="A1041" s="61" t="s">
        <v>13</v>
      </c>
      <c r="B1041" s="61">
        <v>10000</v>
      </c>
      <c r="C1041" s="61">
        <v>20</v>
      </c>
      <c r="D1041" s="61">
        <v>4.4138000000000002</v>
      </c>
      <c r="E1041" s="61">
        <v>453.12799999999999</v>
      </c>
      <c r="F1041" s="61">
        <v>16.747</v>
      </c>
      <c r="G1041" s="61">
        <v>83.7333</v>
      </c>
      <c r="H1041" s="61">
        <v>88.248500000000007</v>
      </c>
    </row>
    <row r="1042" spans="1:8" x14ac:dyDescent="0.15">
      <c r="A1042" s="61" t="s">
        <v>13</v>
      </c>
      <c r="B1042" s="61">
        <v>10000</v>
      </c>
      <c r="C1042" s="61">
        <v>20</v>
      </c>
      <c r="D1042" s="61">
        <v>4.4577</v>
      </c>
      <c r="E1042" s="61">
        <v>448.65809999999999</v>
      </c>
      <c r="F1042" s="61">
        <v>16.581</v>
      </c>
      <c r="G1042" s="61">
        <v>82.907300000000006</v>
      </c>
      <c r="H1042" s="61">
        <v>89.118200000000002</v>
      </c>
    </row>
    <row r="1043" spans="1:8" x14ac:dyDescent="0.15">
      <c r="A1043" s="61" t="s">
        <v>13</v>
      </c>
      <c r="B1043" s="61">
        <v>10000</v>
      </c>
      <c r="C1043" s="61">
        <v>20</v>
      </c>
      <c r="D1043" s="61">
        <v>4.4766000000000004</v>
      </c>
      <c r="E1043" s="61">
        <v>446.76949999999999</v>
      </c>
      <c r="F1043" s="61">
        <v>16.512</v>
      </c>
      <c r="G1043" s="61">
        <v>82.558300000000003</v>
      </c>
      <c r="H1043" s="61">
        <v>89.521500000000003</v>
      </c>
    </row>
    <row r="1044" spans="1:8" x14ac:dyDescent="0.15">
      <c r="A1044" s="61" t="s">
        <v>13</v>
      </c>
      <c r="B1044" s="61">
        <v>10000</v>
      </c>
      <c r="C1044" s="61">
        <v>20</v>
      </c>
      <c r="D1044" s="61">
        <v>4.4817</v>
      </c>
      <c r="E1044" s="61">
        <v>446.25529999999998</v>
      </c>
      <c r="F1044" s="61">
        <v>16.492999999999999</v>
      </c>
      <c r="G1044" s="61">
        <v>82.463300000000004</v>
      </c>
      <c r="H1044" s="61">
        <v>89.599599999999995</v>
      </c>
    </row>
    <row r="1045" spans="1:8" x14ac:dyDescent="0.15">
      <c r="A1045" s="61" t="s">
        <v>13</v>
      </c>
      <c r="B1045" s="61">
        <v>10000</v>
      </c>
      <c r="C1045" s="61">
        <v>20</v>
      </c>
      <c r="D1045" s="61">
        <v>4.4898999999999996</v>
      </c>
      <c r="E1045" s="61">
        <v>445.44150000000002</v>
      </c>
      <c r="F1045" s="61">
        <v>16.463000000000001</v>
      </c>
      <c r="G1045" s="61">
        <v>82.312899999999999</v>
      </c>
      <c r="H1045" s="61">
        <v>89.7744</v>
      </c>
    </row>
    <row r="1046" spans="1:8" x14ac:dyDescent="0.15">
      <c r="A1046" s="61" t="s">
        <v>13</v>
      </c>
      <c r="B1046" s="61">
        <v>10000</v>
      </c>
      <c r="C1046" s="61">
        <v>20</v>
      </c>
      <c r="D1046" s="61">
        <v>4.4985999999999997</v>
      </c>
      <c r="E1046" s="61">
        <v>444.5804</v>
      </c>
      <c r="F1046" s="61">
        <v>16.431000000000001</v>
      </c>
      <c r="G1046" s="61">
        <v>82.153800000000004</v>
      </c>
      <c r="H1046" s="61">
        <v>89.936000000000007</v>
      </c>
    </row>
    <row r="1047" spans="1:8" x14ac:dyDescent="0.15">
      <c r="A1047" s="61" t="s">
        <v>13</v>
      </c>
      <c r="B1047" s="61">
        <v>10000</v>
      </c>
      <c r="C1047" s="61">
        <v>20</v>
      </c>
      <c r="D1047" s="61">
        <v>4.4854000000000003</v>
      </c>
      <c r="E1047" s="61">
        <v>445.89139999999998</v>
      </c>
      <c r="F1047" s="61">
        <v>16.478999999999999</v>
      </c>
      <c r="G1047" s="61">
        <v>82.396000000000001</v>
      </c>
      <c r="H1047" s="61">
        <v>89.680700000000002</v>
      </c>
    </row>
    <row r="1048" spans="1:8" x14ac:dyDescent="0.15">
      <c r="A1048" s="61" t="s">
        <v>13</v>
      </c>
      <c r="B1048" s="61">
        <v>10000</v>
      </c>
      <c r="C1048" s="61">
        <v>20</v>
      </c>
      <c r="D1048" s="61">
        <v>4.492</v>
      </c>
      <c r="E1048" s="61">
        <v>445.23480000000001</v>
      </c>
      <c r="F1048" s="61">
        <v>16.454999999999998</v>
      </c>
      <c r="G1048" s="61">
        <v>82.274699999999996</v>
      </c>
      <c r="H1048" s="61">
        <v>89.813000000000002</v>
      </c>
    </row>
    <row r="1049" spans="1:8" x14ac:dyDescent="0.15">
      <c r="A1049" s="61" t="s">
        <v>13</v>
      </c>
      <c r="B1049" s="61">
        <v>10000</v>
      </c>
      <c r="C1049" s="61">
        <v>20</v>
      </c>
      <c r="D1049" s="61">
        <v>4.5026000000000002</v>
      </c>
      <c r="E1049" s="61">
        <v>444.19159999999999</v>
      </c>
      <c r="F1049" s="61">
        <v>16.416</v>
      </c>
      <c r="G1049" s="61">
        <v>82.081900000000005</v>
      </c>
      <c r="H1049" s="61">
        <v>89.952600000000004</v>
      </c>
    </row>
    <row r="1050" spans="1:8" x14ac:dyDescent="0.15">
      <c r="A1050" s="61" t="s">
        <v>13</v>
      </c>
      <c r="B1050" s="61">
        <v>10000</v>
      </c>
      <c r="C1050" s="61">
        <v>20</v>
      </c>
      <c r="D1050" s="61">
        <v>4.5456000000000003</v>
      </c>
      <c r="E1050" s="61">
        <v>439.98149999999998</v>
      </c>
      <c r="F1050" s="61">
        <v>16.260999999999999</v>
      </c>
      <c r="G1050" s="61">
        <v>81.303899999999999</v>
      </c>
      <c r="H1050" s="61">
        <v>90.773899999999998</v>
      </c>
    </row>
    <row r="1051" spans="1:8" x14ac:dyDescent="0.15">
      <c r="A1051" s="61" t="s">
        <v>13</v>
      </c>
      <c r="B1051" s="61">
        <v>10000</v>
      </c>
      <c r="C1051" s="61">
        <v>20</v>
      </c>
      <c r="D1051" s="61">
        <v>4.4882</v>
      </c>
      <c r="E1051" s="61">
        <v>445.60899999999998</v>
      </c>
      <c r="F1051" s="61">
        <v>16.469000000000001</v>
      </c>
      <c r="G1051" s="61">
        <v>82.343800000000002</v>
      </c>
      <c r="H1051" s="61">
        <v>89.729500000000002</v>
      </c>
    </row>
    <row r="1052" spans="1:8" x14ac:dyDescent="0.15">
      <c r="A1052" s="61" t="s">
        <v>13</v>
      </c>
      <c r="B1052" s="61">
        <v>10000</v>
      </c>
      <c r="C1052" s="61">
        <v>20</v>
      </c>
      <c r="D1052" s="61">
        <v>4.4960000000000004</v>
      </c>
      <c r="E1052" s="61">
        <v>444.83550000000002</v>
      </c>
      <c r="F1052" s="61">
        <v>16.440000000000001</v>
      </c>
      <c r="G1052" s="61">
        <v>82.200900000000004</v>
      </c>
      <c r="H1052" s="61">
        <v>89.790499999999994</v>
      </c>
    </row>
    <row r="1053" spans="1:8" x14ac:dyDescent="0.15">
      <c r="A1053" s="61" t="s">
        <v>13</v>
      </c>
      <c r="B1053" s="61">
        <v>10000</v>
      </c>
      <c r="C1053" s="61">
        <v>20</v>
      </c>
      <c r="D1053" s="61">
        <v>4.4823000000000004</v>
      </c>
      <c r="E1053" s="61">
        <v>446.19729999999998</v>
      </c>
      <c r="F1053" s="61">
        <v>16.491</v>
      </c>
      <c r="G1053" s="61">
        <v>82.452500000000001</v>
      </c>
      <c r="H1053" s="61">
        <v>89.640100000000004</v>
      </c>
    </row>
    <row r="1054" spans="1:8" x14ac:dyDescent="0.15">
      <c r="A1054" s="61" t="s">
        <v>13</v>
      </c>
      <c r="B1054" s="61">
        <v>10000</v>
      </c>
      <c r="C1054" s="61">
        <v>20</v>
      </c>
      <c r="D1054" s="61">
        <v>4.4882</v>
      </c>
      <c r="E1054" s="61">
        <v>445.61660000000001</v>
      </c>
      <c r="F1054" s="61">
        <v>16.469000000000001</v>
      </c>
      <c r="G1054" s="61">
        <v>82.345200000000006</v>
      </c>
      <c r="H1054" s="61">
        <v>89.719200000000001</v>
      </c>
    </row>
    <row r="1055" spans="1:8" x14ac:dyDescent="0.15">
      <c r="A1055" s="61" t="s">
        <v>13</v>
      </c>
      <c r="B1055" s="61">
        <v>10000</v>
      </c>
      <c r="C1055" s="61">
        <v>20</v>
      </c>
      <c r="D1055" s="61">
        <v>4.4904000000000002</v>
      </c>
      <c r="E1055" s="61">
        <v>445.39429999999999</v>
      </c>
      <c r="F1055" s="61">
        <v>16.460999999999999</v>
      </c>
      <c r="G1055" s="61">
        <v>82.304199999999994</v>
      </c>
      <c r="H1055" s="61">
        <v>89.770499999999998</v>
      </c>
    </row>
    <row r="1056" spans="1:8" x14ac:dyDescent="0.15">
      <c r="A1056" s="61" t="s">
        <v>13</v>
      </c>
      <c r="B1056" s="61">
        <v>10000</v>
      </c>
      <c r="C1056" s="61">
        <v>20</v>
      </c>
      <c r="D1056" s="61">
        <v>4.4836</v>
      </c>
      <c r="E1056" s="61">
        <v>446.07330000000002</v>
      </c>
      <c r="F1056" s="61">
        <v>16.486000000000001</v>
      </c>
      <c r="G1056" s="61">
        <v>82.429599999999994</v>
      </c>
      <c r="H1056" s="61">
        <v>89.642600000000002</v>
      </c>
    </row>
    <row r="1057" spans="1:8" x14ac:dyDescent="0.15">
      <c r="A1057" s="61" t="s">
        <v>13</v>
      </c>
      <c r="B1057" s="61">
        <v>10000</v>
      </c>
      <c r="C1057" s="61">
        <v>20</v>
      </c>
      <c r="D1057" s="61">
        <v>4.4847999999999999</v>
      </c>
      <c r="E1057" s="61">
        <v>445.95310000000001</v>
      </c>
      <c r="F1057" s="61">
        <v>16.481000000000002</v>
      </c>
      <c r="G1057" s="61">
        <v>82.407399999999996</v>
      </c>
      <c r="H1057" s="61">
        <v>89.669399999999996</v>
      </c>
    </row>
    <row r="1058" spans="1:8" x14ac:dyDescent="0.15">
      <c r="A1058" s="61" t="s">
        <v>13</v>
      </c>
      <c r="B1058" s="61">
        <v>10000</v>
      </c>
      <c r="C1058" s="61">
        <v>20</v>
      </c>
      <c r="D1058" s="61">
        <v>4.4828999999999999</v>
      </c>
      <c r="E1058" s="61">
        <v>446.14460000000003</v>
      </c>
      <c r="F1058" s="61">
        <v>16.489000000000001</v>
      </c>
      <c r="G1058" s="61">
        <v>82.442800000000005</v>
      </c>
      <c r="H1058" s="61">
        <v>89.626000000000005</v>
      </c>
    </row>
    <row r="1059" spans="1:8" x14ac:dyDescent="0.15">
      <c r="A1059" s="61" t="s">
        <v>13</v>
      </c>
      <c r="B1059" s="61">
        <v>10000</v>
      </c>
      <c r="C1059" s="61">
        <v>20</v>
      </c>
      <c r="D1059" s="61">
        <v>4.4935</v>
      </c>
      <c r="E1059" s="61">
        <v>445.08519999999999</v>
      </c>
      <c r="F1059" s="61">
        <v>16.449000000000002</v>
      </c>
      <c r="G1059" s="61">
        <v>82.247</v>
      </c>
      <c r="H1059" s="61">
        <v>89.834500000000006</v>
      </c>
    </row>
    <row r="1060" spans="1:8" x14ac:dyDescent="0.15">
      <c r="A1060" s="61" t="s">
        <v>13</v>
      </c>
      <c r="B1060" s="61">
        <v>10000</v>
      </c>
      <c r="C1060" s="61">
        <v>20</v>
      </c>
      <c r="D1060" s="61">
        <v>4.5004999999999997</v>
      </c>
      <c r="E1060" s="61">
        <v>444.39479999999998</v>
      </c>
      <c r="F1060" s="61">
        <v>16.423999999999999</v>
      </c>
      <c r="G1060" s="61">
        <v>82.119500000000002</v>
      </c>
      <c r="H1060" s="61">
        <v>89.973100000000002</v>
      </c>
    </row>
    <row r="1061" spans="1:8" x14ac:dyDescent="0.15">
      <c r="A1061" s="61" t="s">
        <v>13</v>
      </c>
      <c r="B1061" s="61">
        <v>10000</v>
      </c>
      <c r="C1061" s="61">
        <v>20</v>
      </c>
      <c r="D1061" s="61">
        <v>4.4869000000000003</v>
      </c>
      <c r="E1061" s="61">
        <v>445.738</v>
      </c>
      <c r="F1061" s="61">
        <v>16.474</v>
      </c>
      <c r="G1061" s="61">
        <v>82.367699999999999</v>
      </c>
      <c r="H1061" s="61">
        <v>89.712400000000002</v>
      </c>
    </row>
    <row r="1062" spans="1:8" x14ac:dyDescent="0.15">
      <c r="A1062" s="61" t="s">
        <v>13</v>
      </c>
      <c r="B1062" s="61">
        <v>10000</v>
      </c>
      <c r="C1062" s="61">
        <v>20</v>
      </c>
      <c r="D1062" s="61">
        <v>4.4856999999999996</v>
      </c>
      <c r="E1062" s="61">
        <v>445.858</v>
      </c>
      <c r="F1062" s="61">
        <v>16.478000000000002</v>
      </c>
      <c r="G1062" s="61">
        <v>82.389899999999997</v>
      </c>
      <c r="H1062" s="61">
        <v>89.692400000000006</v>
      </c>
    </row>
    <row r="1063" spans="1:8" x14ac:dyDescent="0.15">
      <c r="A1063" s="61" t="s">
        <v>13</v>
      </c>
      <c r="B1063" s="61">
        <v>10000</v>
      </c>
      <c r="C1063" s="61">
        <v>20</v>
      </c>
      <c r="D1063" s="61">
        <v>4.4997999999999996</v>
      </c>
      <c r="E1063" s="61">
        <v>444.46429999999998</v>
      </c>
      <c r="F1063" s="61">
        <v>16.425999999999998</v>
      </c>
      <c r="G1063" s="61">
        <v>82.132300000000001</v>
      </c>
      <c r="H1063" s="61">
        <v>89.966300000000004</v>
      </c>
    </row>
    <row r="1064" spans="1:8" x14ac:dyDescent="0.15">
      <c r="A1064" s="61" t="s">
        <v>13</v>
      </c>
      <c r="B1064" s="61">
        <v>10000</v>
      </c>
      <c r="C1064" s="61">
        <v>20</v>
      </c>
      <c r="D1064" s="61">
        <v>4.5438000000000001</v>
      </c>
      <c r="E1064" s="61">
        <v>440.16500000000002</v>
      </c>
      <c r="F1064" s="61">
        <v>16.268000000000001</v>
      </c>
      <c r="G1064" s="61">
        <v>81.337800000000001</v>
      </c>
      <c r="H1064" s="61">
        <v>90.726600000000005</v>
      </c>
    </row>
    <row r="1065" spans="1:8" x14ac:dyDescent="0.15">
      <c r="A1065" s="61" t="s">
        <v>13</v>
      </c>
      <c r="B1065" s="61">
        <v>10000</v>
      </c>
      <c r="C1065" s="61">
        <v>20</v>
      </c>
      <c r="D1065" s="61">
        <v>4.5403000000000002</v>
      </c>
      <c r="E1065" s="61">
        <v>440.5043</v>
      </c>
      <c r="F1065" s="61">
        <v>16.28</v>
      </c>
      <c r="G1065" s="61">
        <v>81.400499999999994</v>
      </c>
      <c r="H1065" s="61">
        <v>90.662099999999995</v>
      </c>
    </row>
    <row r="1066" spans="1:8" x14ac:dyDescent="0.15">
      <c r="A1066" s="61" t="s">
        <v>13</v>
      </c>
      <c r="B1066" s="61">
        <v>10000</v>
      </c>
      <c r="C1066" s="61">
        <v>20</v>
      </c>
      <c r="D1066" s="61">
        <v>4.4970999999999997</v>
      </c>
      <c r="E1066" s="61">
        <v>444.73590000000002</v>
      </c>
      <c r="F1066" s="61">
        <v>16.437000000000001</v>
      </c>
      <c r="G1066" s="61">
        <v>82.182500000000005</v>
      </c>
      <c r="H1066" s="61">
        <v>89.901399999999995</v>
      </c>
    </row>
    <row r="1067" spans="1:8" x14ac:dyDescent="0.15">
      <c r="A1067" s="61" t="s">
        <v>13</v>
      </c>
      <c r="B1067" s="61">
        <v>10000</v>
      </c>
      <c r="C1067" s="61">
        <v>20</v>
      </c>
      <c r="D1067" s="61">
        <v>4.5012999999999996</v>
      </c>
      <c r="E1067" s="61">
        <v>444.31229999999999</v>
      </c>
      <c r="F1067" s="61">
        <v>16.420999999999999</v>
      </c>
      <c r="G1067" s="61">
        <v>82.104200000000006</v>
      </c>
      <c r="H1067" s="61">
        <v>89.956100000000006</v>
      </c>
    </row>
    <row r="1068" spans="1:8" x14ac:dyDescent="0.15">
      <c r="A1068" s="61" t="s">
        <v>13</v>
      </c>
      <c r="B1068" s="61">
        <v>10000</v>
      </c>
      <c r="C1068" s="61">
        <v>20</v>
      </c>
      <c r="D1068" s="61">
        <v>4.4867999999999997</v>
      </c>
      <c r="E1068" s="61">
        <v>445.75020000000001</v>
      </c>
      <c r="F1068" s="61">
        <v>16.474</v>
      </c>
      <c r="G1068" s="61">
        <v>82.369900000000001</v>
      </c>
      <c r="H1068" s="61">
        <v>89.719700000000003</v>
      </c>
    </row>
    <row r="1069" spans="1:8" x14ac:dyDescent="0.15">
      <c r="A1069" s="61" t="s">
        <v>13</v>
      </c>
      <c r="B1069" s="61">
        <v>10000</v>
      </c>
      <c r="C1069" s="61">
        <v>20</v>
      </c>
      <c r="D1069" s="61">
        <v>4.4913999999999996</v>
      </c>
      <c r="E1069" s="61">
        <v>445.29820000000001</v>
      </c>
      <c r="F1069" s="61">
        <v>16.457000000000001</v>
      </c>
      <c r="G1069" s="61">
        <v>82.2864</v>
      </c>
      <c r="H1069" s="61">
        <v>89.792000000000002</v>
      </c>
    </row>
    <row r="1070" spans="1:8" x14ac:dyDescent="0.15">
      <c r="A1070" s="61" t="s">
        <v>13</v>
      </c>
      <c r="B1070" s="61">
        <v>10000</v>
      </c>
      <c r="C1070" s="61">
        <v>20</v>
      </c>
      <c r="D1070" s="61">
        <v>4.4862000000000002</v>
      </c>
      <c r="E1070" s="61">
        <v>445.81029999999998</v>
      </c>
      <c r="F1070" s="61">
        <v>16.475999999999999</v>
      </c>
      <c r="G1070" s="61">
        <v>82.381</v>
      </c>
      <c r="H1070" s="61">
        <v>89.695300000000003</v>
      </c>
    </row>
    <row r="1071" spans="1:8" x14ac:dyDescent="0.15">
      <c r="A1071" s="61" t="s">
        <v>13</v>
      </c>
      <c r="B1071" s="61">
        <v>10000</v>
      </c>
      <c r="C1071" s="61">
        <v>20</v>
      </c>
      <c r="D1071" s="61">
        <v>4.4875999999999996</v>
      </c>
      <c r="E1071" s="61">
        <v>445.66829999999999</v>
      </c>
      <c r="F1071" s="61">
        <v>16.471</v>
      </c>
      <c r="G1071" s="61">
        <v>82.354799999999997</v>
      </c>
      <c r="H1071" s="61">
        <v>89.723600000000005</v>
      </c>
    </row>
    <row r="1072" spans="1:8" x14ac:dyDescent="0.15">
      <c r="A1072" s="61" t="s">
        <v>13</v>
      </c>
      <c r="B1072" s="61">
        <v>10000</v>
      </c>
      <c r="C1072" s="61">
        <v>20</v>
      </c>
      <c r="D1072" s="61">
        <v>4.4898999999999996</v>
      </c>
      <c r="E1072" s="61">
        <v>445.4443</v>
      </c>
      <c r="F1072" s="61">
        <v>16.463000000000001</v>
      </c>
      <c r="G1072" s="61">
        <v>82.313400000000001</v>
      </c>
      <c r="H1072" s="61">
        <v>89.772499999999994</v>
      </c>
    </row>
    <row r="1073" spans="1:8" x14ac:dyDescent="0.15">
      <c r="A1073" s="61" t="s">
        <v>13</v>
      </c>
      <c r="B1073" s="61">
        <v>10000</v>
      </c>
      <c r="C1073" s="61">
        <v>20</v>
      </c>
      <c r="D1073" s="61">
        <v>4.4970999999999997</v>
      </c>
      <c r="E1073" s="61">
        <v>444.72879999999998</v>
      </c>
      <c r="F1073" s="61">
        <v>16.436</v>
      </c>
      <c r="G1073" s="61">
        <v>82.181200000000004</v>
      </c>
      <c r="H1073" s="61">
        <v>89.918000000000006</v>
      </c>
    </row>
    <row r="1074" spans="1:8" x14ac:dyDescent="0.15">
      <c r="A1074" s="61" t="s">
        <v>13</v>
      </c>
      <c r="B1074" s="61">
        <v>10000</v>
      </c>
      <c r="C1074" s="61">
        <v>20</v>
      </c>
      <c r="D1074" s="61">
        <v>4.4943999999999997</v>
      </c>
      <c r="E1074" s="61">
        <v>444.99540000000002</v>
      </c>
      <c r="F1074" s="61">
        <v>16.446000000000002</v>
      </c>
      <c r="G1074" s="61">
        <v>82.230500000000006</v>
      </c>
      <c r="H1074" s="61">
        <v>89.859399999999994</v>
      </c>
    </row>
    <row r="1075" spans="1:8" x14ac:dyDescent="0.15">
      <c r="A1075" s="61" t="s">
        <v>13</v>
      </c>
      <c r="B1075" s="61">
        <v>10000</v>
      </c>
      <c r="C1075" s="61">
        <v>20</v>
      </c>
      <c r="D1075" s="61">
        <v>4.4861000000000004</v>
      </c>
      <c r="E1075" s="61">
        <v>445.81920000000002</v>
      </c>
      <c r="F1075" s="61">
        <v>16.477</v>
      </c>
      <c r="G1075" s="61">
        <v>82.3827</v>
      </c>
      <c r="H1075" s="61">
        <v>89.691900000000004</v>
      </c>
    </row>
    <row r="1076" spans="1:8" x14ac:dyDescent="0.15">
      <c r="A1076" s="61" t="s">
        <v>13</v>
      </c>
      <c r="B1076" s="61">
        <v>10000</v>
      </c>
      <c r="C1076" s="61">
        <v>20</v>
      </c>
      <c r="D1076" s="61">
        <v>4.4904000000000002</v>
      </c>
      <c r="E1076" s="61">
        <v>445.3913</v>
      </c>
      <c r="F1076" s="61">
        <v>16.460999999999999</v>
      </c>
      <c r="G1076" s="61">
        <v>82.303600000000003</v>
      </c>
      <c r="H1076" s="61">
        <v>89.780299999999997</v>
      </c>
    </row>
    <row r="1077" spans="1:8" x14ac:dyDescent="0.15">
      <c r="A1077" s="61" t="s">
        <v>13</v>
      </c>
      <c r="B1077" s="61">
        <v>10000</v>
      </c>
      <c r="C1077" s="61">
        <v>20</v>
      </c>
      <c r="D1077" s="61">
        <v>4.4935999999999998</v>
      </c>
      <c r="E1077" s="61">
        <v>445.07769999999999</v>
      </c>
      <c r="F1077" s="61">
        <v>16.449000000000002</v>
      </c>
      <c r="G1077" s="61">
        <v>82.245699999999999</v>
      </c>
      <c r="H1077" s="61">
        <v>89.842799999999997</v>
      </c>
    </row>
    <row r="1078" spans="1:8" x14ac:dyDescent="0.15">
      <c r="A1078" s="61" t="s">
        <v>13</v>
      </c>
      <c r="B1078" s="61">
        <v>10000</v>
      </c>
      <c r="C1078" s="61">
        <v>20</v>
      </c>
      <c r="D1078" s="61">
        <v>4.4889999999999999</v>
      </c>
      <c r="E1078" s="61">
        <v>445.53199999999998</v>
      </c>
      <c r="F1078" s="61">
        <v>16.466000000000001</v>
      </c>
      <c r="G1078" s="61">
        <v>82.329599999999999</v>
      </c>
      <c r="H1078" s="61">
        <v>89.746099999999998</v>
      </c>
    </row>
    <row r="1079" spans="1:8" x14ac:dyDescent="0.15">
      <c r="A1079" s="61" t="s">
        <v>13</v>
      </c>
      <c r="B1079" s="61">
        <v>10000</v>
      </c>
      <c r="C1079" s="61">
        <v>20</v>
      </c>
      <c r="D1079" s="61">
        <v>4.4840999999999998</v>
      </c>
      <c r="E1079" s="61">
        <v>446.02140000000003</v>
      </c>
      <c r="F1079" s="61">
        <v>16.484000000000002</v>
      </c>
      <c r="G1079" s="61">
        <v>82.420100000000005</v>
      </c>
      <c r="H1079" s="61">
        <v>89.653300000000002</v>
      </c>
    </row>
    <row r="1080" spans="1:8" x14ac:dyDescent="0.15">
      <c r="A1080" s="61" t="s">
        <v>13</v>
      </c>
      <c r="B1080" s="61">
        <v>10000</v>
      </c>
      <c r="C1080" s="61">
        <v>20</v>
      </c>
      <c r="D1080" s="61">
        <v>4.4908999999999999</v>
      </c>
      <c r="E1080" s="61">
        <v>445.34059999999999</v>
      </c>
      <c r="F1080" s="61">
        <v>16.459</v>
      </c>
      <c r="G1080" s="61">
        <v>82.294200000000004</v>
      </c>
      <c r="H1080" s="61">
        <v>89.771500000000003</v>
      </c>
    </row>
    <row r="1081" spans="1:8" x14ac:dyDescent="0.15">
      <c r="A1081" s="61" t="s">
        <v>13</v>
      </c>
      <c r="B1081" s="61">
        <v>10000</v>
      </c>
      <c r="C1081" s="61">
        <v>20</v>
      </c>
      <c r="D1081" s="61">
        <v>4.4835000000000003</v>
      </c>
      <c r="E1081" s="61">
        <v>446.07560000000001</v>
      </c>
      <c r="F1081" s="61">
        <v>16.486000000000001</v>
      </c>
      <c r="G1081" s="61">
        <v>82.430099999999996</v>
      </c>
      <c r="H1081" s="61">
        <v>89.641599999999997</v>
      </c>
    </row>
    <row r="1082" spans="1:8" x14ac:dyDescent="0.15">
      <c r="A1082" s="61" t="s">
        <v>13</v>
      </c>
      <c r="B1082" s="61">
        <v>10000</v>
      </c>
      <c r="C1082" s="61">
        <v>20</v>
      </c>
      <c r="D1082" s="61">
        <v>4.4827000000000004</v>
      </c>
      <c r="E1082" s="61">
        <v>446.15960000000001</v>
      </c>
      <c r="F1082" s="61">
        <v>16.489000000000001</v>
      </c>
      <c r="G1082" s="61">
        <v>82.445599999999999</v>
      </c>
      <c r="H1082" s="61">
        <v>89.644499999999994</v>
      </c>
    </row>
    <row r="1083" spans="1:8" x14ac:dyDescent="0.15">
      <c r="A1083" s="61" t="s">
        <v>13</v>
      </c>
      <c r="B1083" s="61">
        <v>10000</v>
      </c>
      <c r="C1083" s="61">
        <v>20</v>
      </c>
      <c r="D1083" s="61">
        <v>4.4973000000000001</v>
      </c>
      <c r="E1083" s="61">
        <v>444.70769999999999</v>
      </c>
      <c r="F1083" s="61">
        <v>16.434999999999999</v>
      </c>
      <c r="G1083" s="61">
        <v>82.177300000000002</v>
      </c>
      <c r="H1083" s="61">
        <v>89.917000000000002</v>
      </c>
    </row>
    <row r="1084" spans="1:8" x14ac:dyDescent="0.15">
      <c r="A1084" s="61" t="s">
        <v>13</v>
      </c>
      <c r="B1084" s="61">
        <v>10000</v>
      </c>
      <c r="C1084" s="61">
        <v>20</v>
      </c>
      <c r="D1084" s="61">
        <v>4.4858000000000002</v>
      </c>
      <c r="E1084" s="61">
        <v>445.85539999999997</v>
      </c>
      <c r="F1084" s="61">
        <v>16.478000000000002</v>
      </c>
      <c r="G1084" s="61">
        <v>82.389399999999995</v>
      </c>
      <c r="H1084" s="61">
        <v>89.683599999999998</v>
      </c>
    </row>
    <row r="1085" spans="1:8" x14ac:dyDescent="0.15">
      <c r="A1085" s="61" t="s">
        <v>13</v>
      </c>
      <c r="B1085" s="61">
        <v>10000</v>
      </c>
      <c r="C1085" s="61">
        <v>20</v>
      </c>
      <c r="D1085" s="61">
        <v>4.4898999999999996</v>
      </c>
      <c r="E1085" s="61">
        <v>445.44240000000002</v>
      </c>
      <c r="F1085" s="61">
        <v>16.463000000000001</v>
      </c>
      <c r="G1085" s="61">
        <v>82.313100000000006</v>
      </c>
      <c r="H1085" s="61">
        <v>89.7637</v>
      </c>
    </row>
    <row r="1086" spans="1:8" x14ac:dyDescent="0.15">
      <c r="A1086" s="61" t="s">
        <v>13</v>
      </c>
      <c r="B1086" s="61">
        <v>10000</v>
      </c>
      <c r="C1086" s="61">
        <v>20</v>
      </c>
      <c r="D1086" s="61">
        <v>4.4870999999999999</v>
      </c>
      <c r="E1086" s="61">
        <v>445.71820000000002</v>
      </c>
      <c r="F1086" s="61">
        <v>16.472999999999999</v>
      </c>
      <c r="G1086" s="61">
        <v>82.364000000000004</v>
      </c>
      <c r="H1086" s="61">
        <v>89.715800000000002</v>
      </c>
    </row>
    <row r="1087" spans="1:8" x14ac:dyDescent="0.15">
      <c r="A1087" s="61" t="s">
        <v>13</v>
      </c>
      <c r="B1087" s="61">
        <v>10000</v>
      </c>
      <c r="C1087" s="61">
        <v>20</v>
      </c>
      <c r="D1087" s="61">
        <v>4.4996999999999998</v>
      </c>
      <c r="E1087" s="61">
        <v>444.4744</v>
      </c>
      <c r="F1087" s="61">
        <v>16.427</v>
      </c>
      <c r="G1087" s="61">
        <v>82.134200000000007</v>
      </c>
      <c r="H1087" s="61">
        <v>89.957999999999998</v>
      </c>
    </row>
    <row r="1088" spans="1:8" x14ac:dyDescent="0.15">
      <c r="A1088" s="61" t="s">
        <v>13</v>
      </c>
      <c r="B1088" s="61">
        <v>10000</v>
      </c>
      <c r="C1088" s="61">
        <v>20</v>
      </c>
      <c r="D1088" s="61">
        <v>4.4923999999999999</v>
      </c>
      <c r="E1088" s="61">
        <v>445.19920000000002</v>
      </c>
      <c r="F1088" s="61">
        <v>16.454000000000001</v>
      </c>
      <c r="G1088" s="61">
        <v>82.268100000000004</v>
      </c>
      <c r="H1088" s="61">
        <v>89.819299999999998</v>
      </c>
    </row>
    <row r="1089" spans="1:8" x14ac:dyDescent="0.15">
      <c r="A1089" s="61" t="s">
        <v>13</v>
      </c>
      <c r="B1089" s="61">
        <v>10000</v>
      </c>
      <c r="C1089" s="61">
        <v>20</v>
      </c>
      <c r="D1089" s="61">
        <v>4.4858000000000002</v>
      </c>
      <c r="E1089" s="61">
        <v>445.85169999999999</v>
      </c>
      <c r="F1089" s="61">
        <v>16.478000000000002</v>
      </c>
      <c r="G1089" s="61">
        <v>82.3887</v>
      </c>
      <c r="H1089" s="61">
        <v>89.685500000000005</v>
      </c>
    </row>
    <row r="1090" spans="1:8" x14ac:dyDescent="0.15">
      <c r="A1090" s="61" t="s">
        <v>13</v>
      </c>
      <c r="B1090" s="61">
        <v>10000</v>
      </c>
      <c r="C1090" s="61">
        <v>20</v>
      </c>
      <c r="D1090" s="61">
        <v>4.4965000000000002</v>
      </c>
      <c r="E1090" s="61">
        <v>444.791</v>
      </c>
      <c r="F1090" s="61">
        <v>16.439</v>
      </c>
      <c r="G1090" s="61">
        <v>82.192700000000002</v>
      </c>
      <c r="H1090" s="61">
        <v>89.883799999999994</v>
      </c>
    </row>
    <row r="1091" spans="1:8" x14ac:dyDescent="0.15">
      <c r="A1091" s="61" t="s">
        <v>13</v>
      </c>
      <c r="B1091" s="61">
        <v>10005</v>
      </c>
      <c r="C1091" s="61">
        <v>1</v>
      </c>
      <c r="D1091" s="61">
        <v>74.908600000000007</v>
      </c>
      <c r="E1091" s="61">
        <v>26.7393</v>
      </c>
      <c r="F1091" s="61">
        <v>1</v>
      </c>
      <c r="G1091" s="61">
        <v>100</v>
      </c>
      <c r="H1091" s="61">
        <v>78.936999999999998</v>
      </c>
    </row>
    <row r="1092" spans="1:8" x14ac:dyDescent="0.15">
      <c r="A1092" s="61" t="s">
        <v>13</v>
      </c>
      <c r="B1092" s="61">
        <v>10005</v>
      </c>
      <c r="C1092" s="61">
        <v>1</v>
      </c>
      <c r="D1092" s="61">
        <v>73.923599999999993</v>
      </c>
      <c r="E1092" s="61">
        <v>27.095600000000001</v>
      </c>
      <c r="F1092" s="61">
        <v>1.0129999999999999</v>
      </c>
      <c r="G1092" s="61">
        <v>101.33240000000001</v>
      </c>
      <c r="H1092" s="61">
        <v>73.953800000000001</v>
      </c>
    </row>
    <row r="1093" spans="1:8" x14ac:dyDescent="0.15">
      <c r="A1093" s="61" t="s">
        <v>13</v>
      </c>
      <c r="B1093" s="61">
        <v>10005</v>
      </c>
      <c r="C1093" s="61">
        <v>1</v>
      </c>
      <c r="D1093" s="61">
        <v>73.867199999999997</v>
      </c>
      <c r="E1093" s="61">
        <v>27.116299999999999</v>
      </c>
      <c r="F1093" s="61">
        <v>1.014</v>
      </c>
      <c r="G1093" s="61">
        <v>101.4098</v>
      </c>
      <c r="H1093" s="61">
        <v>73.897800000000004</v>
      </c>
    </row>
    <row r="1094" spans="1:8" x14ac:dyDescent="0.15">
      <c r="A1094" s="61" t="s">
        <v>13</v>
      </c>
      <c r="B1094" s="61">
        <v>10005</v>
      </c>
      <c r="C1094" s="61">
        <v>1</v>
      </c>
      <c r="D1094" s="61">
        <v>73.889700000000005</v>
      </c>
      <c r="E1094" s="61">
        <v>27.108000000000001</v>
      </c>
      <c r="F1094" s="61">
        <v>1.014</v>
      </c>
      <c r="G1094" s="61">
        <v>101.3789</v>
      </c>
      <c r="H1094" s="61">
        <v>73.921800000000005</v>
      </c>
    </row>
    <row r="1095" spans="1:8" x14ac:dyDescent="0.15">
      <c r="A1095" s="61" t="s">
        <v>13</v>
      </c>
      <c r="B1095" s="61">
        <v>10005</v>
      </c>
      <c r="C1095" s="61">
        <v>1</v>
      </c>
      <c r="D1095" s="61">
        <v>73.919300000000007</v>
      </c>
      <c r="E1095" s="61">
        <v>27.097200000000001</v>
      </c>
      <c r="F1095" s="61">
        <v>1.0129999999999999</v>
      </c>
      <c r="G1095" s="61">
        <v>101.33839999999999</v>
      </c>
      <c r="H1095" s="61">
        <v>73.949799999999996</v>
      </c>
    </row>
    <row r="1096" spans="1:8" x14ac:dyDescent="0.15">
      <c r="A1096" s="61" t="s">
        <v>13</v>
      </c>
      <c r="B1096" s="61">
        <v>10005</v>
      </c>
      <c r="C1096" s="61">
        <v>1</v>
      </c>
      <c r="D1096" s="61">
        <v>73.873500000000007</v>
      </c>
      <c r="E1096" s="61">
        <v>27.113900000000001</v>
      </c>
      <c r="F1096" s="61">
        <v>1.014</v>
      </c>
      <c r="G1096" s="61">
        <v>101.4011</v>
      </c>
      <c r="H1096" s="61">
        <v>73.904799999999994</v>
      </c>
    </row>
    <row r="1097" spans="1:8" x14ac:dyDescent="0.15">
      <c r="A1097" s="61" t="s">
        <v>13</v>
      </c>
      <c r="B1097" s="61">
        <v>10005</v>
      </c>
      <c r="C1097" s="61">
        <v>19</v>
      </c>
      <c r="D1097" s="61">
        <v>5.0456000000000003</v>
      </c>
      <c r="E1097" s="61">
        <v>396.983</v>
      </c>
      <c r="F1097" s="61">
        <v>14.846</v>
      </c>
      <c r="G1097" s="61">
        <v>78.139099999999999</v>
      </c>
      <c r="H1097" s="61">
        <v>91.0411</v>
      </c>
    </row>
    <row r="1098" spans="1:8" x14ac:dyDescent="0.15">
      <c r="A1098" s="61" t="s">
        <v>13</v>
      </c>
      <c r="B1098" s="61">
        <v>10005</v>
      </c>
      <c r="C1098" s="61">
        <v>19</v>
      </c>
      <c r="D1098" s="61">
        <v>5.0438999999999998</v>
      </c>
      <c r="E1098" s="61">
        <v>397.11750000000001</v>
      </c>
      <c r="F1098" s="61">
        <v>14.851000000000001</v>
      </c>
      <c r="G1098" s="61">
        <v>78.165599999999998</v>
      </c>
      <c r="H1098" s="61">
        <v>91.192099999999996</v>
      </c>
    </row>
    <row r="1099" spans="1:8" x14ac:dyDescent="0.15">
      <c r="A1099" s="61" t="s">
        <v>13</v>
      </c>
      <c r="B1099" s="61">
        <v>10005</v>
      </c>
      <c r="C1099" s="61">
        <v>19</v>
      </c>
      <c r="D1099" s="61">
        <v>5.0396999999999998</v>
      </c>
      <c r="E1099" s="61">
        <v>397.4434</v>
      </c>
      <c r="F1099" s="61">
        <v>14.864000000000001</v>
      </c>
      <c r="G1099" s="61">
        <v>78.229799999999997</v>
      </c>
      <c r="H1099" s="61">
        <v>91.076099999999997</v>
      </c>
    </row>
    <row r="1100" spans="1:8" x14ac:dyDescent="0.15">
      <c r="A1100" s="61" t="s">
        <v>13</v>
      </c>
      <c r="B1100" s="61">
        <v>10005</v>
      </c>
      <c r="C1100" s="61">
        <v>19</v>
      </c>
      <c r="D1100" s="61">
        <v>5.0396000000000001</v>
      </c>
      <c r="E1100" s="61">
        <v>397.45080000000002</v>
      </c>
      <c r="F1100" s="61">
        <v>14.864000000000001</v>
      </c>
      <c r="G1100" s="61">
        <v>78.231200000000001</v>
      </c>
      <c r="H1100" s="61">
        <v>91.037199999999999</v>
      </c>
    </row>
    <row r="1101" spans="1:8" x14ac:dyDescent="0.15">
      <c r="A1101" s="61" t="s">
        <v>13</v>
      </c>
      <c r="B1101" s="61">
        <v>10005</v>
      </c>
      <c r="C1101" s="61">
        <v>19</v>
      </c>
      <c r="D1101" s="61">
        <v>5.0403000000000002</v>
      </c>
      <c r="E1101" s="61">
        <v>397.39620000000002</v>
      </c>
      <c r="F1101" s="61">
        <v>14.862</v>
      </c>
      <c r="G1101" s="61">
        <v>78.220399999999998</v>
      </c>
      <c r="H1101" s="61">
        <v>91.013199999999998</v>
      </c>
    </row>
    <row r="1102" spans="1:8" x14ac:dyDescent="0.15">
      <c r="A1102" s="61" t="s">
        <v>13</v>
      </c>
      <c r="B1102" s="61">
        <v>10005</v>
      </c>
      <c r="C1102" s="61">
        <v>19</v>
      </c>
      <c r="D1102" s="61">
        <v>5.0404999999999998</v>
      </c>
      <c r="E1102" s="61">
        <v>397.38220000000001</v>
      </c>
      <c r="F1102" s="61">
        <v>14.861000000000001</v>
      </c>
      <c r="G1102" s="61">
        <v>78.217699999999994</v>
      </c>
      <c r="H1102" s="61">
        <v>90.978099999999998</v>
      </c>
    </row>
    <row r="1103" spans="1:8" x14ac:dyDescent="0.15">
      <c r="A1103" s="61" t="s">
        <v>13</v>
      </c>
      <c r="B1103" s="61">
        <v>10005</v>
      </c>
      <c r="C1103" s="61">
        <v>19</v>
      </c>
      <c r="D1103" s="61">
        <v>5.0407000000000002</v>
      </c>
      <c r="E1103" s="61">
        <v>397.36649999999997</v>
      </c>
      <c r="F1103" s="61">
        <v>14.861000000000001</v>
      </c>
      <c r="G1103" s="61">
        <v>78.214600000000004</v>
      </c>
      <c r="H1103" s="61">
        <v>91.129199999999997</v>
      </c>
    </row>
    <row r="1104" spans="1:8" x14ac:dyDescent="0.15">
      <c r="A1104" s="61" t="s">
        <v>13</v>
      </c>
      <c r="B1104" s="61">
        <v>10005</v>
      </c>
      <c r="C1104" s="61">
        <v>19</v>
      </c>
      <c r="D1104" s="61">
        <v>5.04</v>
      </c>
      <c r="E1104" s="61">
        <v>397.4194</v>
      </c>
      <c r="F1104" s="61">
        <v>14.863</v>
      </c>
      <c r="G1104" s="61">
        <v>78.224999999999994</v>
      </c>
      <c r="H1104" s="61">
        <v>91.107100000000003</v>
      </c>
    </row>
    <row r="1105" spans="1:8" x14ac:dyDescent="0.15">
      <c r="A1105" s="61" t="s">
        <v>13</v>
      </c>
      <c r="B1105" s="61">
        <v>10005</v>
      </c>
      <c r="C1105" s="61">
        <v>19</v>
      </c>
      <c r="D1105" s="61">
        <v>5.0434000000000001</v>
      </c>
      <c r="E1105" s="61">
        <v>397.15100000000001</v>
      </c>
      <c r="F1105" s="61">
        <v>14.853</v>
      </c>
      <c r="G1105" s="61">
        <v>78.172200000000004</v>
      </c>
      <c r="H1105" s="61">
        <v>91.113</v>
      </c>
    </row>
    <row r="1106" spans="1:8" x14ac:dyDescent="0.15">
      <c r="A1106" s="61" t="s">
        <v>13</v>
      </c>
      <c r="B1106" s="61">
        <v>10005</v>
      </c>
      <c r="C1106" s="61">
        <v>19</v>
      </c>
      <c r="D1106" s="61">
        <v>5.0403000000000002</v>
      </c>
      <c r="E1106" s="61">
        <v>397.39679999999998</v>
      </c>
      <c r="F1106" s="61">
        <v>14.862</v>
      </c>
      <c r="G1106" s="61">
        <v>78.220600000000005</v>
      </c>
      <c r="H1106" s="61">
        <v>91.018199999999993</v>
      </c>
    </row>
    <row r="1107" spans="1:8" x14ac:dyDescent="0.15">
      <c r="A1107" s="61" t="s">
        <v>13</v>
      </c>
      <c r="B1107" s="61">
        <v>10005</v>
      </c>
      <c r="C1107" s="61">
        <v>19</v>
      </c>
      <c r="D1107" s="61">
        <v>5.0414000000000003</v>
      </c>
      <c r="E1107" s="61">
        <v>397.30689999999998</v>
      </c>
      <c r="F1107" s="61">
        <v>14.859</v>
      </c>
      <c r="G1107" s="61">
        <v>78.2029</v>
      </c>
      <c r="H1107" s="61">
        <v>91.001199999999997</v>
      </c>
    </row>
    <row r="1108" spans="1:8" x14ac:dyDescent="0.15">
      <c r="A1108" s="61" t="s">
        <v>13</v>
      </c>
      <c r="B1108" s="61">
        <v>10005</v>
      </c>
      <c r="C1108" s="61">
        <v>19</v>
      </c>
      <c r="D1108" s="61">
        <v>5.0401999999999996</v>
      </c>
      <c r="E1108" s="61">
        <v>397.4015</v>
      </c>
      <c r="F1108" s="61">
        <v>14.862</v>
      </c>
      <c r="G1108" s="61">
        <v>78.221500000000006</v>
      </c>
      <c r="H1108" s="61">
        <v>90.940200000000004</v>
      </c>
    </row>
    <row r="1109" spans="1:8" x14ac:dyDescent="0.15">
      <c r="A1109" s="61" t="s">
        <v>13</v>
      </c>
      <c r="B1109" s="61">
        <v>10005</v>
      </c>
      <c r="C1109" s="61">
        <v>19</v>
      </c>
      <c r="D1109" s="61">
        <v>5.0399000000000003</v>
      </c>
      <c r="E1109" s="61">
        <v>397.42529999999999</v>
      </c>
      <c r="F1109" s="61">
        <v>14.863</v>
      </c>
      <c r="G1109" s="61">
        <v>78.226200000000006</v>
      </c>
      <c r="H1109" s="61">
        <v>91.096199999999996</v>
      </c>
    </row>
    <row r="1110" spans="1:8" x14ac:dyDescent="0.15">
      <c r="A1110" s="61" t="s">
        <v>13</v>
      </c>
      <c r="B1110" s="61">
        <v>10005</v>
      </c>
      <c r="C1110" s="61">
        <v>19</v>
      </c>
      <c r="D1110" s="61">
        <v>5.0400999999999998</v>
      </c>
      <c r="E1110" s="61">
        <v>397.41079999999999</v>
      </c>
      <c r="F1110" s="61">
        <v>14.862</v>
      </c>
      <c r="G1110" s="61">
        <v>78.223299999999995</v>
      </c>
      <c r="H1110" s="61">
        <v>91.054100000000005</v>
      </c>
    </row>
    <row r="1111" spans="1:8" x14ac:dyDescent="0.15">
      <c r="A1111" s="61" t="s">
        <v>13</v>
      </c>
      <c r="B1111" s="61">
        <v>10005</v>
      </c>
      <c r="C1111" s="61">
        <v>19</v>
      </c>
      <c r="D1111" s="61">
        <v>5.0446999999999997</v>
      </c>
      <c r="E1111" s="61">
        <v>397.05110000000002</v>
      </c>
      <c r="F1111" s="61">
        <v>14.849</v>
      </c>
      <c r="G1111" s="61">
        <v>78.152500000000003</v>
      </c>
      <c r="H1111" s="61">
        <v>91.113200000000006</v>
      </c>
    </row>
    <row r="1112" spans="1:8" x14ac:dyDescent="0.15">
      <c r="A1112" s="61" t="s">
        <v>13</v>
      </c>
      <c r="B1112" s="61">
        <v>10005</v>
      </c>
      <c r="C1112" s="61">
        <v>19</v>
      </c>
      <c r="D1112" s="61">
        <v>5.0393999999999997</v>
      </c>
      <c r="E1112" s="61">
        <v>397.46809999999999</v>
      </c>
      <c r="F1112" s="61">
        <v>14.865</v>
      </c>
      <c r="G1112" s="61">
        <v>78.2346</v>
      </c>
      <c r="H1112" s="61">
        <v>90.967200000000005</v>
      </c>
    </row>
    <row r="1113" spans="1:8" x14ac:dyDescent="0.15">
      <c r="A1113" s="61" t="s">
        <v>13</v>
      </c>
      <c r="B1113" s="61">
        <v>10005</v>
      </c>
      <c r="C1113" s="61">
        <v>19</v>
      </c>
      <c r="D1113" s="61">
        <v>5.0429000000000004</v>
      </c>
      <c r="E1113" s="61">
        <v>397.19069999999999</v>
      </c>
      <c r="F1113" s="61">
        <v>14.853999999999999</v>
      </c>
      <c r="G1113" s="61">
        <v>78.180000000000007</v>
      </c>
      <c r="H1113" s="61">
        <v>90.993200000000002</v>
      </c>
    </row>
    <row r="1114" spans="1:8" x14ac:dyDescent="0.15">
      <c r="A1114" s="61" t="s">
        <v>13</v>
      </c>
      <c r="B1114" s="61">
        <v>10005</v>
      </c>
      <c r="C1114" s="61">
        <v>19</v>
      </c>
      <c r="D1114" s="61">
        <v>5.0419</v>
      </c>
      <c r="E1114" s="61">
        <v>397.27229999999997</v>
      </c>
      <c r="F1114" s="61">
        <v>14.856999999999999</v>
      </c>
      <c r="G1114" s="61">
        <v>78.196100000000001</v>
      </c>
      <c r="H1114" s="61">
        <v>91.133200000000002</v>
      </c>
    </row>
    <row r="1115" spans="1:8" x14ac:dyDescent="0.15">
      <c r="A1115" s="61" t="s">
        <v>13</v>
      </c>
      <c r="B1115" s="61">
        <v>10005</v>
      </c>
      <c r="C1115" s="61">
        <v>19</v>
      </c>
      <c r="D1115" s="61">
        <v>5.0415999999999999</v>
      </c>
      <c r="E1115" s="61">
        <v>397.29270000000002</v>
      </c>
      <c r="F1115" s="61">
        <v>14.858000000000001</v>
      </c>
      <c r="G1115" s="61">
        <v>78.200100000000006</v>
      </c>
      <c r="H1115" s="61">
        <v>91.089100000000002</v>
      </c>
    </row>
    <row r="1116" spans="1:8" x14ac:dyDescent="0.15">
      <c r="A1116" s="61" t="s">
        <v>13</v>
      </c>
      <c r="B1116" s="61">
        <v>10005</v>
      </c>
      <c r="C1116" s="61">
        <v>19</v>
      </c>
      <c r="D1116" s="61">
        <v>5.0442</v>
      </c>
      <c r="E1116" s="61">
        <v>397.09280000000001</v>
      </c>
      <c r="F1116" s="61">
        <v>14.851000000000001</v>
      </c>
      <c r="G1116" s="61">
        <v>78.160700000000006</v>
      </c>
      <c r="H1116" s="61">
        <v>91.095200000000006</v>
      </c>
    </row>
    <row r="1117" spans="1:8" x14ac:dyDescent="0.15">
      <c r="A1117" s="61" t="s">
        <v>13</v>
      </c>
      <c r="B1117" s="61">
        <v>10005</v>
      </c>
      <c r="C1117" s="61">
        <v>19</v>
      </c>
      <c r="D1117" s="61">
        <v>5.0438000000000001</v>
      </c>
      <c r="E1117" s="61">
        <v>397.12479999999999</v>
      </c>
      <c r="F1117" s="61">
        <v>14.852</v>
      </c>
      <c r="G1117" s="61">
        <v>78.167000000000002</v>
      </c>
      <c r="H1117" s="61">
        <v>91.034199999999998</v>
      </c>
    </row>
    <row r="1118" spans="1:8" x14ac:dyDescent="0.15">
      <c r="A1118" s="61" t="s">
        <v>13</v>
      </c>
      <c r="B1118" s="61">
        <v>10005</v>
      </c>
      <c r="C1118" s="61">
        <v>19</v>
      </c>
      <c r="D1118" s="61">
        <v>5.0395000000000003</v>
      </c>
      <c r="E1118" s="61">
        <v>397.45979999999997</v>
      </c>
      <c r="F1118" s="61">
        <v>14.864000000000001</v>
      </c>
      <c r="G1118" s="61">
        <v>78.233000000000004</v>
      </c>
      <c r="H1118" s="61">
        <v>90.942099999999996</v>
      </c>
    </row>
    <row r="1119" spans="1:8" x14ac:dyDescent="0.15">
      <c r="A1119" s="61" t="s">
        <v>13</v>
      </c>
      <c r="B1119" s="61">
        <v>10005</v>
      </c>
      <c r="C1119" s="61">
        <v>19</v>
      </c>
      <c r="D1119" s="61">
        <v>5.0410000000000004</v>
      </c>
      <c r="E1119" s="61">
        <v>397.34390000000002</v>
      </c>
      <c r="F1119" s="61">
        <v>14.86</v>
      </c>
      <c r="G1119" s="61">
        <v>78.2102</v>
      </c>
      <c r="H1119" s="61">
        <v>91.120099999999994</v>
      </c>
    </row>
    <row r="1120" spans="1:8" x14ac:dyDescent="0.15">
      <c r="A1120" s="61" t="s">
        <v>13</v>
      </c>
      <c r="B1120" s="61">
        <v>10005</v>
      </c>
      <c r="C1120" s="61">
        <v>19</v>
      </c>
      <c r="D1120" s="61">
        <v>5.0426000000000002</v>
      </c>
      <c r="E1120" s="61">
        <v>397.2183</v>
      </c>
      <c r="F1120" s="61">
        <v>14.855</v>
      </c>
      <c r="G1120" s="61">
        <v>78.185400000000001</v>
      </c>
      <c r="H1120" s="61">
        <v>91.110399999999998</v>
      </c>
    </row>
    <row r="1121" spans="1:8" x14ac:dyDescent="0.15">
      <c r="A1121" s="61" t="s">
        <v>13</v>
      </c>
      <c r="B1121" s="61">
        <v>10005</v>
      </c>
      <c r="C1121" s="61">
        <v>19</v>
      </c>
      <c r="D1121" s="61">
        <v>5.0404</v>
      </c>
      <c r="E1121" s="61">
        <v>397.38589999999999</v>
      </c>
      <c r="F1121" s="61">
        <v>14.862</v>
      </c>
      <c r="G1121" s="61">
        <v>78.218400000000003</v>
      </c>
      <c r="H1121" s="61">
        <v>91.03</v>
      </c>
    </row>
    <row r="1122" spans="1:8" x14ac:dyDescent="0.15">
      <c r="A1122" s="61" t="s">
        <v>13</v>
      </c>
      <c r="B1122" s="61">
        <v>10005</v>
      </c>
      <c r="C1122" s="61">
        <v>19</v>
      </c>
      <c r="D1122" s="61">
        <v>5.0396999999999998</v>
      </c>
      <c r="E1122" s="61">
        <v>397.44400000000002</v>
      </c>
      <c r="F1122" s="61">
        <v>14.864000000000001</v>
      </c>
      <c r="G1122" s="61">
        <v>78.229900000000001</v>
      </c>
      <c r="H1122" s="61">
        <v>90.979200000000006</v>
      </c>
    </row>
    <row r="1123" spans="1:8" x14ac:dyDescent="0.15">
      <c r="A1123" s="61" t="s">
        <v>13</v>
      </c>
      <c r="B1123" s="61">
        <v>10005</v>
      </c>
      <c r="C1123" s="61">
        <v>19</v>
      </c>
      <c r="D1123" s="61">
        <v>5.0414000000000003</v>
      </c>
      <c r="E1123" s="61">
        <v>397.31270000000001</v>
      </c>
      <c r="F1123" s="61">
        <v>14.859</v>
      </c>
      <c r="G1123" s="61">
        <v>78.203999999999994</v>
      </c>
      <c r="H1123" s="61">
        <v>90.973100000000002</v>
      </c>
    </row>
    <row r="1124" spans="1:8" x14ac:dyDescent="0.15">
      <c r="A1124" s="61" t="s">
        <v>13</v>
      </c>
      <c r="B1124" s="61">
        <v>10005</v>
      </c>
      <c r="C1124" s="61">
        <v>19</v>
      </c>
      <c r="D1124" s="61">
        <v>5.0399000000000003</v>
      </c>
      <c r="E1124" s="61">
        <v>397.42770000000002</v>
      </c>
      <c r="F1124" s="61">
        <v>14.863</v>
      </c>
      <c r="G1124" s="61">
        <v>78.226699999999994</v>
      </c>
      <c r="H1124" s="61">
        <v>91.105199999999996</v>
      </c>
    </row>
    <row r="1125" spans="1:8" x14ac:dyDescent="0.15">
      <c r="A1125" s="61" t="s">
        <v>13</v>
      </c>
      <c r="B1125" s="61">
        <v>10005</v>
      </c>
      <c r="C1125" s="61">
        <v>19</v>
      </c>
      <c r="D1125" s="61">
        <v>5.0439999999999996</v>
      </c>
      <c r="E1125" s="61">
        <v>397.10449999999997</v>
      </c>
      <c r="F1125" s="61">
        <v>14.851000000000001</v>
      </c>
      <c r="G1125" s="61">
        <v>78.162999999999997</v>
      </c>
      <c r="H1125" s="61">
        <v>91.142099999999999</v>
      </c>
    </row>
    <row r="1126" spans="1:8" x14ac:dyDescent="0.15">
      <c r="A1126" s="61" t="s">
        <v>13</v>
      </c>
      <c r="B1126" s="61">
        <v>10005</v>
      </c>
      <c r="C1126" s="61">
        <v>19</v>
      </c>
      <c r="D1126" s="61">
        <v>5.0389999999999997</v>
      </c>
      <c r="E1126" s="61">
        <v>397.49930000000001</v>
      </c>
      <c r="F1126" s="61">
        <v>14.866</v>
      </c>
      <c r="G1126" s="61">
        <v>78.240700000000004</v>
      </c>
      <c r="H1126" s="61">
        <v>91.010300000000001</v>
      </c>
    </row>
    <row r="1127" spans="1:8" x14ac:dyDescent="0.15">
      <c r="A1127" s="61" t="s">
        <v>13</v>
      </c>
      <c r="B1127" s="61">
        <v>10005</v>
      </c>
      <c r="C1127" s="61">
        <v>19</v>
      </c>
      <c r="D1127" s="61">
        <v>5.0410000000000004</v>
      </c>
      <c r="E1127" s="61">
        <v>397.34460000000001</v>
      </c>
      <c r="F1127" s="61">
        <v>14.86</v>
      </c>
      <c r="G1127" s="61">
        <v>78.210300000000004</v>
      </c>
      <c r="H1127" s="61">
        <v>91.008099999999999</v>
      </c>
    </row>
    <row r="1128" spans="1:8" x14ac:dyDescent="0.15">
      <c r="A1128" s="61" t="s">
        <v>13</v>
      </c>
      <c r="B1128" s="61">
        <v>10005</v>
      </c>
      <c r="C1128" s="61">
        <v>19</v>
      </c>
      <c r="D1128" s="61">
        <v>5.0393999999999997</v>
      </c>
      <c r="E1128" s="61">
        <v>397.46890000000002</v>
      </c>
      <c r="F1128" s="61">
        <v>14.865</v>
      </c>
      <c r="G1128" s="61">
        <v>78.234800000000007</v>
      </c>
      <c r="H1128" s="61">
        <v>90.941199999999995</v>
      </c>
    </row>
    <row r="1129" spans="1:8" x14ac:dyDescent="0.15">
      <c r="A1129" s="61" t="s">
        <v>13</v>
      </c>
      <c r="B1129" s="61">
        <v>10005</v>
      </c>
      <c r="C1129" s="61">
        <v>19</v>
      </c>
      <c r="D1129" s="61">
        <v>5.0400999999999998</v>
      </c>
      <c r="E1129" s="61">
        <v>397.41030000000001</v>
      </c>
      <c r="F1129" s="61">
        <v>14.862</v>
      </c>
      <c r="G1129" s="61">
        <v>78.223200000000006</v>
      </c>
      <c r="H1129" s="61">
        <v>91.116200000000006</v>
      </c>
    </row>
    <row r="1130" spans="1:8" x14ac:dyDescent="0.15">
      <c r="A1130" s="61" t="s">
        <v>13</v>
      </c>
      <c r="B1130" s="61">
        <v>10005</v>
      </c>
      <c r="C1130" s="61">
        <v>19</v>
      </c>
      <c r="D1130" s="61">
        <v>5.0392000000000001</v>
      </c>
      <c r="E1130" s="61">
        <v>397.48219999999998</v>
      </c>
      <c r="F1130" s="61">
        <v>14.865</v>
      </c>
      <c r="G1130" s="61">
        <v>78.237399999999994</v>
      </c>
      <c r="H1130" s="61">
        <v>91.061999999999998</v>
      </c>
    </row>
    <row r="1131" spans="1:8" x14ac:dyDescent="0.15">
      <c r="A1131" s="61" t="s">
        <v>13</v>
      </c>
      <c r="B1131" s="61">
        <v>10005</v>
      </c>
      <c r="C1131" s="61">
        <v>19</v>
      </c>
      <c r="D1131" s="61">
        <v>5.0395000000000003</v>
      </c>
      <c r="E1131" s="61">
        <v>397.46249999999998</v>
      </c>
      <c r="F1131" s="61">
        <v>14.864000000000001</v>
      </c>
      <c r="G1131" s="61">
        <v>78.233500000000006</v>
      </c>
      <c r="H1131" s="61">
        <v>91.029300000000006</v>
      </c>
    </row>
    <row r="1132" spans="1:8" x14ac:dyDescent="0.15">
      <c r="A1132" s="61" t="s">
        <v>13</v>
      </c>
      <c r="B1132" s="61">
        <v>10005</v>
      </c>
      <c r="C1132" s="61">
        <v>19</v>
      </c>
      <c r="D1132" s="61">
        <v>5.04</v>
      </c>
      <c r="E1132" s="61">
        <v>397.41829999999999</v>
      </c>
      <c r="F1132" s="61">
        <v>14.863</v>
      </c>
      <c r="G1132" s="61">
        <v>78.224800000000002</v>
      </c>
      <c r="H1132" s="61">
        <v>91.000200000000007</v>
      </c>
    </row>
    <row r="1133" spans="1:8" x14ac:dyDescent="0.15">
      <c r="A1133" s="61" t="s">
        <v>13</v>
      </c>
      <c r="B1133" s="61">
        <v>10005</v>
      </c>
      <c r="C1133" s="61">
        <v>19</v>
      </c>
      <c r="D1133" s="61">
        <v>5.0442</v>
      </c>
      <c r="E1133" s="61">
        <v>397.0872</v>
      </c>
      <c r="F1133" s="61">
        <v>14.85</v>
      </c>
      <c r="G1133" s="61">
        <v>78.159599999999998</v>
      </c>
      <c r="H1133" s="61">
        <v>91.04</v>
      </c>
    </row>
    <row r="1134" spans="1:8" x14ac:dyDescent="0.15">
      <c r="A1134" s="61" t="s">
        <v>13</v>
      </c>
      <c r="B1134" s="61">
        <v>10005</v>
      </c>
      <c r="C1134" s="61">
        <v>19</v>
      </c>
      <c r="D1134" s="61">
        <v>5.0400999999999998</v>
      </c>
      <c r="E1134" s="61">
        <v>397.41370000000001</v>
      </c>
      <c r="F1134" s="61">
        <v>14.863</v>
      </c>
      <c r="G1134" s="61">
        <v>78.2239</v>
      </c>
      <c r="H1134" s="61">
        <v>91.118200000000002</v>
      </c>
    </row>
    <row r="1135" spans="1:8" x14ac:dyDescent="0.15">
      <c r="A1135" s="61" t="s">
        <v>13</v>
      </c>
      <c r="B1135" s="61">
        <v>10005</v>
      </c>
      <c r="C1135" s="61">
        <v>19</v>
      </c>
      <c r="D1135" s="61">
        <v>5.0392999999999999</v>
      </c>
      <c r="E1135" s="61">
        <v>397.47539999999998</v>
      </c>
      <c r="F1135" s="61">
        <v>14.865</v>
      </c>
      <c r="G1135" s="61">
        <v>78.236000000000004</v>
      </c>
      <c r="H1135" s="61">
        <v>91.075199999999995</v>
      </c>
    </row>
    <row r="1136" spans="1:8" x14ac:dyDescent="0.15">
      <c r="A1136" s="61" t="s">
        <v>13</v>
      </c>
      <c r="B1136" s="61">
        <v>10005</v>
      </c>
      <c r="C1136" s="61">
        <v>19</v>
      </c>
      <c r="D1136" s="61">
        <v>5.0399000000000003</v>
      </c>
      <c r="E1136" s="61">
        <v>397.43209999999999</v>
      </c>
      <c r="F1136" s="61">
        <v>14.863</v>
      </c>
      <c r="G1136" s="61">
        <v>78.227500000000006</v>
      </c>
      <c r="H1136" s="61">
        <v>91.043199999999999</v>
      </c>
    </row>
    <row r="1137" spans="1:8" x14ac:dyDescent="0.15">
      <c r="A1137" s="61" t="s">
        <v>13</v>
      </c>
      <c r="B1137" s="61">
        <v>10005</v>
      </c>
      <c r="C1137" s="61">
        <v>19</v>
      </c>
      <c r="D1137" s="61">
        <v>5.0389999999999997</v>
      </c>
      <c r="E1137" s="61">
        <v>397.49790000000002</v>
      </c>
      <c r="F1137" s="61">
        <v>14.866</v>
      </c>
      <c r="G1137" s="61">
        <v>78.240499999999997</v>
      </c>
      <c r="H1137" s="61">
        <v>90.991</v>
      </c>
    </row>
    <row r="1138" spans="1:8" x14ac:dyDescent="0.15">
      <c r="A1138" s="61" t="s">
        <v>13</v>
      </c>
      <c r="B1138" s="61">
        <v>10005</v>
      </c>
      <c r="C1138" s="61">
        <v>19</v>
      </c>
      <c r="D1138" s="61">
        <v>5.0438000000000001</v>
      </c>
      <c r="E1138" s="61">
        <v>397.12060000000002</v>
      </c>
      <c r="F1138" s="61">
        <v>14.852</v>
      </c>
      <c r="G1138" s="61">
        <v>78.166200000000003</v>
      </c>
      <c r="H1138" s="61">
        <v>91.037099999999995</v>
      </c>
    </row>
    <row r="1139" spans="1:8" x14ac:dyDescent="0.15">
      <c r="A1139" s="61" t="s">
        <v>13</v>
      </c>
      <c r="B1139" s="61">
        <v>10005</v>
      </c>
      <c r="C1139" s="61">
        <v>19</v>
      </c>
      <c r="D1139" s="61">
        <v>5.0403000000000002</v>
      </c>
      <c r="E1139" s="61">
        <v>397.4006</v>
      </c>
      <c r="F1139" s="61">
        <v>14.862</v>
      </c>
      <c r="G1139" s="61">
        <v>78.221299999999999</v>
      </c>
      <c r="H1139" s="61">
        <v>91.133300000000006</v>
      </c>
    </row>
    <row r="1140" spans="1:8" x14ac:dyDescent="0.15">
      <c r="A1140" s="61" t="s">
        <v>13</v>
      </c>
      <c r="B1140" s="61">
        <v>10005</v>
      </c>
      <c r="C1140" s="61">
        <v>19</v>
      </c>
      <c r="D1140" s="61">
        <v>5.0389999999999997</v>
      </c>
      <c r="E1140" s="61">
        <v>397.49630000000002</v>
      </c>
      <c r="F1140" s="61">
        <v>14.866</v>
      </c>
      <c r="G1140" s="61">
        <v>78.240200000000002</v>
      </c>
      <c r="H1140" s="61">
        <v>91.071299999999994</v>
      </c>
    </row>
    <row r="1141" spans="1:8" x14ac:dyDescent="0.15">
      <c r="A1141" s="61" t="s">
        <v>13</v>
      </c>
      <c r="B1141" s="61">
        <v>10005</v>
      </c>
      <c r="C1141" s="61">
        <v>19</v>
      </c>
      <c r="D1141" s="61">
        <v>5.0434999999999999</v>
      </c>
      <c r="E1141" s="61">
        <v>397.14409999999998</v>
      </c>
      <c r="F1141" s="61">
        <v>14.852</v>
      </c>
      <c r="G1141" s="61">
        <v>78.1708</v>
      </c>
      <c r="H1141" s="61">
        <v>91.1143</v>
      </c>
    </row>
    <row r="1142" spans="1:8" x14ac:dyDescent="0.15">
      <c r="A1142" s="61" t="s">
        <v>13</v>
      </c>
      <c r="B1142" s="61">
        <v>10005</v>
      </c>
      <c r="C1142" s="61">
        <v>19</v>
      </c>
      <c r="D1142" s="61">
        <v>5.0384000000000002</v>
      </c>
      <c r="E1142" s="61">
        <v>397.5498</v>
      </c>
      <c r="F1142" s="61">
        <v>14.868</v>
      </c>
      <c r="G1142" s="61">
        <v>78.250699999999995</v>
      </c>
      <c r="H1142" s="61">
        <v>90.984899999999996</v>
      </c>
    </row>
    <row r="1143" spans="1:8" x14ac:dyDescent="0.15">
      <c r="A1143" s="61" t="s">
        <v>13</v>
      </c>
      <c r="B1143" s="61">
        <v>10005</v>
      </c>
      <c r="C1143" s="61">
        <v>19</v>
      </c>
      <c r="D1143" s="61">
        <v>5.0396999999999998</v>
      </c>
      <c r="E1143" s="61">
        <v>397.44189999999998</v>
      </c>
      <c r="F1143" s="61">
        <v>14.864000000000001</v>
      </c>
      <c r="G1143" s="61">
        <v>78.229399999999998</v>
      </c>
      <c r="H1143" s="61">
        <v>90.971199999999996</v>
      </c>
    </row>
    <row r="1144" spans="1:8" x14ac:dyDescent="0.15">
      <c r="A1144" s="61" t="s">
        <v>13</v>
      </c>
      <c r="B1144" s="61">
        <v>10005</v>
      </c>
      <c r="C1144" s="61">
        <v>19</v>
      </c>
      <c r="D1144" s="61">
        <v>5.0392000000000001</v>
      </c>
      <c r="E1144" s="61">
        <v>397.48230000000001</v>
      </c>
      <c r="F1144" s="61">
        <v>14.865</v>
      </c>
      <c r="G1144" s="61">
        <v>78.237399999999994</v>
      </c>
      <c r="H1144" s="61">
        <v>90.923299999999998</v>
      </c>
    </row>
    <row r="1145" spans="1:8" x14ac:dyDescent="0.15">
      <c r="A1145" s="61" t="s">
        <v>13</v>
      </c>
      <c r="B1145" s="61">
        <v>10005</v>
      </c>
      <c r="C1145" s="61">
        <v>19</v>
      </c>
      <c r="D1145" s="61">
        <v>5.0397999999999996</v>
      </c>
      <c r="E1145" s="61">
        <v>397.43740000000003</v>
      </c>
      <c r="F1145" s="61">
        <v>14.863</v>
      </c>
      <c r="G1145" s="61">
        <v>78.2286</v>
      </c>
      <c r="H1145" s="61">
        <v>91.095200000000006</v>
      </c>
    </row>
    <row r="1146" spans="1:8" x14ac:dyDescent="0.15">
      <c r="A1146" s="61" t="s">
        <v>13</v>
      </c>
      <c r="B1146" s="61">
        <v>10005</v>
      </c>
      <c r="C1146" s="61">
        <v>19</v>
      </c>
      <c r="D1146" s="61">
        <v>5.0388000000000002</v>
      </c>
      <c r="E1146" s="61">
        <v>397.51560000000001</v>
      </c>
      <c r="F1146" s="61">
        <v>14.866</v>
      </c>
      <c r="G1146" s="61">
        <v>78.244</v>
      </c>
      <c r="H1146" s="61">
        <v>91.039100000000005</v>
      </c>
    </row>
    <row r="1147" spans="1:8" x14ac:dyDescent="0.15">
      <c r="A1147" s="61" t="s">
        <v>13</v>
      </c>
      <c r="B1147" s="61">
        <v>10005</v>
      </c>
      <c r="C1147" s="61">
        <v>19</v>
      </c>
      <c r="D1147" s="61">
        <v>5.0400999999999998</v>
      </c>
      <c r="E1147" s="61">
        <v>397.41609999999997</v>
      </c>
      <c r="F1147" s="61">
        <v>14.863</v>
      </c>
      <c r="G1147" s="61">
        <v>78.224400000000003</v>
      </c>
      <c r="H1147" s="61">
        <v>91.026399999999995</v>
      </c>
    </row>
    <row r="1148" spans="1:8" x14ac:dyDescent="0.15">
      <c r="A1148" s="61" t="s">
        <v>13</v>
      </c>
      <c r="B1148" s="61">
        <v>10005</v>
      </c>
      <c r="C1148" s="61">
        <v>20</v>
      </c>
      <c r="D1148" s="61">
        <v>4.4494999999999996</v>
      </c>
      <c r="E1148" s="61">
        <v>450.16219999999998</v>
      </c>
      <c r="F1148" s="61">
        <v>16.835000000000001</v>
      </c>
      <c r="G1148" s="61">
        <v>84.176199999999994</v>
      </c>
      <c r="H1148" s="61">
        <v>88.9512</v>
      </c>
    </row>
    <row r="1149" spans="1:8" x14ac:dyDescent="0.15">
      <c r="A1149" s="61" t="s">
        <v>13</v>
      </c>
      <c r="B1149" s="61">
        <v>10005</v>
      </c>
      <c r="C1149" s="61">
        <v>20</v>
      </c>
      <c r="D1149" s="61">
        <v>4.4253</v>
      </c>
      <c r="E1149" s="61">
        <v>452.6216</v>
      </c>
      <c r="F1149" s="61">
        <v>16.927</v>
      </c>
      <c r="G1149" s="61">
        <v>84.636099999999999</v>
      </c>
      <c r="H1149" s="61">
        <v>88.481899999999996</v>
      </c>
    </row>
    <row r="1150" spans="1:8" x14ac:dyDescent="0.15">
      <c r="A1150" s="61" t="s">
        <v>13</v>
      </c>
      <c r="B1150" s="61">
        <v>10005</v>
      </c>
      <c r="C1150" s="61">
        <v>20</v>
      </c>
      <c r="D1150" s="61">
        <v>4.4847999999999999</v>
      </c>
      <c r="E1150" s="61">
        <v>446.61950000000002</v>
      </c>
      <c r="F1150" s="61">
        <v>16.702999999999999</v>
      </c>
      <c r="G1150" s="61">
        <v>83.5137</v>
      </c>
      <c r="H1150" s="61">
        <v>89.608400000000003</v>
      </c>
    </row>
    <row r="1151" spans="1:8" x14ac:dyDescent="0.15">
      <c r="A1151" s="61" t="s">
        <v>13</v>
      </c>
      <c r="B1151" s="61">
        <v>10005</v>
      </c>
      <c r="C1151" s="61">
        <v>20</v>
      </c>
      <c r="D1151" s="61">
        <v>4.4954000000000001</v>
      </c>
      <c r="E1151" s="61">
        <v>445.57010000000002</v>
      </c>
      <c r="F1151" s="61">
        <v>16.664000000000001</v>
      </c>
      <c r="G1151" s="61">
        <v>83.317499999999995</v>
      </c>
      <c r="H1151" s="61">
        <v>89.883300000000006</v>
      </c>
    </row>
    <row r="1152" spans="1:8" x14ac:dyDescent="0.15">
      <c r="A1152" s="61" t="s">
        <v>13</v>
      </c>
      <c r="B1152" s="61">
        <v>10005</v>
      </c>
      <c r="C1152" s="61">
        <v>20</v>
      </c>
      <c r="D1152" s="61">
        <v>4.4957000000000003</v>
      </c>
      <c r="E1152" s="61">
        <v>445.53370000000001</v>
      </c>
      <c r="F1152" s="61">
        <v>16.661999999999999</v>
      </c>
      <c r="G1152" s="61">
        <v>83.310699999999997</v>
      </c>
      <c r="H1152" s="61">
        <v>89.897000000000006</v>
      </c>
    </row>
    <row r="1153" spans="1:8" x14ac:dyDescent="0.15">
      <c r="A1153" s="61" t="s">
        <v>13</v>
      </c>
      <c r="B1153" s="61">
        <v>10005</v>
      </c>
      <c r="C1153" s="61">
        <v>20</v>
      </c>
      <c r="D1153" s="61">
        <v>4.5002000000000004</v>
      </c>
      <c r="E1153" s="61">
        <v>445.08980000000003</v>
      </c>
      <c r="F1153" s="61">
        <v>16.646000000000001</v>
      </c>
      <c r="G1153" s="61">
        <v>83.227699999999999</v>
      </c>
      <c r="H1153" s="61">
        <v>89.974599999999995</v>
      </c>
    </row>
    <row r="1154" spans="1:8" x14ac:dyDescent="0.15">
      <c r="A1154" s="61" t="s">
        <v>13</v>
      </c>
      <c r="B1154" s="61">
        <v>10005</v>
      </c>
      <c r="C1154" s="61">
        <v>20</v>
      </c>
      <c r="D1154" s="61">
        <v>4.508</v>
      </c>
      <c r="E1154" s="61">
        <v>444.3254</v>
      </c>
      <c r="F1154" s="61">
        <v>16.617000000000001</v>
      </c>
      <c r="G1154" s="61">
        <v>83.084800000000001</v>
      </c>
      <c r="H1154" s="61">
        <v>90.130399999999995</v>
      </c>
    </row>
    <row r="1155" spans="1:8" x14ac:dyDescent="0.15">
      <c r="A1155" s="61" t="s">
        <v>13</v>
      </c>
      <c r="B1155" s="61">
        <v>10005</v>
      </c>
      <c r="C1155" s="61">
        <v>20</v>
      </c>
      <c r="D1155" s="61">
        <v>4.5125999999999999</v>
      </c>
      <c r="E1155" s="61">
        <v>443.86450000000002</v>
      </c>
      <c r="F1155" s="61">
        <v>16.600000000000001</v>
      </c>
      <c r="G1155" s="61">
        <v>82.998599999999996</v>
      </c>
      <c r="H1155" s="61">
        <v>90.203100000000006</v>
      </c>
    </row>
    <row r="1156" spans="1:8" x14ac:dyDescent="0.15">
      <c r="A1156" s="61" t="s">
        <v>13</v>
      </c>
      <c r="B1156" s="61">
        <v>10005</v>
      </c>
      <c r="C1156" s="61">
        <v>20</v>
      </c>
      <c r="D1156" s="61">
        <v>4.5008999999999997</v>
      </c>
      <c r="E1156" s="61">
        <v>445.02289999999999</v>
      </c>
      <c r="F1156" s="61">
        <v>16.643000000000001</v>
      </c>
      <c r="G1156" s="61">
        <v>83.215199999999996</v>
      </c>
      <c r="H1156" s="61">
        <v>89.978499999999997</v>
      </c>
    </row>
    <row r="1157" spans="1:8" x14ac:dyDescent="0.15">
      <c r="A1157" s="61" t="s">
        <v>13</v>
      </c>
      <c r="B1157" s="61">
        <v>10005</v>
      </c>
      <c r="C1157" s="61">
        <v>20</v>
      </c>
      <c r="D1157" s="61">
        <v>4.5068000000000001</v>
      </c>
      <c r="E1157" s="61">
        <v>444.44049999999999</v>
      </c>
      <c r="F1157" s="61">
        <v>16.620999999999999</v>
      </c>
      <c r="G1157" s="61">
        <v>83.106300000000005</v>
      </c>
      <c r="H1157" s="61">
        <v>90.109899999999996</v>
      </c>
    </row>
    <row r="1158" spans="1:8" x14ac:dyDescent="0.15">
      <c r="A1158" s="61" t="s">
        <v>13</v>
      </c>
      <c r="B1158" s="61">
        <v>10005</v>
      </c>
      <c r="C1158" s="61">
        <v>20</v>
      </c>
      <c r="D1158" s="61">
        <v>4.5014000000000003</v>
      </c>
      <c r="E1158" s="61">
        <v>444.97340000000003</v>
      </c>
      <c r="F1158" s="61">
        <v>16.640999999999998</v>
      </c>
      <c r="G1158" s="61">
        <v>83.2059</v>
      </c>
      <c r="H1158" s="61">
        <v>90.004900000000006</v>
      </c>
    </row>
    <row r="1159" spans="1:8" x14ac:dyDescent="0.15">
      <c r="A1159" s="61" t="s">
        <v>13</v>
      </c>
      <c r="B1159" s="61">
        <v>10005</v>
      </c>
      <c r="C1159" s="61">
        <v>20</v>
      </c>
      <c r="D1159" s="61">
        <v>4.5026999999999999</v>
      </c>
      <c r="E1159" s="61">
        <v>444.84699999999998</v>
      </c>
      <c r="F1159" s="61">
        <v>16.635999999999999</v>
      </c>
      <c r="G1159" s="61">
        <v>83.182299999999998</v>
      </c>
      <c r="H1159" s="61">
        <v>90.028300000000002</v>
      </c>
    </row>
    <row r="1160" spans="1:8" x14ac:dyDescent="0.15">
      <c r="A1160" s="61" t="s">
        <v>13</v>
      </c>
      <c r="B1160" s="61">
        <v>10005</v>
      </c>
      <c r="C1160" s="61">
        <v>20</v>
      </c>
      <c r="D1160" s="61">
        <v>4.5087000000000002</v>
      </c>
      <c r="E1160" s="61">
        <v>444.25360000000001</v>
      </c>
      <c r="F1160" s="61">
        <v>16.614000000000001</v>
      </c>
      <c r="G1160" s="61">
        <v>83.071299999999994</v>
      </c>
      <c r="H1160" s="61">
        <v>90.139600000000002</v>
      </c>
    </row>
    <row r="1161" spans="1:8" x14ac:dyDescent="0.15">
      <c r="A1161" s="61" t="s">
        <v>13</v>
      </c>
      <c r="B1161" s="61">
        <v>10005</v>
      </c>
      <c r="C1161" s="61">
        <v>20</v>
      </c>
      <c r="D1161" s="61">
        <v>4.5076999999999998</v>
      </c>
      <c r="E1161" s="61">
        <v>444.35509999999999</v>
      </c>
      <c r="F1161" s="61">
        <v>16.617999999999999</v>
      </c>
      <c r="G1161" s="61">
        <v>83.090299999999999</v>
      </c>
      <c r="H1161" s="61">
        <v>90.121099999999998</v>
      </c>
    </row>
    <row r="1162" spans="1:8" x14ac:dyDescent="0.15">
      <c r="A1162" s="61" t="s">
        <v>13</v>
      </c>
      <c r="B1162" s="61">
        <v>10005</v>
      </c>
      <c r="C1162" s="61">
        <v>20</v>
      </c>
      <c r="D1162" s="61">
        <v>4.4942000000000002</v>
      </c>
      <c r="E1162" s="61">
        <v>445.68549999999999</v>
      </c>
      <c r="F1162" s="61">
        <v>16.667999999999999</v>
      </c>
      <c r="G1162" s="61">
        <v>83.339100000000002</v>
      </c>
      <c r="H1162" s="61">
        <v>89.883300000000006</v>
      </c>
    </row>
    <row r="1163" spans="1:8" x14ac:dyDescent="0.15">
      <c r="A1163" s="61" t="s">
        <v>13</v>
      </c>
      <c r="B1163" s="61">
        <v>10005</v>
      </c>
      <c r="C1163" s="61">
        <v>20</v>
      </c>
      <c r="D1163" s="61">
        <v>4.5068999999999999</v>
      </c>
      <c r="E1163" s="61">
        <v>444.43130000000002</v>
      </c>
      <c r="F1163" s="61">
        <v>16.620999999999999</v>
      </c>
      <c r="G1163" s="61">
        <v>83.104600000000005</v>
      </c>
      <c r="H1163" s="61">
        <v>90.095200000000006</v>
      </c>
    </row>
    <row r="1164" spans="1:8" x14ac:dyDescent="0.15">
      <c r="A1164" s="61" t="s">
        <v>13</v>
      </c>
      <c r="B1164" s="61">
        <v>10005</v>
      </c>
      <c r="C1164" s="61">
        <v>20</v>
      </c>
      <c r="D1164" s="61">
        <v>4.5094000000000003</v>
      </c>
      <c r="E1164" s="61">
        <v>444.17930000000001</v>
      </c>
      <c r="F1164" s="61">
        <v>16.611000000000001</v>
      </c>
      <c r="G1164" s="61">
        <v>83.057400000000001</v>
      </c>
      <c r="H1164" s="61">
        <v>90.157700000000006</v>
      </c>
    </row>
    <row r="1165" spans="1:8" x14ac:dyDescent="0.15">
      <c r="A1165" s="61" t="s">
        <v>13</v>
      </c>
      <c r="B1165" s="61">
        <v>10005</v>
      </c>
      <c r="C1165" s="61">
        <v>20</v>
      </c>
      <c r="D1165" s="61">
        <v>4.5514000000000001</v>
      </c>
      <c r="E1165" s="61">
        <v>440.08600000000001</v>
      </c>
      <c r="F1165" s="61">
        <v>16.457999999999998</v>
      </c>
      <c r="G1165" s="61">
        <v>82.292000000000002</v>
      </c>
      <c r="H1165" s="61">
        <v>90.880899999999997</v>
      </c>
    </row>
    <row r="1166" spans="1:8" x14ac:dyDescent="0.15">
      <c r="A1166" s="61" t="s">
        <v>13</v>
      </c>
      <c r="B1166" s="61">
        <v>10005</v>
      </c>
      <c r="C1166" s="61">
        <v>20</v>
      </c>
      <c r="D1166" s="61">
        <v>4.4974999999999996</v>
      </c>
      <c r="E1166" s="61">
        <v>445.3612</v>
      </c>
      <c r="F1166" s="61">
        <v>16.655999999999999</v>
      </c>
      <c r="G1166" s="61">
        <v>83.278400000000005</v>
      </c>
      <c r="H1166" s="61">
        <v>89.925299999999993</v>
      </c>
    </row>
    <row r="1167" spans="1:8" x14ac:dyDescent="0.15">
      <c r="A1167" s="61" t="s">
        <v>13</v>
      </c>
      <c r="B1167" s="61">
        <v>10005</v>
      </c>
      <c r="C1167" s="61">
        <v>20</v>
      </c>
      <c r="D1167" s="61">
        <v>4.508</v>
      </c>
      <c r="E1167" s="61">
        <v>444.32569999999998</v>
      </c>
      <c r="F1167" s="61">
        <v>16.617000000000001</v>
      </c>
      <c r="G1167" s="61">
        <v>83.084800000000001</v>
      </c>
      <c r="H1167" s="61">
        <v>90.1357</v>
      </c>
    </row>
    <row r="1168" spans="1:8" x14ac:dyDescent="0.15">
      <c r="A1168" s="61" t="s">
        <v>13</v>
      </c>
      <c r="B1168" s="61">
        <v>10005</v>
      </c>
      <c r="C1168" s="61">
        <v>20</v>
      </c>
      <c r="D1168" s="61">
        <v>4.5054999999999996</v>
      </c>
      <c r="E1168" s="61">
        <v>444.56580000000002</v>
      </c>
      <c r="F1168" s="61">
        <v>16.626000000000001</v>
      </c>
      <c r="G1168" s="61">
        <v>83.1297</v>
      </c>
      <c r="H1168" s="61">
        <v>90.065899999999999</v>
      </c>
    </row>
    <row r="1169" spans="1:8" x14ac:dyDescent="0.15">
      <c r="A1169" s="61" t="s">
        <v>13</v>
      </c>
      <c r="B1169" s="61">
        <v>10005</v>
      </c>
      <c r="C1169" s="61">
        <v>20</v>
      </c>
      <c r="D1169" s="61">
        <v>4.5</v>
      </c>
      <c r="E1169" s="61">
        <v>445.11040000000003</v>
      </c>
      <c r="F1169" s="61">
        <v>16.646000000000001</v>
      </c>
      <c r="G1169" s="61">
        <v>83.231499999999997</v>
      </c>
      <c r="H1169" s="61">
        <v>89.976600000000005</v>
      </c>
    </row>
    <row r="1170" spans="1:8" x14ac:dyDescent="0.15">
      <c r="A1170" s="61" t="s">
        <v>13</v>
      </c>
      <c r="B1170" s="61">
        <v>10005</v>
      </c>
      <c r="C1170" s="61">
        <v>20</v>
      </c>
      <c r="D1170" s="61">
        <v>4.5073999999999996</v>
      </c>
      <c r="E1170" s="61">
        <v>444.3759</v>
      </c>
      <c r="F1170" s="61">
        <v>16.619</v>
      </c>
      <c r="G1170" s="61">
        <v>83.094200000000001</v>
      </c>
      <c r="H1170" s="61">
        <v>90.116200000000006</v>
      </c>
    </row>
    <row r="1171" spans="1:8" x14ac:dyDescent="0.15">
      <c r="A1171" s="61" t="s">
        <v>13</v>
      </c>
      <c r="B1171" s="61">
        <v>10005</v>
      </c>
      <c r="C1171" s="61">
        <v>20</v>
      </c>
      <c r="D1171" s="61">
        <v>4.5042999999999997</v>
      </c>
      <c r="E1171" s="61">
        <v>444.6823</v>
      </c>
      <c r="F1171" s="61">
        <v>16.63</v>
      </c>
      <c r="G1171" s="61">
        <v>83.151499999999999</v>
      </c>
      <c r="H1171" s="61">
        <v>90.0625</v>
      </c>
    </row>
    <row r="1172" spans="1:8" x14ac:dyDescent="0.15">
      <c r="A1172" s="61" t="s">
        <v>13</v>
      </c>
      <c r="B1172" s="61">
        <v>10005</v>
      </c>
      <c r="C1172" s="61">
        <v>20</v>
      </c>
      <c r="D1172" s="61">
        <v>4.4981999999999998</v>
      </c>
      <c r="E1172" s="61">
        <v>445.28629999999998</v>
      </c>
      <c r="F1172" s="61">
        <v>16.652999999999999</v>
      </c>
      <c r="G1172" s="61">
        <v>83.264399999999995</v>
      </c>
      <c r="H1172" s="61">
        <v>89.955100000000002</v>
      </c>
    </row>
    <row r="1173" spans="1:8" x14ac:dyDescent="0.15">
      <c r="A1173" s="61" t="s">
        <v>13</v>
      </c>
      <c r="B1173" s="61">
        <v>10005</v>
      </c>
      <c r="C1173" s="61">
        <v>20</v>
      </c>
      <c r="D1173" s="61">
        <v>4.5049999999999999</v>
      </c>
      <c r="E1173" s="61">
        <v>444.61430000000001</v>
      </c>
      <c r="F1173" s="61">
        <v>16.628</v>
      </c>
      <c r="G1173" s="61">
        <v>83.138800000000003</v>
      </c>
      <c r="H1173" s="61">
        <v>90.074200000000005</v>
      </c>
    </row>
    <row r="1174" spans="1:8" x14ac:dyDescent="0.15">
      <c r="A1174" s="61" t="s">
        <v>13</v>
      </c>
      <c r="B1174" s="61">
        <v>10005</v>
      </c>
      <c r="C1174" s="61">
        <v>20</v>
      </c>
      <c r="D1174" s="61">
        <v>4.5095999999999998</v>
      </c>
      <c r="E1174" s="61">
        <v>444.16370000000001</v>
      </c>
      <c r="F1174" s="61">
        <v>16.611000000000001</v>
      </c>
      <c r="G1174" s="61">
        <v>83.054500000000004</v>
      </c>
      <c r="H1174" s="61">
        <v>90.144499999999994</v>
      </c>
    </row>
    <row r="1175" spans="1:8" x14ac:dyDescent="0.15">
      <c r="A1175" s="61" t="s">
        <v>13</v>
      </c>
      <c r="B1175" s="61">
        <v>10005</v>
      </c>
      <c r="C1175" s="61">
        <v>20</v>
      </c>
      <c r="D1175" s="61">
        <v>4.5026999999999999</v>
      </c>
      <c r="E1175" s="61">
        <v>444.84429999999998</v>
      </c>
      <c r="F1175" s="61">
        <v>16.635999999999999</v>
      </c>
      <c r="G1175" s="61">
        <v>83.181799999999996</v>
      </c>
      <c r="H1175" s="61">
        <v>90.037099999999995</v>
      </c>
    </row>
    <row r="1176" spans="1:8" x14ac:dyDescent="0.15">
      <c r="A1176" s="61" t="s">
        <v>13</v>
      </c>
      <c r="B1176" s="61">
        <v>10005</v>
      </c>
      <c r="C1176" s="61">
        <v>20</v>
      </c>
      <c r="D1176" s="61">
        <v>4.5038999999999998</v>
      </c>
      <c r="E1176" s="61">
        <v>444.72469999999998</v>
      </c>
      <c r="F1176" s="61">
        <v>16.632000000000001</v>
      </c>
      <c r="G1176" s="61">
        <v>83.159400000000005</v>
      </c>
      <c r="H1176" s="61">
        <v>90.059600000000003</v>
      </c>
    </row>
    <row r="1177" spans="1:8" x14ac:dyDescent="0.15">
      <c r="A1177" s="61" t="s">
        <v>13</v>
      </c>
      <c r="B1177" s="61">
        <v>10005</v>
      </c>
      <c r="C1177" s="61">
        <v>20</v>
      </c>
      <c r="D1177" s="61">
        <v>4.5007999999999999</v>
      </c>
      <c r="E1177" s="61">
        <v>445.03469999999999</v>
      </c>
      <c r="F1177" s="61">
        <v>16.643000000000001</v>
      </c>
      <c r="G1177" s="61">
        <v>83.217399999999998</v>
      </c>
      <c r="H1177" s="61">
        <v>89.9893</v>
      </c>
    </row>
    <row r="1178" spans="1:8" x14ac:dyDescent="0.15">
      <c r="A1178" s="61" t="s">
        <v>13</v>
      </c>
      <c r="B1178" s="61">
        <v>10005</v>
      </c>
      <c r="C1178" s="61">
        <v>20</v>
      </c>
      <c r="D1178" s="61">
        <v>4.5621999999999998</v>
      </c>
      <c r="E1178" s="61">
        <v>439.04169999999999</v>
      </c>
      <c r="F1178" s="61">
        <v>16.419</v>
      </c>
      <c r="G1178" s="61">
        <v>82.096699999999998</v>
      </c>
      <c r="H1178" s="61">
        <v>91.102099999999993</v>
      </c>
    </row>
    <row r="1179" spans="1:8" x14ac:dyDescent="0.15">
      <c r="A1179" s="61" t="s">
        <v>13</v>
      </c>
      <c r="B1179" s="61">
        <v>10005</v>
      </c>
      <c r="C1179" s="61">
        <v>20</v>
      </c>
      <c r="D1179" s="61">
        <v>4.5119999999999996</v>
      </c>
      <c r="E1179" s="61">
        <v>443.92989999999998</v>
      </c>
      <c r="F1179" s="61">
        <v>16.602</v>
      </c>
      <c r="G1179" s="61">
        <v>83.010800000000003</v>
      </c>
      <c r="H1179" s="61">
        <v>90.1982</v>
      </c>
    </row>
    <row r="1180" spans="1:8" x14ac:dyDescent="0.15">
      <c r="A1180" s="61" t="s">
        <v>13</v>
      </c>
      <c r="B1180" s="61">
        <v>10005</v>
      </c>
      <c r="C1180" s="61">
        <v>20</v>
      </c>
      <c r="D1180" s="61">
        <v>4.4995000000000003</v>
      </c>
      <c r="E1180" s="61">
        <v>445.16550000000001</v>
      </c>
      <c r="F1180" s="61">
        <v>16.648</v>
      </c>
      <c r="G1180" s="61">
        <v>83.241799999999998</v>
      </c>
      <c r="H1180" s="61">
        <v>89.962400000000002</v>
      </c>
    </row>
    <row r="1181" spans="1:8" x14ac:dyDescent="0.15">
      <c r="A1181" s="61" t="s">
        <v>13</v>
      </c>
      <c r="B1181" s="61">
        <v>10005</v>
      </c>
      <c r="C1181" s="61">
        <v>20</v>
      </c>
      <c r="D1181" s="61">
        <v>4.5153999999999996</v>
      </c>
      <c r="E1181" s="61">
        <v>443.59030000000001</v>
      </c>
      <c r="F1181" s="61">
        <v>16.588999999999999</v>
      </c>
      <c r="G1181" s="61">
        <v>82.947299999999998</v>
      </c>
      <c r="H1181" s="61">
        <v>90.250500000000002</v>
      </c>
    </row>
    <row r="1182" spans="1:8" x14ac:dyDescent="0.15">
      <c r="A1182" s="61" t="s">
        <v>13</v>
      </c>
      <c r="B1182" s="61">
        <v>10005</v>
      </c>
      <c r="C1182" s="61">
        <v>20</v>
      </c>
      <c r="D1182" s="61">
        <v>4.5014000000000003</v>
      </c>
      <c r="E1182" s="61">
        <v>444.97140000000002</v>
      </c>
      <c r="F1182" s="61">
        <v>16.640999999999998</v>
      </c>
      <c r="G1182" s="61">
        <v>83.205600000000004</v>
      </c>
      <c r="H1182" s="61">
        <v>90.011200000000002</v>
      </c>
    </row>
    <row r="1183" spans="1:8" x14ac:dyDescent="0.15">
      <c r="A1183" s="61" t="s">
        <v>13</v>
      </c>
      <c r="B1183" s="61">
        <v>10005</v>
      </c>
      <c r="C1183" s="61">
        <v>20</v>
      </c>
      <c r="D1183" s="61">
        <v>4.5061</v>
      </c>
      <c r="E1183" s="61">
        <v>444.51179999999999</v>
      </c>
      <c r="F1183" s="61">
        <v>16.623999999999999</v>
      </c>
      <c r="G1183" s="61">
        <v>83.119600000000005</v>
      </c>
      <c r="H1183" s="61">
        <v>90.107399999999998</v>
      </c>
    </row>
    <row r="1184" spans="1:8" x14ac:dyDescent="0.15">
      <c r="A1184" s="61" t="s">
        <v>13</v>
      </c>
      <c r="B1184" s="61">
        <v>10005</v>
      </c>
      <c r="C1184" s="61">
        <v>20</v>
      </c>
      <c r="D1184" s="61">
        <v>4.5061999999999998</v>
      </c>
      <c r="E1184" s="61">
        <v>444.49799999999999</v>
      </c>
      <c r="F1184" s="61">
        <v>16.623000000000001</v>
      </c>
      <c r="G1184" s="61">
        <v>83.117000000000004</v>
      </c>
      <c r="H1184" s="61">
        <v>90.084000000000003</v>
      </c>
    </row>
    <row r="1185" spans="1:8" x14ac:dyDescent="0.15">
      <c r="A1185" s="61" t="s">
        <v>13</v>
      </c>
      <c r="B1185" s="61">
        <v>10005</v>
      </c>
      <c r="C1185" s="61">
        <v>20</v>
      </c>
      <c r="D1185" s="61">
        <v>4.5011000000000001</v>
      </c>
      <c r="E1185" s="61">
        <v>445.0025</v>
      </c>
      <c r="F1185" s="61">
        <v>16.641999999999999</v>
      </c>
      <c r="G1185" s="61">
        <v>83.211399999999998</v>
      </c>
      <c r="H1185" s="61">
        <v>89.995099999999994</v>
      </c>
    </row>
    <row r="1186" spans="1:8" x14ac:dyDescent="0.15">
      <c r="A1186" s="61" t="s">
        <v>13</v>
      </c>
      <c r="B1186" s="61">
        <v>10005</v>
      </c>
      <c r="C1186" s="61">
        <v>20</v>
      </c>
      <c r="D1186" s="61">
        <v>4.5073999999999996</v>
      </c>
      <c r="E1186" s="61">
        <v>444.38479999999998</v>
      </c>
      <c r="F1186" s="61">
        <v>16.619</v>
      </c>
      <c r="G1186" s="61">
        <v>83.0959</v>
      </c>
      <c r="H1186" s="61">
        <v>90.112300000000005</v>
      </c>
    </row>
    <row r="1187" spans="1:8" x14ac:dyDescent="0.15">
      <c r="A1187" s="61" t="s">
        <v>13</v>
      </c>
      <c r="B1187" s="61">
        <v>10005</v>
      </c>
      <c r="C1187" s="61">
        <v>20</v>
      </c>
      <c r="D1187" s="61">
        <v>4.5008999999999997</v>
      </c>
      <c r="E1187" s="61">
        <v>445.02350000000001</v>
      </c>
      <c r="F1187" s="61">
        <v>16.643000000000001</v>
      </c>
      <c r="G1187" s="61">
        <v>83.215299999999999</v>
      </c>
      <c r="H1187" s="61">
        <v>89.992199999999997</v>
      </c>
    </row>
    <row r="1188" spans="1:8" x14ac:dyDescent="0.15">
      <c r="A1188" s="61" t="s">
        <v>13</v>
      </c>
      <c r="B1188" s="61">
        <v>10005</v>
      </c>
      <c r="C1188" s="61">
        <v>20</v>
      </c>
      <c r="D1188" s="61">
        <v>4.5065999999999997</v>
      </c>
      <c r="E1188" s="61">
        <v>444.46300000000002</v>
      </c>
      <c r="F1188" s="61">
        <v>16.622</v>
      </c>
      <c r="G1188" s="61">
        <v>83.110500000000002</v>
      </c>
      <c r="H1188" s="61">
        <v>90.093800000000002</v>
      </c>
    </row>
    <row r="1189" spans="1:8" x14ac:dyDescent="0.15">
      <c r="A1189" s="61" t="s">
        <v>13</v>
      </c>
      <c r="B1189" s="61">
        <v>10005</v>
      </c>
      <c r="C1189" s="61">
        <v>20</v>
      </c>
      <c r="D1189" s="61">
        <v>4.5058999999999996</v>
      </c>
      <c r="E1189" s="61">
        <v>444.53230000000002</v>
      </c>
      <c r="F1189" s="61">
        <v>16.625</v>
      </c>
      <c r="G1189" s="61">
        <v>83.123400000000004</v>
      </c>
      <c r="H1189" s="61">
        <v>90.091800000000006</v>
      </c>
    </row>
    <row r="1190" spans="1:8" x14ac:dyDescent="0.15">
      <c r="A1190" s="61" t="s">
        <v>13</v>
      </c>
      <c r="B1190" s="61">
        <v>10005</v>
      </c>
      <c r="C1190" s="61">
        <v>20</v>
      </c>
      <c r="D1190" s="61">
        <v>4.4988000000000001</v>
      </c>
      <c r="E1190" s="61">
        <v>445.22570000000002</v>
      </c>
      <c r="F1190" s="61">
        <v>16.651</v>
      </c>
      <c r="G1190" s="61">
        <v>83.253100000000003</v>
      </c>
      <c r="H1190" s="61">
        <v>89.950199999999995</v>
      </c>
    </row>
    <row r="1191" spans="1:8" x14ac:dyDescent="0.15">
      <c r="A1191" s="61" t="s">
        <v>13</v>
      </c>
      <c r="B1191" s="61">
        <v>10005</v>
      </c>
      <c r="C1191" s="61">
        <v>20</v>
      </c>
      <c r="D1191" s="61">
        <v>4.5033000000000003</v>
      </c>
      <c r="E1191" s="61">
        <v>444.78769999999997</v>
      </c>
      <c r="F1191" s="61">
        <v>16.634</v>
      </c>
      <c r="G1191" s="61">
        <v>83.171199999999999</v>
      </c>
      <c r="H1191" s="61">
        <v>90.04</v>
      </c>
    </row>
    <row r="1192" spans="1:8" x14ac:dyDescent="0.15">
      <c r="A1192" s="61" t="s">
        <v>13</v>
      </c>
      <c r="B1192" s="61">
        <v>10005</v>
      </c>
      <c r="C1192" s="61">
        <v>20</v>
      </c>
      <c r="D1192" s="61">
        <v>4.5091999999999999</v>
      </c>
      <c r="E1192" s="61">
        <v>444.20010000000002</v>
      </c>
      <c r="F1192" s="61">
        <v>16.611999999999998</v>
      </c>
      <c r="G1192" s="61">
        <v>83.061300000000003</v>
      </c>
      <c r="H1192" s="61">
        <v>90.153300000000002</v>
      </c>
    </row>
    <row r="1193" spans="1:8" x14ac:dyDescent="0.15">
      <c r="A1193" s="61" t="s">
        <v>13</v>
      </c>
      <c r="B1193" s="61">
        <v>10005</v>
      </c>
      <c r="C1193" s="61">
        <v>20</v>
      </c>
      <c r="D1193" s="61">
        <v>4.4985999999999997</v>
      </c>
      <c r="E1193" s="61">
        <v>445.24779999999998</v>
      </c>
      <c r="F1193" s="61">
        <v>16.651</v>
      </c>
      <c r="G1193" s="61">
        <v>83.257199999999997</v>
      </c>
      <c r="H1193" s="61">
        <v>89.969700000000003</v>
      </c>
    </row>
    <row r="1194" spans="1:8" x14ac:dyDescent="0.15">
      <c r="A1194" s="61" t="s">
        <v>13</v>
      </c>
      <c r="B1194" s="61">
        <v>10005</v>
      </c>
      <c r="C1194" s="61">
        <v>20</v>
      </c>
      <c r="D1194" s="61">
        <v>4.5077999999999996</v>
      </c>
      <c r="E1194" s="61">
        <v>444.34550000000002</v>
      </c>
      <c r="F1194" s="61">
        <v>16.617999999999999</v>
      </c>
      <c r="G1194" s="61">
        <v>83.088499999999996</v>
      </c>
      <c r="H1194" s="61">
        <v>90.127899999999997</v>
      </c>
    </row>
    <row r="1195" spans="1:8" x14ac:dyDescent="0.15">
      <c r="A1195" s="61" t="s">
        <v>13</v>
      </c>
      <c r="B1195" s="61">
        <v>10005</v>
      </c>
      <c r="C1195" s="61">
        <v>20</v>
      </c>
      <c r="D1195" s="61">
        <v>4.5072000000000001</v>
      </c>
      <c r="E1195" s="61">
        <v>444.40309999999999</v>
      </c>
      <c r="F1195" s="61">
        <v>16.62</v>
      </c>
      <c r="G1195" s="61">
        <v>83.099299999999999</v>
      </c>
      <c r="H1195" s="61">
        <v>90.088899999999995</v>
      </c>
    </row>
    <row r="1196" spans="1:8" x14ac:dyDescent="0.15">
      <c r="A1196" s="61" t="s">
        <v>13</v>
      </c>
      <c r="B1196" s="61">
        <v>10005</v>
      </c>
      <c r="C1196" s="61">
        <v>20</v>
      </c>
      <c r="D1196" s="61">
        <v>4.5049000000000001</v>
      </c>
      <c r="E1196" s="61">
        <v>444.63139999999999</v>
      </c>
      <c r="F1196" s="61">
        <v>16.628</v>
      </c>
      <c r="G1196" s="61">
        <v>83.141999999999996</v>
      </c>
      <c r="H1196" s="61">
        <v>90.067400000000006</v>
      </c>
    </row>
    <row r="1197" spans="1:8" x14ac:dyDescent="0.15">
      <c r="A1197" s="61" t="s">
        <v>13</v>
      </c>
      <c r="B1197" s="61">
        <v>10005</v>
      </c>
      <c r="C1197" s="61">
        <v>20</v>
      </c>
      <c r="D1197" s="61">
        <v>4.5011000000000001</v>
      </c>
      <c r="E1197" s="61">
        <v>445.00540000000001</v>
      </c>
      <c r="F1197" s="61">
        <v>16.641999999999999</v>
      </c>
      <c r="G1197" s="61">
        <v>83.2119</v>
      </c>
      <c r="H1197" s="61">
        <v>90.011700000000005</v>
      </c>
    </row>
    <row r="1198" spans="1:8" x14ac:dyDescent="0.15">
      <c r="A1198" s="61" t="s">
        <v>13</v>
      </c>
      <c r="B1198" s="61">
        <v>10005</v>
      </c>
      <c r="C1198" s="61">
        <v>20</v>
      </c>
      <c r="D1198" s="61">
        <v>4.4977</v>
      </c>
      <c r="E1198" s="61">
        <v>445.33839999999998</v>
      </c>
      <c r="F1198" s="61">
        <v>16.655000000000001</v>
      </c>
      <c r="G1198" s="61">
        <v>83.274199999999993</v>
      </c>
      <c r="H1198" s="61">
        <v>89.929699999999997</v>
      </c>
    </row>
    <row r="1199" spans="1:8" x14ac:dyDescent="0.15">
      <c r="A1199" s="61" t="s">
        <v>13</v>
      </c>
      <c r="B1199" s="61">
        <v>10010</v>
      </c>
      <c r="C1199" s="61">
        <v>1</v>
      </c>
      <c r="D1199" s="61">
        <v>74.063900000000004</v>
      </c>
      <c r="E1199" s="61">
        <v>27.084800000000001</v>
      </c>
      <c r="F1199" s="61">
        <v>1</v>
      </c>
      <c r="G1199" s="61">
        <v>100</v>
      </c>
      <c r="H1199" s="61">
        <v>78.094099999999997</v>
      </c>
    </row>
    <row r="1200" spans="1:8" x14ac:dyDescent="0.15">
      <c r="A1200" s="61" t="s">
        <v>13</v>
      </c>
      <c r="B1200" s="61">
        <v>10010</v>
      </c>
      <c r="C1200" s="61">
        <v>1</v>
      </c>
      <c r="D1200" s="61">
        <v>73.429000000000002</v>
      </c>
      <c r="E1200" s="61">
        <v>27.318999999999999</v>
      </c>
      <c r="F1200" s="61">
        <v>1.0089999999999999</v>
      </c>
      <c r="G1200" s="61">
        <v>100.8646</v>
      </c>
      <c r="H1200" s="61">
        <v>73.459800000000001</v>
      </c>
    </row>
    <row r="1201" spans="1:8" x14ac:dyDescent="0.15">
      <c r="A1201" s="61" t="s">
        <v>13</v>
      </c>
      <c r="B1201" s="61">
        <v>10010</v>
      </c>
      <c r="C1201" s="61">
        <v>1</v>
      </c>
      <c r="D1201" s="61">
        <v>73.469300000000004</v>
      </c>
      <c r="E1201" s="61">
        <v>27.303999999999998</v>
      </c>
      <c r="F1201" s="61">
        <v>1.008</v>
      </c>
      <c r="G1201" s="61">
        <v>100.80929999999999</v>
      </c>
      <c r="H1201" s="61">
        <v>73.498800000000003</v>
      </c>
    </row>
    <row r="1202" spans="1:8" x14ac:dyDescent="0.15">
      <c r="A1202" s="61" t="s">
        <v>13</v>
      </c>
      <c r="B1202" s="61">
        <v>10010</v>
      </c>
      <c r="C1202" s="61">
        <v>1</v>
      </c>
      <c r="D1202" s="61">
        <v>73.446600000000004</v>
      </c>
      <c r="E1202" s="61">
        <v>27.3124</v>
      </c>
      <c r="F1202" s="61">
        <v>1.008</v>
      </c>
      <c r="G1202" s="61">
        <v>100.84050000000001</v>
      </c>
      <c r="H1202" s="61">
        <v>73.476799999999997</v>
      </c>
    </row>
    <row r="1203" spans="1:8" x14ac:dyDescent="0.15">
      <c r="A1203" s="61" t="s">
        <v>13</v>
      </c>
      <c r="B1203" s="61">
        <v>10010</v>
      </c>
      <c r="C1203" s="61">
        <v>1</v>
      </c>
      <c r="D1203" s="61">
        <v>73.430499999999995</v>
      </c>
      <c r="E1203" s="61">
        <v>27.3184</v>
      </c>
      <c r="F1203" s="61">
        <v>1.0089999999999999</v>
      </c>
      <c r="G1203" s="61">
        <v>100.8626</v>
      </c>
      <c r="H1203" s="61">
        <v>73.4619</v>
      </c>
    </row>
    <row r="1204" spans="1:8" x14ac:dyDescent="0.15">
      <c r="A1204" s="61" t="s">
        <v>13</v>
      </c>
      <c r="B1204" s="61">
        <v>10010</v>
      </c>
      <c r="C1204" s="61">
        <v>1</v>
      </c>
      <c r="D1204" s="61">
        <v>73.447599999999994</v>
      </c>
      <c r="E1204" s="61">
        <v>27.312100000000001</v>
      </c>
      <c r="F1204" s="61">
        <v>1.008</v>
      </c>
      <c r="G1204" s="61">
        <v>100.8391</v>
      </c>
      <c r="H1204" s="61">
        <v>73.477800000000002</v>
      </c>
    </row>
    <row r="1205" spans="1:8" x14ac:dyDescent="0.15">
      <c r="A1205" s="61" t="s">
        <v>13</v>
      </c>
      <c r="B1205" s="61">
        <v>10010</v>
      </c>
      <c r="C1205" s="61">
        <v>19</v>
      </c>
      <c r="D1205" s="61">
        <v>4.9436999999999998</v>
      </c>
      <c r="E1205" s="61">
        <v>405.76900000000001</v>
      </c>
      <c r="F1205" s="61">
        <v>14.981</v>
      </c>
      <c r="G1205" s="61">
        <v>78.849599999999995</v>
      </c>
      <c r="H1205" s="61">
        <v>89.234499999999997</v>
      </c>
    </row>
    <row r="1206" spans="1:8" x14ac:dyDescent="0.15">
      <c r="A1206" s="61" t="s">
        <v>13</v>
      </c>
      <c r="B1206" s="61">
        <v>10010</v>
      </c>
      <c r="C1206" s="61">
        <v>19</v>
      </c>
      <c r="D1206" s="61">
        <v>4.8982999999999999</v>
      </c>
      <c r="E1206" s="61">
        <v>409.53089999999997</v>
      </c>
      <c r="F1206" s="61">
        <v>15.12</v>
      </c>
      <c r="G1206" s="61">
        <v>79.580600000000004</v>
      </c>
      <c r="H1206" s="61">
        <v>88.545500000000004</v>
      </c>
    </row>
    <row r="1207" spans="1:8" x14ac:dyDescent="0.15">
      <c r="A1207" s="61" t="s">
        <v>13</v>
      </c>
      <c r="B1207" s="61">
        <v>10010</v>
      </c>
      <c r="C1207" s="61">
        <v>19</v>
      </c>
      <c r="D1207" s="61">
        <v>4.8968999999999996</v>
      </c>
      <c r="E1207" s="61">
        <v>409.65219999999999</v>
      </c>
      <c r="F1207" s="61">
        <v>15.125</v>
      </c>
      <c r="G1207" s="61">
        <v>79.604200000000006</v>
      </c>
      <c r="H1207" s="61">
        <v>88.462500000000006</v>
      </c>
    </row>
    <row r="1208" spans="1:8" x14ac:dyDescent="0.15">
      <c r="A1208" s="61" t="s">
        <v>13</v>
      </c>
      <c r="B1208" s="61">
        <v>10010</v>
      </c>
      <c r="C1208" s="61">
        <v>19</v>
      </c>
      <c r="D1208" s="61">
        <v>4.8975999999999997</v>
      </c>
      <c r="E1208" s="61">
        <v>409.58749999999998</v>
      </c>
      <c r="F1208" s="61">
        <v>15.122</v>
      </c>
      <c r="G1208" s="61">
        <v>79.5916</v>
      </c>
      <c r="H1208" s="61">
        <v>88.564499999999995</v>
      </c>
    </row>
    <row r="1209" spans="1:8" x14ac:dyDescent="0.15">
      <c r="A1209" s="61" t="s">
        <v>13</v>
      </c>
      <c r="B1209" s="61">
        <v>10010</v>
      </c>
      <c r="C1209" s="61">
        <v>19</v>
      </c>
      <c r="D1209" s="61">
        <v>4.8967000000000001</v>
      </c>
      <c r="E1209" s="61">
        <v>409.66250000000002</v>
      </c>
      <c r="F1209" s="61">
        <v>15.125</v>
      </c>
      <c r="G1209" s="61">
        <v>79.606200000000001</v>
      </c>
      <c r="H1209" s="61">
        <v>88.457599999999999</v>
      </c>
    </row>
    <row r="1210" spans="1:8" x14ac:dyDescent="0.15">
      <c r="A1210" s="61" t="s">
        <v>13</v>
      </c>
      <c r="B1210" s="61">
        <v>10010</v>
      </c>
      <c r="C1210" s="61">
        <v>19</v>
      </c>
      <c r="D1210" s="61">
        <v>4.8982000000000001</v>
      </c>
      <c r="E1210" s="61">
        <v>409.53930000000003</v>
      </c>
      <c r="F1210" s="61">
        <v>15.121</v>
      </c>
      <c r="G1210" s="61">
        <v>79.582300000000004</v>
      </c>
      <c r="H1210" s="61">
        <v>88.379599999999996</v>
      </c>
    </row>
    <row r="1211" spans="1:8" x14ac:dyDescent="0.15">
      <c r="A1211" s="61" t="s">
        <v>13</v>
      </c>
      <c r="B1211" s="61">
        <v>10010</v>
      </c>
      <c r="C1211" s="61">
        <v>19</v>
      </c>
      <c r="D1211" s="61">
        <v>4.8971</v>
      </c>
      <c r="E1211" s="61">
        <v>409.63339999999999</v>
      </c>
      <c r="F1211" s="61">
        <v>15.124000000000001</v>
      </c>
      <c r="G1211" s="61">
        <v>79.600499999999997</v>
      </c>
      <c r="H1211" s="61">
        <v>88.470600000000005</v>
      </c>
    </row>
    <row r="1212" spans="1:8" x14ac:dyDescent="0.15">
      <c r="A1212" s="61" t="s">
        <v>13</v>
      </c>
      <c r="B1212" s="61">
        <v>10010</v>
      </c>
      <c r="C1212" s="61">
        <v>19</v>
      </c>
      <c r="D1212" s="61">
        <v>4.8981000000000003</v>
      </c>
      <c r="E1212" s="61">
        <v>409.54599999999999</v>
      </c>
      <c r="F1212" s="61">
        <v>15.121</v>
      </c>
      <c r="G1212" s="61">
        <v>79.583500000000001</v>
      </c>
      <c r="H1212" s="61">
        <v>88.391499999999994</v>
      </c>
    </row>
    <row r="1213" spans="1:8" x14ac:dyDescent="0.15">
      <c r="A1213" s="61" t="s">
        <v>13</v>
      </c>
      <c r="B1213" s="61">
        <v>10010</v>
      </c>
      <c r="C1213" s="61">
        <v>19</v>
      </c>
      <c r="D1213" s="61">
        <v>4.8968999999999996</v>
      </c>
      <c r="E1213" s="61">
        <v>409.64710000000002</v>
      </c>
      <c r="F1213" s="61">
        <v>15.125</v>
      </c>
      <c r="G1213" s="61">
        <v>79.603200000000001</v>
      </c>
      <c r="H1213" s="61">
        <v>88.4756</v>
      </c>
    </row>
    <row r="1214" spans="1:8" x14ac:dyDescent="0.15">
      <c r="A1214" s="61" t="s">
        <v>13</v>
      </c>
      <c r="B1214" s="61">
        <v>10010</v>
      </c>
      <c r="C1214" s="61">
        <v>19</v>
      </c>
      <c r="D1214" s="61">
        <v>4.8971</v>
      </c>
      <c r="E1214" s="61">
        <v>409.63350000000003</v>
      </c>
      <c r="F1214" s="61">
        <v>15.124000000000001</v>
      </c>
      <c r="G1214" s="61">
        <v>79.600499999999997</v>
      </c>
      <c r="H1214" s="61">
        <v>88.386600000000001</v>
      </c>
    </row>
    <row r="1215" spans="1:8" x14ac:dyDescent="0.15">
      <c r="A1215" s="61" t="s">
        <v>13</v>
      </c>
      <c r="B1215" s="61">
        <v>10010</v>
      </c>
      <c r="C1215" s="61">
        <v>19</v>
      </c>
      <c r="D1215" s="61">
        <v>4.9157000000000002</v>
      </c>
      <c r="E1215" s="61">
        <v>408.0804</v>
      </c>
      <c r="F1215" s="61">
        <v>15.067</v>
      </c>
      <c r="G1215" s="61">
        <v>79.2988</v>
      </c>
      <c r="H1215" s="61">
        <v>88.816500000000005</v>
      </c>
    </row>
    <row r="1216" spans="1:8" x14ac:dyDescent="0.15">
      <c r="A1216" s="61" t="s">
        <v>13</v>
      </c>
      <c r="B1216" s="61">
        <v>10010</v>
      </c>
      <c r="C1216" s="61">
        <v>19</v>
      </c>
      <c r="D1216" s="61">
        <v>4.9005000000000001</v>
      </c>
      <c r="E1216" s="61">
        <v>409.34359999999998</v>
      </c>
      <c r="F1216" s="61">
        <v>15.113</v>
      </c>
      <c r="G1216" s="61">
        <v>79.544200000000004</v>
      </c>
      <c r="H1216" s="61">
        <v>88.441500000000005</v>
      </c>
    </row>
    <row r="1217" spans="1:8" x14ac:dyDescent="0.15">
      <c r="A1217" s="61" t="s">
        <v>13</v>
      </c>
      <c r="B1217" s="61">
        <v>10010</v>
      </c>
      <c r="C1217" s="61">
        <v>19</v>
      </c>
      <c r="D1217" s="61">
        <v>4.9214000000000002</v>
      </c>
      <c r="E1217" s="61">
        <v>407.60930000000002</v>
      </c>
      <c r="F1217" s="61">
        <v>15.048999999999999</v>
      </c>
      <c r="G1217" s="61">
        <v>79.2072</v>
      </c>
      <c r="H1217" s="61">
        <v>88.914400000000001</v>
      </c>
    </row>
    <row r="1218" spans="1:8" x14ac:dyDescent="0.15">
      <c r="A1218" s="61" t="s">
        <v>13</v>
      </c>
      <c r="B1218" s="61">
        <v>10010</v>
      </c>
      <c r="C1218" s="61">
        <v>19</v>
      </c>
      <c r="D1218" s="61">
        <v>4.9257</v>
      </c>
      <c r="E1218" s="61">
        <v>407.25009999999997</v>
      </c>
      <c r="F1218" s="61">
        <v>15.036</v>
      </c>
      <c r="G1218" s="61">
        <v>79.1374</v>
      </c>
      <c r="H1218" s="61">
        <v>89.067499999999995</v>
      </c>
    </row>
    <row r="1219" spans="1:8" x14ac:dyDescent="0.15">
      <c r="A1219" s="61" t="s">
        <v>13</v>
      </c>
      <c r="B1219" s="61">
        <v>10010</v>
      </c>
      <c r="C1219" s="61">
        <v>19</v>
      </c>
      <c r="D1219" s="61">
        <v>4.9386999999999999</v>
      </c>
      <c r="E1219" s="61">
        <v>406.18009999999998</v>
      </c>
      <c r="F1219" s="61">
        <v>14.997</v>
      </c>
      <c r="G1219" s="61">
        <v>78.929500000000004</v>
      </c>
      <c r="H1219" s="61">
        <v>89.166499999999999</v>
      </c>
    </row>
    <row r="1220" spans="1:8" x14ac:dyDescent="0.15">
      <c r="A1220" s="61" t="s">
        <v>13</v>
      </c>
      <c r="B1220" s="61">
        <v>10010</v>
      </c>
      <c r="C1220" s="61">
        <v>19</v>
      </c>
      <c r="D1220" s="61">
        <v>4.9028999999999998</v>
      </c>
      <c r="E1220" s="61">
        <v>409.15010000000001</v>
      </c>
      <c r="F1220" s="61">
        <v>15.106</v>
      </c>
      <c r="G1220" s="61">
        <v>79.506600000000006</v>
      </c>
      <c r="H1220" s="61">
        <v>88.613500000000002</v>
      </c>
    </row>
    <row r="1221" spans="1:8" x14ac:dyDescent="0.15">
      <c r="A1221" s="61" t="s">
        <v>13</v>
      </c>
      <c r="B1221" s="61">
        <v>10010</v>
      </c>
      <c r="C1221" s="61">
        <v>19</v>
      </c>
      <c r="D1221" s="61">
        <v>4.9020999999999999</v>
      </c>
      <c r="E1221" s="61">
        <v>409.2131</v>
      </c>
      <c r="F1221" s="61">
        <v>15.109</v>
      </c>
      <c r="G1221" s="61">
        <v>79.518900000000002</v>
      </c>
      <c r="H1221" s="61">
        <v>88.487499999999997</v>
      </c>
    </row>
    <row r="1222" spans="1:8" x14ac:dyDescent="0.15">
      <c r="A1222" s="61" t="s">
        <v>13</v>
      </c>
      <c r="B1222" s="61">
        <v>10010</v>
      </c>
      <c r="C1222" s="61">
        <v>19</v>
      </c>
      <c r="D1222" s="61">
        <v>4.9020999999999999</v>
      </c>
      <c r="E1222" s="61">
        <v>409.21379999999999</v>
      </c>
      <c r="F1222" s="61">
        <v>15.109</v>
      </c>
      <c r="G1222" s="61">
        <v>79.519000000000005</v>
      </c>
      <c r="H1222" s="61">
        <v>88.587500000000006</v>
      </c>
    </row>
    <row r="1223" spans="1:8" x14ac:dyDescent="0.15">
      <c r="A1223" s="61" t="s">
        <v>13</v>
      </c>
      <c r="B1223" s="61">
        <v>10010</v>
      </c>
      <c r="C1223" s="61">
        <v>19</v>
      </c>
      <c r="D1223" s="61">
        <v>4.9034000000000004</v>
      </c>
      <c r="E1223" s="61">
        <v>409.10509999999999</v>
      </c>
      <c r="F1223" s="61">
        <v>15.105</v>
      </c>
      <c r="G1223" s="61">
        <v>79.497900000000001</v>
      </c>
      <c r="H1223" s="61">
        <v>88.510599999999997</v>
      </c>
    </row>
    <row r="1224" spans="1:8" x14ac:dyDescent="0.15">
      <c r="A1224" s="61" t="s">
        <v>13</v>
      </c>
      <c r="B1224" s="61">
        <v>10010</v>
      </c>
      <c r="C1224" s="61">
        <v>19</v>
      </c>
      <c r="D1224" s="61">
        <v>4.9020000000000001</v>
      </c>
      <c r="E1224" s="61">
        <v>409.21899999999999</v>
      </c>
      <c r="F1224" s="61">
        <v>15.109</v>
      </c>
      <c r="G1224" s="61">
        <v>79.52</v>
      </c>
      <c r="H1224" s="61">
        <v>88.583500000000001</v>
      </c>
    </row>
    <row r="1225" spans="1:8" x14ac:dyDescent="0.15">
      <c r="A1225" s="61" t="s">
        <v>13</v>
      </c>
      <c r="B1225" s="61">
        <v>10010</v>
      </c>
      <c r="C1225" s="61">
        <v>19</v>
      </c>
      <c r="D1225" s="61">
        <v>4.9023000000000003</v>
      </c>
      <c r="E1225" s="61">
        <v>409.19290000000001</v>
      </c>
      <c r="F1225" s="61">
        <v>15.108000000000001</v>
      </c>
      <c r="G1225" s="61">
        <v>79.514899999999997</v>
      </c>
      <c r="H1225" s="61">
        <v>88.489500000000007</v>
      </c>
    </row>
    <row r="1226" spans="1:8" x14ac:dyDescent="0.15">
      <c r="A1226" s="61" t="s">
        <v>13</v>
      </c>
      <c r="B1226" s="61">
        <v>10010</v>
      </c>
      <c r="C1226" s="61">
        <v>19</v>
      </c>
      <c r="D1226" s="61">
        <v>4.9005999999999998</v>
      </c>
      <c r="E1226" s="61">
        <v>409.33629999999999</v>
      </c>
      <c r="F1226" s="61">
        <v>15.113</v>
      </c>
      <c r="G1226" s="61">
        <v>79.5428</v>
      </c>
      <c r="H1226" s="61">
        <v>88.557599999999994</v>
      </c>
    </row>
    <row r="1227" spans="1:8" x14ac:dyDescent="0.15">
      <c r="A1227" s="61" t="s">
        <v>13</v>
      </c>
      <c r="B1227" s="61">
        <v>10010</v>
      </c>
      <c r="C1227" s="61">
        <v>19</v>
      </c>
      <c r="D1227" s="61">
        <v>4.9023000000000003</v>
      </c>
      <c r="E1227" s="61">
        <v>409.19400000000002</v>
      </c>
      <c r="F1227" s="61">
        <v>15.108000000000001</v>
      </c>
      <c r="G1227" s="61">
        <v>79.515100000000004</v>
      </c>
      <c r="H1227" s="61">
        <v>88.490499999999997</v>
      </c>
    </row>
    <row r="1228" spans="1:8" x14ac:dyDescent="0.15">
      <c r="A1228" s="61" t="s">
        <v>13</v>
      </c>
      <c r="B1228" s="61">
        <v>10010</v>
      </c>
      <c r="C1228" s="61">
        <v>19</v>
      </c>
      <c r="D1228" s="61">
        <v>4.9025999999999996</v>
      </c>
      <c r="E1228" s="61">
        <v>409.17520000000002</v>
      </c>
      <c r="F1228" s="61">
        <v>15.106999999999999</v>
      </c>
      <c r="G1228" s="61">
        <v>79.511499999999998</v>
      </c>
      <c r="H1228" s="61">
        <v>88.592500000000001</v>
      </c>
    </row>
    <row r="1229" spans="1:8" x14ac:dyDescent="0.15">
      <c r="A1229" s="61" t="s">
        <v>13</v>
      </c>
      <c r="B1229" s="61">
        <v>10010</v>
      </c>
      <c r="C1229" s="61">
        <v>19</v>
      </c>
      <c r="D1229" s="61">
        <v>4.9039999999999999</v>
      </c>
      <c r="E1229" s="61">
        <v>409.0573</v>
      </c>
      <c r="F1229" s="61">
        <v>15.103</v>
      </c>
      <c r="G1229" s="61">
        <v>79.488600000000005</v>
      </c>
      <c r="H1229" s="61">
        <v>88.521500000000003</v>
      </c>
    </row>
    <row r="1230" spans="1:8" x14ac:dyDescent="0.15">
      <c r="A1230" s="61" t="s">
        <v>13</v>
      </c>
      <c r="B1230" s="61">
        <v>10010</v>
      </c>
      <c r="C1230" s="61">
        <v>19</v>
      </c>
      <c r="D1230" s="61">
        <v>4.9023000000000003</v>
      </c>
      <c r="E1230" s="61">
        <v>409.19499999999999</v>
      </c>
      <c r="F1230" s="61">
        <v>15.108000000000001</v>
      </c>
      <c r="G1230" s="61">
        <v>79.515299999999996</v>
      </c>
      <c r="H1230" s="61">
        <v>88.587599999999995</v>
      </c>
    </row>
    <row r="1231" spans="1:8" x14ac:dyDescent="0.15">
      <c r="A1231" s="61" t="s">
        <v>13</v>
      </c>
      <c r="B1231" s="61">
        <v>10010</v>
      </c>
      <c r="C1231" s="61">
        <v>19</v>
      </c>
      <c r="D1231" s="61">
        <v>4.9046000000000003</v>
      </c>
      <c r="E1231" s="61">
        <v>409.00779999999997</v>
      </c>
      <c r="F1231" s="61">
        <v>15.101000000000001</v>
      </c>
      <c r="G1231" s="61">
        <v>79.478999999999999</v>
      </c>
      <c r="H1231" s="61">
        <v>88.528599999999997</v>
      </c>
    </row>
    <row r="1232" spans="1:8" x14ac:dyDescent="0.15">
      <c r="A1232" s="61" t="s">
        <v>13</v>
      </c>
      <c r="B1232" s="61">
        <v>10010</v>
      </c>
      <c r="C1232" s="61">
        <v>19</v>
      </c>
      <c r="D1232" s="61">
        <v>4.9036999999999997</v>
      </c>
      <c r="E1232" s="61">
        <v>409.0797</v>
      </c>
      <c r="F1232" s="61">
        <v>15.103999999999999</v>
      </c>
      <c r="G1232" s="61">
        <v>79.492900000000006</v>
      </c>
      <c r="H1232" s="61">
        <v>88.6096</v>
      </c>
    </row>
    <row r="1233" spans="1:8" x14ac:dyDescent="0.15">
      <c r="A1233" s="61" t="s">
        <v>13</v>
      </c>
      <c r="B1233" s="61">
        <v>10010</v>
      </c>
      <c r="C1233" s="61">
        <v>19</v>
      </c>
      <c r="D1233" s="61">
        <v>4.9028</v>
      </c>
      <c r="E1233" s="61">
        <v>409.15199999999999</v>
      </c>
      <c r="F1233" s="61">
        <v>15.106</v>
      </c>
      <c r="G1233" s="61">
        <v>79.507000000000005</v>
      </c>
      <c r="H1233" s="61">
        <v>88.492400000000004</v>
      </c>
    </row>
    <row r="1234" spans="1:8" x14ac:dyDescent="0.15">
      <c r="A1234" s="61" t="s">
        <v>13</v>
      </c>
      <c r="B1234" s="61">
        <v>10010</v>
      </c>
      <c r="C1234" s="61">
        <v>19</v>
      </c>
      <c r="D1234" s="61">
        <v>4.9027000000000003</v>
      </c>
      <c r="E1234" s="61">
        <v>409.1619</v>
      </c>
      <c r="F1234" s="61">
        <v>15.106999999999999</v>
      </c>
      <c r="G1234" s="61">
        <v>79.508899999999997</v>
      </c>
      <c r="H1234" s="61">
        <v>88.590599999999995</v>
      </c>
    </row>
    <row r="1235" spans="1:8" x14ac:dyDescent="0.15">
      <c r="A1235" s="61" t="s">
        <v>13</v>
      </c>
      <c r="B1235" s="61">
        <v>10010</v>
      </c>
      <c r="C1235" s="61">
        <v>19</v>
      </c>
      <c r="D1235" s="61">
        <v>4.9025999999999996</v>
      </c>
      <c r="E1235" s="61">
        <v>409.17009999999999</v>
      </c>
      <c r="F1235" s="61">
        <v>15.106999999999999</v>
      </c>
      <c r="G1235" s="61">
        <v>79.510499999999993</v>
      </c>
      <c r="H1235" s="61">
        <v>88.487499999999997</v>
      </c>
    </row>
    <row r="1236" spans="1:8" x14ac:dyDescent="0.15">
      <c r="A1236" s="61" t="s">
        <v>13</v>
      </c>
      <c r="B1236" s="61">
        <v>10010</v>
      </c>
      <c r="C1236" s="61">
        <v>19</v>
      </c>
      <c r="D1236" s="61">
        <v>4.9027000000000003</v>
      </c>
      <c r="E1236" s="61">
        <v>409.166</v>
      </c>
      <c r="F1236" s="61">
        <v>15.106999999999999</v>
      </c>
      <c r="G1236" s="61">
        <v>79.509699999999995</v>
      </c>
      <c r="H1236" s="61">
        <v>88.586699999999993</v>
      </c>
    </row>
    <row r="1237" spans="1:8" x14ac:dyDescent="0.15">
      <c r="A1237" s="61" t="s">
        <v>13</v>
      </c>
      <c r="B1237" s="61">
        <v>10010</v>
      </c>
      <c r="C1237" s="61">
        <v>19</v>
      </c>
      <c r="D1237" s="61">
        <v>4.9032999999999998</v>
      </c>
      <c r="E1237" s="61">
        <v>409.11250000000001</v>
      </c>
      <c r="F1237" s="61">
        <v>15.105</v>
      </c>
      <c r="G1237" s="61">
        <v>79.499300000000005</v>
      </c>
      <c r="H1237" s="61">
        <v>88.497600000000006</v>
      </c>
    </row>
    <row r="1238" spans="1:8" x14ac:dyDescent="0.15">
      <c r="A1238" s="61" t="s">
        <v>13</v>
      </c>
      <c r="B1238" s="61">
        <v>10010</v>
      </c>
      <c r="C1238" s="61">
        <v>19</v>
      </c>
      <c r="D1238" s="61">
        <v>4.9023000000000003</v>
      </c>
      <c r="E1238" s="61">
        <v>409.19349999999997</v>
      </c>
      <c r="F1238" s="61">
        <v>15.108000000000001</v>
      </c>
      <c r="G1238" s="61">
        <v>79.515000000000001</v>
      </c>
      <c r="H1238" s="61">
        <v>88.579300000000003</v>
      </c>
    </row>
    <row r="1239" spans="1:8" x14ac:dyDescent="0.15">
      <c r="A1239" s="61" t="s">
        <v>13</v>
      </c>
      <c r="B1239" s="61">
        <v>10010</v>
      </c>
      <c r="C1239" s="61">
        <v>19</v>
      </c>
      <c r="D1239" s="61">
        <v>4.9024000000000001</v>
      </c>
      <c r="E1239" s="61">
        <v>409.18860000000001</v>
      </c>
      <c r="F1239" s="61">
        <v>15.108000000000001</v>
      </c>
      <c r="G1239" s="61">
        <v>79.514099999999999</v>
      </c>
      <c r="H1239" s="61">
        <v>88.480500000000006</v>
      </c>
    </row>
    <row r="1240" spans="1:8" x14ac:dyDescent="0.15">
      <c r="A1240" s="61" t="s">
        <v>13</v>
      </c>
      <c r="B1240" s="61">
        <v>10010</v>
      </c>
      <c r="C1240" s="61">
        <v>19</v>
      </c>
      <c r="D1240" s="61">
        <v>4.9024999999999999</v>
      </c>
      <c r="E1240" s="61">
        <v>409.1823</v>
      </c>
      <c r="F1240" s="61">
        <v>15.106999999999999</v>
      </c>
      <c r="G1240" s="61">
        <v>79.512900000000002</v>
      </c>
      <c r="H1240" s="61">
        <v>88.581500000000005</v>
      </c>
    </row>
    <row r="1241" spans="1:8" x14ac:dyDescent="0.15">
      <c r="A1241" s="61" t="s">
        <v>13</v>
      </c>
      <c r="B1241" s="61">
        <v>10010</v>
      </c>
      <c r="C1241" s="61">
        <v>19</v>
      </c>
      <c r="D1241" s="61">
        <v>4.9028999999999998</v>
      </c>
      <c r="E1241" s="61">
        <v>409.1438</v>
      </c>
      <c r="F1241" s="61">
        <v>15.106</v>
      </c>
      <c r="G1241" s="61">
        <v>79.505399999999995</v>
      </c>
      <c r="H1241" s="61">
        <v>88.487499999999997</v>
      </c>
    </row>
    <row r="1242" spans="1:8" x14ac:dyDescent="0.15">
      <c r="A1242" s="61" t="s">
        <v>13</v>
      </c>
      <c r="B1242" s="61">
        <v>10010</v>
      </c>
      <c r="C1242" s="61">
        <v>19</v>
      </c>
      <c r="D1242" s="61">
        <v>4.9004000000000003</v>
      </c>
      <c r="E1242" s="61">
        <v>409.35390000000001</v>
      </c>
      <c r="F1242" s="61">
        <v>15.114000000000001</v>
      </c>
      <c r="G1242" s="61">
        <v>79.546199999999999</v>
      </c>
      <c r="H1242" s="61">
        <v>88.545400000000001</v>
      </c>
    </row>
    <row r="1243" spans="1:8" x14ac:dyDescent="0.15">
      <c r="A1243" s="61" t="s">
        <v>13</v>
      </c>
      <c r="B1243" s="61">
        <v>10010</v>
      </c>
      <c r="C1243" s="61">
        <v>19</v>
      </c>
      <c r="D1243" s="61">
        <v>4.9029999999999996</v>
      </c>
      <c r="E1243" s="61">
        <v>409.13560000000001</v>
      </c>
      <c r="F1243" s="61">
        <v>15.106</v>
      </c>
      <c r="G1243" s="61">
        <v>79.503799999999998</v>
      </c>
      <c r="H1243" s="61">
        <v>88.487499999999997</v>
      </c>
    </row>
    <row r="1244" spans="1:8" x14ac:dyDescent="0.15">
      <c r="A1244" s="61" t="s">
        <v>13</v>
      </c>
      <c r="B1244" s="61">
        <v>10010</v>
      </c>
      <c r="C1244" s="61">
        <v>19</v>
      </c>
      <c r="D1244" s="61">
        <v>4.9024999999999999</v>
      </c>
      <c r="E1244" s="61">
        <v>409.18340000000001</v>
      </c>
      <c r="F1244" s="61">
        <v>15.106999999999999</v>
      </c>
      <c r="G1244" s="61">
        <v>79.513099999999994</v>
      </c>
      <c r="H1244" s="61">
        <v>88.581299999999999</v>
      </c>
    </row>
    <row r="1245" spans="1:8" x14ac:dyDescent="0.15">
      <c r="A1245" s="61" t="s">
        <v>13</v>
      </c>
      <c r="B1245" s="61">
        <v>10010</v>
      </c>
      <c r="C1245" s="61">
        <v>19</v>
      </c>
      <c r="D1245" s="61">
        <v>4.9023000000000003</v>
      </c>
      <c r="E1245" s="61">
        <v>409.19380000000001</v>
      </c>
      <c r="F1245" s="61">
        <v>15.108000000000001</v>
      </c>
      <c r="G1245" s="61">
        <v>79.515100000000004</v>
      </c>
      <c r="H1245" s="61">
        <v>88.478800000000007</v>
      </c>
    </row>
    <row r="1246" spans="1:8" x14ac:dyDescent="0.15">
      <c r="A1246" s="61" t="s">
        <v>13</v>
      </c>
      <c r="B1246" s="61">
        <v>10010</v>
      </c>
      <c r="C1246" s="61">
        <v>19</v>
      </c>
      <c r="D1246" s="61">
        <v>4.9031000000000002</v>
      </c>
      <c r="E1246" s="61">
        <v>409.13099999999997</v>
      </c>
      <c r="F1246" s="61">
        <v>15.106</v>
      </c>
      <c r="G1246" s="61">
        <v>79.502899999999997</v>
      </c>
      <c r="H1246" s="61">
        <v>88.591300000000004</v>
      </c>
    </row>
    <row r="1247" spans="1:8" x14ac:dyDescent="0.15">
      <c r="A1247" s="61" t="s">
        <v>13</v>
      </c>
      <c r="B1247" s="61">
        <v>10010</v>
      </c>
      <c r="C1247" s="61">
        <v>19</v>
      </c>
      <c r="D1247" s="61">
        <v>4.9020000000000001</v>
      </c>
      <c r="E1247" s="61">
        <v>409.22430000000003</v>
      </c>
      <c r="F1247" s="61">
        <v>15.109</v>
      </c>
      <c r="G1247" s="61">
        <v>79.521000000000001</v>
      </c>
      <c r="H1247" s="61">
        <v>88.470699999999994</v>
      </c>
    </row>
    <row r="1248" spans="1:8" x14ac:dyDescent="0.15">
      <c r="A1248" s="61" t="s">
        <v>13</v>
      </c>
      <c r="B1248" s="61">
        <v>10010</v>
      </c>
      <c r="C1248" s="61">
        <v>19</v>
      </c>
      <c r="D1248" s="61">
        <v>4.9028999999999998</v>
      </c>
      <c r="E1248" s="61">
        <v>409.14890000000003</v>
      </c>
      <c r="F1248" s="61">
        <v>15.106</v>
      </c>
      <c r="G1248" s="61">
        <v>79.506399999999999</v>
      </c>
      <c r="H1248" s="61">
        <v>88.586399999999998</v>
      </c>
    </row>
    <row r="1249" spans="1:8" x14ac:dyDescent="0.15">
      <c r="A1249" s="61" t="s">
        <v>13</v>
      </c>
      <c r="B1249" s="61">
        <v>10010</v>
      </c>
      <c r="C1249" s="61">
        <v>19</v>
      </c>
      <c r="D1249" s="61">
        <v>4.9028</v>
      </c>
      <c r="E1249" s="61">
        <v>409.15120000000002</v>
      </c>
      <c r="F1249" s="61">
        <v>15.106</v>
      </c>
      <c r="G1249" s="61">
        <v>79.506799999999998</v>
      </c>
      <c r="H1249" s="61">
        <v>88.484899999999996</v>
      </c>
    </row>
    <row r="1250" spans="1:8" x14ac:dyDescent="0.15">
      <c r="A1250" s="61" t="s">
        <v>13</v>
      </c>
      <c r="B1250" s="61">
        <v>10010</v>
      </c>
      <c r="C1250" s="61">
        <v>19</v>
      </c>
      <c r="D1250" s="61">
        <v>4.9028</v>
      </c>
      <c r="E1250" s="61">
        <v>409.15809999999999</v>
      </c>
      <c r="F1250" s="61">
        <v>15.106999999999999</v>
      </c>
      <c r="G1250" s="61">
        <v>79.508200000000002</v>
      </c>
      <c r="H1250" s="61">
        <v>88.575199999999995</v>
      </c>
    </row>
    <row r="1251" spans="1:8" x14ac:dyDescent="0.15">
      <c r="A1251" s="61" t="s">
        <v>13</v>
      </c>
      <c r="B1251" s="61">
        <v>10010</v>
      </c>
      <c r="C1251" s="61">
        <v>19</v>
      </c>
      <c r="D1251" s="61">
        <v>4.9021999999999997</v>
      </c>
      <c r="E1251" s="61">
        <v>409.20639999999997</v>
      </c>
      <c r="F1251" s="61">
        <v>15.108000000000001</v>
      </c>
      <c r="G1251" s="61">
        <v>79.517499999999998</v>
      </c>
      <c r="H1251" s="61">
        <v>88.478499999999997</v>
      </c>
    </row>
    <row r="1252" spans="1:8" x14ac:dyDescent="0.15">
      <c r="A1252" s="61" t="s">
        <v>13</v>
      </c>
      <c r="B1252" s="61">
        <v>10010</v>
      </c>
      <c r="C1252" s="61">
        <v>19</v>
      </c>
      <c r="D1252" s="61">
        <v>4.9038000000000004</v>
      </c>
      <c r="E1252" s="61">
        <v>409.06889999999999</v>
      </c>
      <c r="F1252" s="61">
        <v>15.103</v>
      </c>
      <c r="G1252" s="61">
        <v>79.490799999999993</v>
      </c>
      <c r="H1252" s="61">
        <v>88.6006</v>
      </c>
    </row>
    <row r="1253" spans="1:8" x14ac:dyDescent="0.15">
      <c r="A1253" s="61" t="s">
        <v>13</v>
      </c>
      <c r="B1253" s="61">
        <v>10010</v>
      </c>
      <c r="C1253" s="61">
        <v>19</v>
      </c>
      <c r="D1253" s="61">
        <v>4.9017999999999997</v>
      </c>
      <c r="E1253" s="61">
        <v>409.23500000000001</v>
      </c>
      <c r="F1253" s="61">
        <v>15.109</v>
      </c>
      <c r="G1253" s="61">
        <v>79.523099999999999</v>
      </c>
      <c r="H1253" s="61">
        <v>88.461399999999998</v>
      </c>
    </row>
    <row r="1254" spans="1:8" x14ac:dyDescent="0.15">
      <c r="A1254" s="61" t="s">
        <v>13</v>
      </c>
      <c r="B1254" s="61">
        <v>10010</v>
      </c>
      <c r="C1254" s="61">
        <v>19</v>
      </c>
      <c r="D1254" s="61">
        <v>4.9034000000000004</v>
      </c>
      <c r="E1254" s="61">
        <v>409.10140000000001</v>
      </c>
      <c r="F1254" s="61">
        <v>15.103999999999999</v>
      </c>
      <c r="G1254" s="61">
        <v>79.497200000000007</v>
      </c>
      <c r="H1254" s="61">
        <v>88.591300000000004</v>
      </c>
    </row>
    <row r="1255" spans="1:8" x14ac:dyDescent="0.15">
      <c r="A1255" s="61" t="s">
        <v>13</v>
      </c>
      <c r="B1255" s="61">
        <v>10010</v>
      </c>
      <c r="C1255" s="61">
        <v>19</v>
      </c>
      <c r="D1255" s="61">
        <v>4.9020999999999999</v>
      </c>
      <c r="E1255" s="61">
        <v>409.2122</v>
      </c>
      <c r="F1255" s="61">
        <v>15.109</v>
      </c>
      <c r="G1255" s="61">
        <v>79.518699999999995</v>
      </c>
      <c r="H1255" s="61">
        <v>88.465299999999999</v>
      </c>
    </row>
    <row r="1256" spans="1:8" x14ac:dyDescent="0.15">
      <c r="A1256" s="61" t="s">
        <v>13</v>
      </c>
      <c r="B1256" s="61">
        <v>10010</v>
      </c>
      <c r="C1256" s="61">
        <v>20</v>
      </c>
      <c r="D1256" s="61">
        <v>4.4164000000000003</v>
      </c>
      <c r="E1256" s="61">
        <v>454.21780000000001</v>
      </c>
      <c r="F1256" s="61">
        <v>16.77</v>
      </c>
      <c r="G1256" s="61">
        <v>83.850999999999999</v>
      </c>
      <c r="H1256" s="61">
        <v>88.297899999999998</v>
      </c>
    </row>
    <row r="1257" spans="1:8" x14ac:dyDescent="0.15">
      <c r="A1257" s="61" t="s">
        <v>13</v>
      </c>
      <c r="B1257" s="61">
        <v>10010</v>
      </c>
      <c r="C1257" s="61">
        <v>20</v>
      </c>
      <c r="D1257" s="61">
        <v>4.4051999999999998</v>
      </c>
      <c r="E1257" s="61">
        <v>455.37329999999997</v>
      </c>
      <c r="F1257" s="61">
        <v>16.812999999999999</v>
      </c>
      <c r="G1257" s="61">
        <v>84.064300000000003</v>
      </c>
      <c r="H1257" s="61">
        <v>88.073700000000002</v>
      </c>
    </row>
    <row r="1258" spans="1:8" x14ac:dyDescent="0.15">
      <c r="A1258" s="61" t="s">
        <v>13</v>
      </c>
      <c r="B1258" s="61">
        <v>10010</v>
      </c>
      <c r="C1258" s="61">
        <v>20</v>
      </c>
      <c r="D1258" s="61">
        <v>4.4649999999999999</v>
      </c>
      <c r="E1258" s="61">
        <v>449.2774</v>
      </c>
      <c r="F1258" s="61">
        <v>16.588000000000001</v>
      </c>
      <c r="G1258" s="61">
        <v>82.938999999999993</v>
      </c>
      <c r="H1258" s="61">
        <v>89.256299999999996</v>
      </c>
    </row>
    <row r="1259" spans="1:8" x14ac:dyDescent="0.15">
      <c r="A1259" s="61" t="s">
        <v>13</v>
      </c>
      <c r="B1259" s="61">
        <v>10010</v>
      </c>
      <c r="C1259" s="61">
        <v>20</v>
      </c>
      <c r="D1259" s="61">
        <v>4.4945000000000004</v>
      </c>
      <c r="E1259" s="61">
        <v>446.32850000000002</v>
      </c>
      <c r="F1259" s="61">
        <v>16.478999999999999</v>
      </c>
      <c r="G1259" s="61">
        <v>82.394599999999997</v>
      </c>
      <c r="H1259" s="61">
        <v>89.863299999999995</v>
      </c>
    </row>
    <row r="1260" spans="1:8" x14ac:dyDescent="0.15">
      <c r="A1260" s="61" t="s">
        <v>13</v>
      </c>
      <c r="B1260" s="61">
        <v>10010</v>
      </c>
      <c r="C1260" s="61">
        <v>20</v>
      </c>
      <c r="D1260" s="61">
        <v>4.4973000000000001</v>
      </c>
      <c r="E1260" s="61">
        <v>446.05160000000001</v>
      </c>
      <c r="F1260" s="61">
        <v>16.469000000000001</v>
      </c>
      <c r="G1260" s="61">
        <v>82.343500000000006</v>
      </c>
      <c r="H1260" s="61">
        <v>89.912099999999995</v>
      </c>
    </row>
    <row r="1261" spans="1:8" x14ac:dyDescent="0.15">
      <c r="A1261" s="61" t="s">
        <v>13</v>
      </c>
      <c r="B1261" s="61">
        <v>10010</v>
      </c>
      <c r="C1261" s="61">
        <v>20</v>
      </c>
      <c r="D1261" s="61">
        <v>4.4924999999999997</v>
      </c>
      <c r="E1261" s="61">
        <v>446.52569999999997</v>
      </c>
      <c r="F1261" s="61">
        <v>16.486000000000001</v>
      </c>
      <c r="G1261" s="61">
        <v>82.430999999999997</v>
      </c>
      <c r="H1261" s="61">
        <v>89.825699999999998</v>
      </c>
    </row>
    <row r="1262" spans="1:8" x14ac:dyDescent="0.15">
      <c r="A1262" s="61" t="s">
        <v>13</v>
      </c>
      <c r="B1262" s="61">
        <v>10010</v>
      </c>
      <c r="C1262" s="61">
        <v>20</v>
      </c>
      <c r="D1262" s="61">
        <v>4.4926000000000004</v>
      </c>
      <c r="E1262" s="61">
        <v>446.51650000000001</v>
      </c>
      <c r="F1262" s="61">
        <v>16.486000000000001</v>
      </c>
      <c r="G1262" s="61">
        <v>82.429299999999998</v>
      </c>
      <c r="H1262" s="61">
        <v>89.834500000000006</v>
      </c>
    </row>
    <row r="1263" spans="1:8" x14ac:dyDescent="0.15">
      <c r="A1263" s="61" t="s">
        <v>13</v>
      </c>
      <c r="B1263" s="61">
        <v>10010</v>
      </c>
      <c r="C1263" s="61">
        <v>20</v>
      </c>
      <c r="D1263" s="61">
        <v>4.5010000000000003</v>
      </c>
      <c r="E1263" s="61">
        <v>445.68220000000002</v>
      </c>
      <c r="F1263" s="61">
        <v>16.454999999999998</v>
      </c>
      <c r="G1263" s="61">
        <v>82.275300000000001</v>
      </c>
      <c r="H1263" s="61">
        <v>90.007300000000001</v>
      </c>
    </row>
    <row r="1264" spans="1:8" x14ac:dyDescent="0.15">
      <c r="A1264" s="61" t="s">
        <v>13</v>
      </c>
      <c r="B1264" s="61">
        <v>10010</v>
      </c>
      <c r="C1264" s="61">
        <v>20</v>
      </c>
      <c r="D1264" s="61">
        <v>4.5010000000000003</v>
      </c>
      <c r="E1264" s="61">
        <v>445.67559999999997</v>
      </c>
      <c r="F1264" s="61">
        <v>16.454999999999998</v>
      </c>
      <c r="G1264" s="61">
        <v>82.274100000000004</v>
      </c>
      <c r="H1264" s="61">
        <v>89.987300000000005</v>
      </c>
    </row>
    <row r="1265" spans="1:8" x14ac:dyDescent="0.15">
      <c r="A1265" s="61" t="s">
        <v>13</v>
      </c>
      <c r="B1265" s="61">
        <v>10010</v>
      </c>
      <c r="C1265" s="61">
        <v>20</v>
      </c>
      <c r="D1265" s="61">
        <v>4.492</v>
      </c>
      <c r="E1265" s="61">
        <v>446.57490000000001</v>
      </c>
      <c r="F1265" s="61">
        <v>16.488</v>
      </c>
      <c r="G1265" s="61">
        <v>82.440100000000001</v>
      </c>
      <c r="H1265" s="61">
        <v>89.814899999999994</v>
      </c>
    </row>
    <row r="1266" spans="1:8" x14ac:dyDescent="0.15">
      <c r="A1266" s="61" t="s">
        <v>13</v>
      </c>
      <c r="B1266" s="61">
        <v>10010</v>
      </c>
      <c r="C1266" s="61">
        <v>20</v>
      </c>
      <c r="D1266" s="61">
        <v>4.4958</v>
      </c>
      <c r="E1266" s="61">
        <v>446.19830000000002</v>
      </c>
      <c r="F1266" s="61">
        <v>16.474</v>
      </c>
      <c r="G1266" s="61">
        <v>82.370599999999996</v>
      </c>
      <c r="H1266" s="61">
        <v>89.881299999999996</v>
      </c>
    </row>
    <row r="1267" spans="1:8" x14ac:dyDescent="0.15">
      <c r="A1267" s="61" t="s">
        <v>13</v>
      </c>
      <c r="B1267" s="61">
        <v>10010</v>
      </c>
      <c r="C1267" s="61">
        <v>20</v>
      </c>
      <c r="D1267" s="61">
        <v>4.4907000000000004</v>
      </c>
      <c r="E1267" s="61">
        <v>446.70069999999998</v>
      </c>
      <c r="F1267" s="61">
        <v>16.492999999999999</v>
      </c>
      <c r="G1267" s="61">
        <v>82.463300000000004</v>
      </c>
      <c r="H1267" s="61">
        <v>89.785600000000002</v>
      </c>
    </row>
    <row r="1268" spans="1:8" x14ac:dyDescent="0.15">
      <c r="A1268" s="61" t="s">
        <v>13</v>
      </c>
      <c r="B1268" s="61">
        <v>10010</v>
      </c>
      <c r="C1268" s="61">
        <v>20</v>
      </c>
      <c r="D1268" s="61">
        <v>4.4911000000000003</v>
      </c>
      <c r="E1268" s="61">
        <v>446.66090000000003</v>
      </c>
      <c r="F1268" s="61">
        <v>16.491</v>
      </c>
      <c r="G1268" s="61">
        <v>82.456000000000003</v>
      </c>
      <c r="H1268" s="61">
        <v>89.796400000000006</v>
      </c>
    </row>
    <row r="1269" spans="1:8" x14ac:dyDescent="0.15">
      <c r="A1269" s="61" t="s">
        <v>13</v>
      </c>
      <c r="B1269" s="61">
        <v>10010</v>
      </c>
      <c r="C1269" s="61">
        <v>20</v>
      </c>
      <c r="D1269" s="61">
        <v>4.5026999999999999</v>
      </c>
      <c r="E1269" s="61">
        <v>445.5102</v>
      </c>
      <c r="F1269" s="61">
        <v>16.449000000000002</v>
      </c>
      <c r="G1269" s="61">
        <v>82.243600000000001</v>
      </c>
      <c r="H1269" s="61">
        <v>90.012200000000007</v>
      </c>
    </row>
    <row r="1270" spans="1:8" x14ac:dyDescent="0.15">
      <c r="A1270" s="61" t="s">
        <v>13</v>
      </c>
      <c r="B1270" s="61">
        <v>10010</v>
      </c>
      <c r="C1270" s="61">
        <v>20</v>
      </c>
      <c r="D1270" s="61">
        <v>4.4946000000000002</v>
      </c>
      <c r="E1270" s="61">
        <v>446.31549999999999</v>
      </c>
      <c r="F1270" s="61">
        <v>16.478000000000002</v>
      </c>
      <c r="G1270" s="61">
        <v>82.392200000000003</v>
      </c>
      <c r="H1270" s="61">
        <v>89.865200000000002</v>
      </c>
    </row>
    <row r="1271" spans="1:8" x14ac:dyDescent="0.15">
      <c r="A1271" s="61" t="s">
        <v>13</v>
      </c>
      <c r="B1271" s="61">
        <v>10010</v>
      </c>
      <c r="C1271" s="61">
        <v>20</v>
      </c>
      <c r="D1271" s="61">
        <v>4.5048000000000004</v>
      </c>
      <c r="E1271" s="61">
        <v>445.3039</v>
      </c>
      <c r="F1271" s="61">
        <v>16.440999999999999</v>
      </c>
      <c r="G1271" s="61">
        <v>82.205500000000001</v>
      </c>
      <c r="H1271" s="61">
        <v>90.032700000000006</v>
      </c>
    </row>
    <row r="1272" spans="1:8" x14ac:dyDescent="0.15">
      <c r="A1272" s="61" t="s">
        <v>13</v>
      </c>
      <c r="B1272" s="61">
        <v>10010</v>
      </c>
      <c r="C1272" s="61">
        <v>20</v>
      </c>
      <c r="D1272" s="61">
        <v>4.4953000000000003</v>
      </c>
      <c r="E1272" s="61">
        <v>446.24639999999999</v>
      </c>
      <c r="F1272" s="61">
        <v>16.475999999999999</v>
      </c>
      <c r="G1272" s="61">
        <v>82.379499999999993</v>
      </c>
      <c r="H1272" s="61">
        <v>89.894000000000005</v>
      </c>
    </row>
    <row r="1273" spans="1:8" x14ac:dyDescent="0.15">
      <c r="A1273" s="61" t="s">
        <v>13</v>
      </c>
      <c r="B1273" s="61">
        <v>10010</v>
      </c>
      <c r="C1273" s="61">
        <v>20</v>
      </c>
      <c r="D1273" s="61">
        <v>4.4919000000000002</v>
      </c>
      <c r="E1273" s="61">
        <v>446.5838</v>
      </c>
      <c r="F1273" s="61">
        <v>16.488</v>
      </c>
      <c r="G1273" s="61">
        <v>82.441699999999997</v>
      </c>
      <c r="H1273" s="61">
        <v>89.824200000000005</v>
      </c>
    </row>
    <row r="1274" spans="1:8" x14ac:dyDescent="0.15">
      <c r="A1274" s="61" t="s">
        <v>13</v>
      </c>
      <c r="B1274" s="61">
        <v>10010</v>
      </c>
      <c r="C1274" s="61">
        <v>20</v>
      </c>
      <c r="D1274" s="61">
        <v>4.4954000000000001</v>
      </c>
      <c r="E1274" s="61">
        <v>446.23820000000001</v>
      </c>
      <c r="F1274" s="61">
        <v>16.475999999999999</v>
      </c>
      <c r="G1274" s="61">
        <v>82.378</v>
      </c>
      <c r="H1274" s="61">
        <v>89.884299999999996</v>
      </c>
    </row>
    <row r="1275" spans="1:8" x14ac:dyDescent="0.15">
      <c r="A1275" s="61" t="s">
        <v>13</v>
      </c>
      <c r="B1275" s="61">
        <v>10010</v>
      </c>
      <c r="C1275" s="61">
        <v>20</v>
      </c>
      <c r="D1275" s="61">
        <v>4.4888000000000003</v>
      </c>
      <c r="E1275" s="61">
        <v>446.89359999999999</v>
      </c>
      <c r="F1275" s="61">
        <v>16.5</v>
      </c>
      <c r="G1275" s="61">
        <v>82.498900000000006</v>
      </c>
      <c r="H1275" s="61">
        <v>89.747100000000003</v>
      </c>
    </row>
    <row r="1276" spans="1:8" x14ac:dyDescent="0.15">
      <c r="A1276" s="61" t="s">
        <v>13</v>
      </c>
      <c r="B1276" s="61">
        <v>10010</v>
      </c>
      <c r="C1276" s="61">
        <v>20</v>
      </c>
      <c r="D1276" s="61">
        <v>4.4923999999999999</v>
      </c>
      <c r="E1276" s="61">
        <v>446.53449999999998</v>
      </c>
      <c r="F1276" s="61">
        <v>16.486999999999998</v>
      </c>
      <c r="G1276" s="61">
        <v>82.432699999999997</v>
      </c>
      <c r="H1276" s="61">
        <v>89.805700000000002</v>
      </c>
    </row>
    <row r="1277" spans="1:8" x14ac:dyDescent="0.15">
      <c r="A1277" s="61" t="s">
        <v>13</v>
      </c>
      <c r="B1277" s="61">
        <v>10010</v>
      </c>
      <c r="C1277" s="61">
        <v>20</v>
      </c>
      <c r="D1277" s="61">
        <v>4.4878999999999998</v>
      </c>
      <c r="E1277" s="61">
        <v>446.97710000000001</v>
      </c>
      <c r="F1277" s="61">
        <v>16.503</v>
      </c>
      <c r="G1277" s="61">
        <v>82.514399999999995</v>
      </c>
      <c r="H1277" s="61">
        <v>89.727999999999994</v>
      </c>
    </row>
    <row r="1278" spans="1:8" x14ac:dyDescent="0.15">
      <c r="A1278" s="61" t="s">
        <v>13</v>
      </c>
      <c r="B1278" s="61">
        <v>10010</v>
      </c>
      <c r="C1278" s="61">
        <v>20</v>
      </c>
      <c r="D1278" s="61">
        <v>4.4889000000000001</v>
      </c>
      <c r="E1278" s="61">
        <v>446.8777</v>
      </c>
      <c r="F1278" s="61">
        <v>16.498999999999999</v>
      </c>
      <c r="G1278" s="61">
        <v>82.495999999999995</v>
      </c>
      <c r="H1278" s="61">
        <v>89.755399999999995</v>
      </c>
    </row>
    <row r="1279" spans="1:8" x14ac:dyDescent="0.15">
      <c r="A1279" s="61" t="s">
        <v>13</v>
      </c>
      <c r="B1279" s="61">
        <v>10010</v>
      </c>
      <c r="C1279" s="61">
        <v>20</v>
      </c>
      <c r="D1279" s="61">
        <v>4.4888000000000003</v>
      </c>
      <c r="E1279" s="61">
        <v>446.8956</v>
      </c>
      <c r="F1279" s="61">
        <v>16.5</v>
      </c>
      <c r="G1279" s="61">
        <v>82.499300000000005</v>
      </c>
      <c r="H1279" s="61">
        <v>89.750500000000002</v>
      </c>
    </row>
    <row r="1280" spans="1:8" x14ac:dyDescent="0.15">
      <c r="A1280" s="61" t="s">
        <v>13</v>
      </c>
      <c r="B1280" s="61">
        <v>10010</v>
      </c>
      <c r="C1280" s="61">
        <v>20</v>
      </c>
      <c r="D1280" s="61">
        <v>4.4858000000000002</v>
      </c>
      <c r="E1280" s="61">
        <v>447.18819999999999</v>
      </c>
      <c r="F1280" s="61">
        <v>16.510999999999999</v>
      </c>
      <c r="G1280" s="61">
        <v>82.553299999999993</v>
      </c>
      <c r="H1280" s="61">
        <v>89.688500000000005</v>
      </c>
    </row>
    <row r="1281" spans="1:8" x14ac:dyDescent="0.15">
      <c r="A1281" s="61" t="s">
        <v>13</v>
      </c>
      <c r="B1281" s="61">
        <v>10010</v>
      </c>
      <c r="C1281" s="61">
        <v>20</v>
      </c>
      <c r="D1281" s="61">
        <v>4.5324999999999998</v>
      </c>
      <c r="E1281" s="61">
        <v>442.58600000000001</v>
      </c>
      <c r="F1281" s="61">
        <v>16.341000000000001</v>
      </c>
      <c r="G1281" s="61">
        <v>81.703699999999998</v>
      </c>
      <c r="H1281" s="61">
        <v>90.525899999999993</v>
      </c>
    </row>
    <row r="1282" spans="1:8" x14ac:dyDescent="0.15">
      <c r="A1282" s="61" t="s">
        <v>13</v>
      </c>
      <c r="B1282" s="61">
        <v>10010</v>
      </c>
      <c r="C1282" s="61">
        <v>20</v>
      </c>
      <c r="D1282" s="61">
        <v>4.4893000000000001</v>
      </c>
      <c r="E1282" s="61">
        <v>446.84370000000001</v>
      </c>
      <c r="F1282" s="61">
        <v>16.498000000000001</v>
      </c>
      <c r="G1282" s="61">
        <v>82.489699999999999</v>
      </c>
      <c r="H1282" s="61">
        <v>89.745599999999996</v>
      </c>
    </row>
    <row r="1283" spans="1:8" x14ac:dyDescent="0.15">
      <c r="A1283" s="61" t="s">
        <v>13</v>
      </c>
      <c r="B1283" s="61">
        <v>10010</v>
      </c>
      <c r="C1283" s="61">
        <v>20</v>
      </c>
      <c r="D1283" s="61">
        <v>4.4867999999999997</v>
      </c>
      <c r="E1283" s="61">
        <v>447.09469999999999</v>
      </c>
      <c r="F1283" s="61">
        <v>16.507000000000001</v>
      </c>
      <c r="G1283" s="61">
        <v>82.536000000000001</v>
      </c>
      <c r="H1283" s="61">
        <v>89.721199999999996</v>
      </c>
    </row>
    <row r="1284" spans="1:8" x14ac:dyDescent="0.15">
      <c r="A1284" s="61" t="s">
        <v>13</v>
      </c>
      <c r="B1284" s="61">
        <v>10010</v>
      </c>
      <c r="C1284" s="61">
        <v>20</v>
      </c>
      <c r="D1284" s="61">
        <v>4.4835000000000003</v>
      </c>
      <c r="E1284" s="61">
        <v>447.42099999999999</v>
      </c>
      <c r="F1284" s="61">
        <v>16.518999999999998</v>
      </c>
      <c r="G1284" s="61">
        <v>82.596299999999999</v>
      </c>
      <c r="H1284" s="61">
        <v>89.643600000000006</v>
      </c>
    </row>
    <row r="1285" spans="1:8" x14ac:dyDescent="0.15">
      <c r="A1285" s="61" t="s">
        <v>13</v>
      </c>
      <c r="B1285" s="61">
        <v>10010</v>
      </c>
      <c r="C1285" s="61">
        <v>20</v>
      </c>
      <c r="D1285" s="61">
        <v>4.4843999999999999</v>
      </c>
      <c r="E1285" s="61">
        <v>447.33420000000001</v>
      </c>
      <c r="F1285" s="61">
        <v>16.515999999999998</v>
      </c>
      <c r="G1285" s="61">
        <v>82.580299999999994</v>
      </c>
      <c r="H1285" s="61">
        <v>89.6494</v>
      </c>
    </row>
    <row r="1286" spans="1:8" x14ac:dyDescent="0.15">
      <c r="A1286" s="61" t="s">
        <v>13</v>
      </c>
      <c r="B1286" s="61">
        <v>10010</v>
      </c>
      <c r="C1286" s="61">
        <v>20</v>
      </c>
      <c r="D1286" s="61">
        <v>4.4888000000000003</v>
      </c>
      <c r="E1286" s="61">
        <v>446.89440000000002</v>
      </c>
      <c r="F1286" s="61">
        <v>16.5</v>
      </c>
      <c r="G1286" s="61">
        <v>82.499099999999999</v>
      </c>
      <c r="H1286" s="61">
        <v>89.744100000000003</v>
      </c>
    </row>
    <row r="1287" spans="1:8" x14ac:dyDescent="0.15">
      <c r="A1287" s="61" t="s">
        <v>13</v>
      </c>
      <c r="B1287" s="61">
        <v>10010</v>
      </c>
      <c r="C1287" s="61">
        <v>20</v>
      </c>
      <c r="D1287" s="61">
        <v>4.4846000000000004</v>
      </c>
      <c r="E1287" s="61">
        <v>447.31200000000001</v>
      </c>
      <c r="F1287" s="61">
        <v>16.515000000000001</v>
      </c>
      <c r="G1287" s="61">
        <v>82.5762</v>
      </c>
      <c r="H1287" s="61">
        <v>89.662599999999998</v>
      </c>
    </row>
    <row r="1288" spans="1:8" x14ac:dyDescent="0.15">
      <c r="A1288" s="61" t="s">
        <v>13</v>
      </c>
      <c r="B1288" s="61">
        <v>10010</v>
      </c>
      <c r="C1288" s="61">
        <v>20</v>
      </c>
      <c r="D1288" s="61">
        <v>4.4829999999999997</v>
      </c>
      <c r="E1288" s="61">
        <v>447.47019999999998</v>
      </c>
      <c r="F1288" s="61">
        <v>16.521000000000001</v>
      </c>
      <c r="G1288" s="61">
        <v>82.605400000000003</v>
      </c>
      <c r="H1288" s="61">
        <v>89.632300000000001</v>
      </c>
    </row>
    <row r="1289" spans="1:8" x14ac:dyDescent="0.15">
      <c r="A1289" s="61" t="s">
        <v>13</v>
      </c>
      <c r="B1289" s="61">
        <v>10010</v>
      </c>
      <c r="C1289" s="61">
        <v>20</v>
      </c>
      <c r="D1289" s="61">
        <v>4.4935999999999998</v>
      </c>
      <c r="E1289" s="61">
        <v>446.41809999999998</v>
      </c>
      <c r="F1289" s="61">
        <v>16.481999999999999</v>
      </c>
      <c r="G1289" s="61">
        <v>82.411199999999994</v>
      </c>
      <c r="H1289" s="61">
        <v>89.843299999999999</v>
      </c>
    </row>
    <row r="1290" spans="1:8" x14ac:dyDescent="0.15">
      <c r="A1290" s="61" t="s">
        <v>13</v>
      </c>
      <c r="B1290" s="61">
        <v>10010</v>
      </c>
      <c r="C1290" s="61">
        <v>20</v>
      </c>
      <c r="D1290" s="61">
        <v>4.4999000000000002</v>
      </c>
      <c r="E1290" s="61">
        <v>445.78449999999998</v>
      </c>
      <c r="F1290" s="61">
        <v>16.459</v>
      </c>
      <c r="G1290" s="61">
        <v>82.294200000000004</v>
      </c>
      <c r="H1290" s="61">
        <v>89.965299999999999</v>
      </c>
    </row>
    <row r="1291" spans="1:8" x14ac:dyDescent="0.15">
      <c r="A1291" s="61" t="s">
        <v>13</v>
      </c>
      <c r="B1291" s="61">
        <v>10010</v>
      </c>
      <c r="C1291" s="61">
        <v>20</v>
      </c>
      <c r="D1291" s="61">
        <v>4.4920999999999998</v>
      </c>
      <c r="E1291" s="61">
        <v>446.56400000000002</v>
      </c>
      <c r="F1291" s="61">
        <v>16.488</v>
      </c>
      <c r="G1291" s="61">
        <v>82.438100000000006</v>
      </c>
      <c r="H1291" s="61">
        <v>89.811000000000007</v>
      </c>
    </row>
    <row r="1292" spans="1:8" x14ac:dyDescent="0.15">
      <c r="A1292" s="61" t="s">
        <v>13</v>
      </c>
      <c r="B1292" s="61">
        <v>10010</v>
      </c>
      <c r="C1292" s="61">
        <v>20</v>
      </c>
      <c r="D1292" s="61">
        <v>4.4850000000000003</v>
      </c>
      <c r="E1292" s="61">
        <v>447.27120000000002</v>
      </c>
      <c r="F1292" s="61">
        <v>16.513999999999999</v>
      </c>
      <c r="G1292" s="61">
        <v>82.568600000000004</v>
      </c>
      <c r="H1292" s="61">
        <v>89.705100000000002</v>
      </c>
    </row>
    <row r="1293" spans="1:8" x14ac:dyDescent="0.15">
      <c r="A1293" s="61" t="s">
        <v>13</v>
      </c>
      <c r="B1293" s="61">
        <v>10010</v>
      </c>
      <c r="C1293" s="61">
        <v>20</v>
      </c>
      <c r="D1293" s="61">
        <v>4.4951999999999996</v>
      </c>
      <c r="E1293" s="61">
        <v>446.25049999999999</v>
      </c>
      <c r="F1293" s="61">
        <v>16.475999999999999</v>
      </c>
      <c r="G1293" s="61">
        <v>82.380200000000002</v>
      </c>
      <c r="H1293" s="61">
        <v>89.879900000000006</v>
      </c>
    </row>
    <row r="1294" spans="1:8" x14ac:dyDescent="0.15">
      <c r="A1294" s="61" t="s">
        <v>13</v>
      </c>
      <c r="B1294" s="61">
        <v>10010</v>
      </c>
      <c r="C1294" s="61">
        <v>20</v>
      </c>
      <c r="D1294" s="61">
        <v>4.4968000000000004</v>
      </c>
      <c r="E1294" s="61">
        <v>446.09640000000002</v>
      </c>
      <c r="F1294" s="61">
        <v>16.47</v>
      </c>
      <c r="G1294" s="61">
        <v>82.351799999999997</v>
      </c>
      <c r="H1294" s="61">
        <v>89.900400000000005</v>
      </c>
    </row>
    <row r="1295" spans="1:8" x14ac:dyDescent="0.15">
      <c r="A1295" s="61" t="s">
        <v>13</v>
      </c>
      <c r="B1295" s="61">
        <v>10010</v>
      </c>
      <c r="C1295" s="61">
        <v>20</v>
      </c>
      <c r="D1295" s="61">
        <v>4.5400999999999998</v>
      </c>
      <c r="E1295" s="61">
        <v>441.84500000000003</v>
      </c>
      <c r="F1295" s="61">
        <v>16.312999999999999</v>
      </c>
      <c r="G1295" s="61">
        <v>81.566900000000004</v>
      </c>
      <c r="H1295" s="61">
        <v>90.640600000000006</v>
      </c>
    </row>
    <row r="1296" spans="1:8" x14ac:dyDescent="0.15">
      <c r="A1296" s="61" t="s">
        <v>13</v>
      </c>
      <c r="B1296" s="61">
        <v>10010</v>
      </c>
      <c r="C1296" s="61">
        <v>20</v>
      </c>
      <c r="D1296" s="61">
        <v>4.5033000000000003</v>
      </c>
      <c r="E1296" s="61">
        <v>445.45510000000002</v>
      </c>
      <c r="F1296" s="61">
        <v>16.446999999999999</v>
      </c>
      <c r="G1296" s="61">
        <v>82.233400000000003</v>
      </c>
      <c r="H1296" s="61">
        <v>89.931600000000003</v>
      </c>
    </row>
    <row r="1297" spans="1:8" x14ac:dyDescent="0.15">
      <c r="A1297" s="61" t="s">
        <v>13</v>
      </c>
      <c r="B1297" s="61">
        <v>10010</v>
      </c>
      <c r="C1297" s="61">
        <v>20</v>
      </c>
      <c r="D1297" s="61">
        <v>4.4916</v>
      </c>
      <c r="E1297" s="61">
        <v>446.60939999999999</v>
      </c>
      <c r="F1297" s="61">
        <v>16.489000000000001</v>
      </c>
      <c r="G1297" s="61">
        <v>82.4465</v>
      </c>
      <c r="H1297" s="61">
        <v>89.802700000000002</v>
      </c>
    </row>
    <row r="1298" spans="1:8" x14ac:dyDescent="0.15">
      <c r="A1298" s="61" t="s">
        <v>13</v>
      </c>
      <c r="B1298" s="61">
        <v>10010</v>
      </c>
      <c r="C1298" s="61">
        <v>20</v>
      </c>
      <c r="D1298" s="61">
        <v>4.5002000000000004</v>
      </c>
      <c r="E1298" s="61">
        <v>445.76350000000002</v>
      </c>
      <c r="F1298" s="61">
        <v>16.457999999999998</v>
      </c>
      <c r="G1298" s="61">
        <v>82.290300000000002</v>
      </c>
      <c r="H1298" s="61">
        <v>89.945300000000003</v>
      </c>
    </row>
    <row r="1299" spans="1:8" x14ac:dyDescent="0.15">
      <c r="A1299" s="61" t="s">
        <v>13</v>
      </c>
      <c r="B1299" s="61">
        <v>10010</v>
      </c>
      <c r="C1299" s="61">
        <v>20</v>
      </c>
      <c r="D1299" s="61">
        <v>4.4912999999999998</v>
      </c>
      <c r="E1299" s="61">
        <v>446.64100000000002</v>
      </c>
      <c r="F1299" s="61">
        <v>16.489999999999998</v>
      </c>
      <c r="G1299" s="61">
        <v>82.452299999999994</v>
      </c>
      <c r="H1299" s="61">
        <v>89.799800000000005</v>
      </c>
    </row>
    <row r="1300" spans="1:8" x14ac:dyDescent="0.15">
      <c r="A1300" s="61" t="s">
        <v>13</v>
      </c>
      <c r="B1300" s="61">
        <v>10010</v>
      </c>
      <c r="C1300" s="61">
        <v>20</v>
      </c>
      <c r="D1300" s="61">
        <v>4.4931000000000001</v>
      </c>
      <c r="E1300" s="61">
        <v>446.46409999999997</v>
      </c>
      <c r="F1300" s="61">
        <v>16.484000000000002</v>
      </c>
      <c r="G1300" s="61">
        <v>82.419600000000003</v>
      </c>
      <c r="H1300" s="61">
        <v>89.8262</v>
      </c>
    </row>
    <row r="1301" spans="1:8" x14ac:dyDescent="0.15">
      <c r="A1301" s="61" t="s">
        <v>13</v>
      </c>
      <c r="B1301" s="61">
        <v>10010</v>
      </c>
      <c r="C1301" s="61">
        <v>20</v>
      </c>
      <c r="D1301" s="61">
        <v>4.6262999999999996</v>
      </c>
      <c r="E1301" s="61">
        <v>433.61329999999998</v>
      </c>
      <c r="F1301" s="61">
        <v>16.009</v>
      </c>
      <c r="G1301" s="61">
        <v>80.047300000000007</v>
      </c>
      <c r="H1301" s="61">
        <v>92.121099999999998</v>
      </c>
    </row>
    <row r="1302" spans="1:8" x14ac:dyDescent="0.15">
      <c r="A1302" s="61" t="s">
        <v>13</v>
      </c>
      <c r="B1302" s="61">
        <v>10010</v>
      </c>
      <c r="C1302" s="61">
        <v>20</v>
      </c>
      <c r="D1302" s="61">
        <v>4.7218999999999998</v>
      </c>
      <c r="E1302" s="61">
        <v>424.82679999999999</v>
      </c>
      <c r="F1302" s="61">
        <v>15.685</v>
      </c>
      <c r="G1302" s="61">
        <v>78.425299999999993</v>
      </c>
      <c r="H1302" s="61">
        <v>93.771500000000003</v>
      </c>
    </row>
    <row r="1303" spans="1:8" x14ac:dyDescent="0.15">
      <c r="A1303" s="61" t="s">
        <v>13</v>
      </c>
      <c r="B1303" s="61">
        <v>10010</v>
      </c>
      <c r="C1303" s="61">
        <v>20</v>
      </c>
      <c r="D1303" s="61">
        <v>4.5541</v>
      </c>
      <c r="E1303" s="61">
        <v>440.48250000000002</v>
      </c>
      <c r="F1303" s="61">
        <v>16.263000000000002</v>
      </c>
      <c r="G1303" s="61">
        <v>81.315399999999997</v>
      </c>
      <c r="H1303" s="61">
        <v>90.767600000000002</v>
      </c>
    </row>
    <row r="1304" spans="1:8" x14ac:dyDescent="0.15">
      <c r="A1304" s="61" t="s">
        <v>13</v>
      </c>
      <c r="B1304" s="61">
        <v>10010</v>
      </c>
      <c r="C1304" s="61">
        <v>20</v>
      </c>
      <c r="D1304" s="61">
        <v>4.4941000000000004</v>
      </c>
      <c r="E1304" s="61">
        <v>446.36660000000001</v>
      </c>
      <c r="F1304" s="61">
        <v>16.48</v>
      </c>
      <c r="G1304" s="61">
        <v>82.401600000000002</v>
      </c>
      <c r="H1304" s="61">
        <v>89.846699999999998</v>
      </c>
    </row>
    <row r="1305" spans="1:8" x14ac:dyDescent="0.15">
      <c r="A1305" s="61" t="s">
        <v>13</v>
      </c>
      <c r="B1305" s="61">
        <v>10010</v>
      </c>
      <c r="C1305" s="61">
        <v>20</v>
      </c>
      <c r="D1305" s="61">
        <v>4.4874000000000001</v>
      </c>
      <c r="E1305" s="61">
        <v>447.02949999999998</v>
      </c>
      <c r="F1305" s="61">
        <v>16.504999999999999</v>
      </c>
      <c r="G1305" s="61">
        <v>82.524000000000001</v>
      </c>
      <c r="H1305" s="61">
        <v>89.724599999999995</v>
      </c>
    </row>
    <row r="1306" spans="1:8" x14ac:dyDescent="0.15">
      <c r="A1306" s="61" t="s">
        <v>13</v>
      </c>
      <c r="B1306" s="61">
        <v>10010</v>
      </c>
      <c r="C1306" s="61">
        <v>20</v>
      </c>
      <c r="D1306" s="61">
        <v>4.4884000000000004</v>
      </c>
      <c r="E1306" s="61">
        <v>446.93439999999998</v>
      </c>
      <c r="F1306" s="61">
        <v>16.501000000000001</v>
      </c>
      <c r="G1306" s="61">
        <v>82.506500000000003</v>
      </c>
      <c r="H1306" s="61">
        <v>89.738299999999995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"/>
  <sheetViews>
    <sheetView tabSelected="1" topLeftCell="A61" zoomScale="130" zoomScaleNormal="130" zoomScalePageLayoutView="130" workbookViewId="0">
      <selection activeCell="K53" sqref="K53"/>
    </sheetView>
  </sheetViews>
  <sheetFormatPr baseColWidth="10" defaultRowHeight="13" x14ac:dyDescent="0.15"/>
  <cols>
    <col min="1" max="1" width="22.83203125" style="1" customWidth="1"/>
    <col min="2" max="2" width="8.83203125" customWidth="1"/>
    <col min="3" max="3" width="8.1640625" customWidth="1"/>
    <col min="4" max="4" width="8.6640625" customWidth="1"/>
    <col min="12" max="12" width="10.83203125" style="1"/>
    <col min="13" max="13" width="22.1640625" customWidth="1"/>
    <col min="14" max="14" width="18.83203125" customWidth="1"/>
  </cols>
  <sheetData>
    <row r="1" spans="1:20" x14ac:dyDescent="0.15">
      <c r="B1" t="s">
        <v>25</v>
      </c>
      <c r="D1" t="str">
        <f>data!C1</f>
        <v>r3i2n4</v>
      </c>
    </row>
    <row r="2" spans="1:20" ht="14" thickBot="1" x14ac:dyDescent="0.2"/>
    <row r="3" spans="1:20" ht="14" thickBot="1" x14ac:dyDescent="0.2">
      <c r="E3" s="62" t="s">
        <v>20</v>
      </c>
      <c r="F3" s="63"/>
      <c r="G3" s="63"/>
      <c r="H3" s="64"/>
      <c r="I3" s="62" t="s">
        <v>7</v>
      </c>
      <c r="J3" s="63"/>
      <c r="K3" s="64"/>
      <c r="L3" s="26"/>
    </row>
    <row r="4" spans="1:20" ht="14" thickBot="1" x14ac:dyDescent="0.2">
      <c r="A4" s="29" t="s">
        <v>27</v>
      </c>
      <c r="B4" s="12" t="s">
        <v>3</v>
      </c>
      <c r="C4" s="13" t="s">
        <v>17</v>
      </c>
      <c r="D4" s="14" t="s">
        <v>14</v>
      </c>
      <c r="E4" s="15" t="s">
        <v>21</v>
      </c>
      <c r="F4" s="16" t="s">
        <v>23</v>
      </c>
      <c r="G4" s="16" t="s">
        <v>22</v>
      </c>
      <c r="H4" s="17" t="s">
        <v>24</v>
      </c>
      <c r="I4" s="15" t="s">
        <v>21</v>
      </c>
      <c r="J4" s="16" t="s">
        <v>23</v>
      </c>
      <c r="K4" s="17" t="s">
        <v>22</v>
      </c>
      <c r="L4" s="27"/>
      <c r="N4" t="s">
        <v>3</v>
      </c>
      <c r="O4" s="2" t="s">
        <v>17</v>
      </c>
      <c r="P4" s="2" t="s">
        <v>14</v>
      </c>
      <c r="Q4" s="2" t="s">
        <v>15</v>
      </c>
      <c r="R4" s="2" t="s">
        <v>16</v>
      </c>
      <c r="S4" s="2" t="s">
        <v>18</v>
      </c>
      <c r="T4" s="2" t="s">
        <v>19</v>
      </c>
    </row>
    <row r="5" spans="1:20" x14ac:dyDescent="0.15">
      <c r="A5" s="1" t="str">
        <f t="shared" ref="A5:A40" ca="1" si="0">N5 &amp; TEXT($O5,"000000") &amp; TEXT($P5, "000")</f>
        <v>OpenBLAS002500001</v>
      </c>
      <c r="B5" s="11" t="str">
        <f t="shared" ref="B5:B40" ca="1" si="1">N5</f>
        <v>OpenBLAS</v>
      </c>
      <c r="C5" s="22">
        <f t="shared" ref="C5:C40" ca="1" si="2">O5</f>
        <v>2500</v>
      </c>
      <c r="D5" s="23">
        <f t="shared" ref="D5:D40" ca="1" si="3">P5</f>
        <v>1</v>
      </c>
      <c r="E5" s="11">
        <f ca="1">AVERAGE(OFFSET(data!$A$1,$Q5-1,3,$R5,1))</f>
        <v>1.15368</v>
      </c>
      <c r="F5" s="22">
        <f ca="1">MIN(OFFSET(data!$A$1,$Q5-1,3,$R5,1))</f>
        <v>1.1529</v>
      </c>
      <c r="G5" s="22">
        <f ca="1">MAX(OFFSET(data!$A$1,$Q5-1,3,$R5,1))</f>
        <v>1.1559999999999999</v>
      </c>
      <c r="H5" s="24">
        <f t="shared" ref="H5:H40" ca="1" si="4">(G5-F5)/E5</f>
        <v>2.6870536023853066E-3</v>
      </c>
      <c r="I5" s="11">
        <f ca="1">AVERAGE(OFFSET(data!$A$1,$Q5-1,4,$R5,1))</f>
        <v>27.087</v>
      </c>
      <c r="J5" s="22">
        <f ca="1">MIN(OFFSET(data!$A$1,$Q5-1,4,$R5,1))</f>
        <v>27.033799999999999</v>
      </c>
      <c r="K5" s="23">
        <f ca="1">MAX(OFFSET(data!$A$1,$Q5-1,4,$R5,1))</f>
        <v>27.105599999999999</v>
      </c>
      <c r="L5" s="28"/>
      <c r="N5" t="str">
        <f ca="1">OFFSET(data!$A$1,$Q5-1,0)</f>
        <v>OpenBLAS</v>
      </c>
      <c r="O5">
        <f ca="1">OFFSET(data!$A$1,$Q5-1,1)</f>
        <v>2500</v>
      </c>
      <c r="P5">
        <f ca="1">OFFSET(data!$A$1,$Q5-1,2)</f>
        <v>1</v>
      </c>
      <c r="Q5">
        <v>8</v>
      </c>
      <c r="R5">
        <v>5</v>
      </c>
      <c r="S5">
        <f ca="1">IF(AVERAGE(OFFSET(data!$A$1,$Q5,1,$R5-1,1))=O5,1,0)</f>
        <v>1</v>
      </c>
      <c r="T5">
        <f ca="1">IF(AVERAGE(OFFSET(data!$A$1,$Q5,2,$R5-1,1))=P5,1,0)</f>
        <v>1</v>
      </c>
    </row>
    <row r="6" spans="1:20" x14ac:dyDescent="0.15">
      <c r="A6" s="1" t="str">
        <f t="shared" ca="1" si="0"/>
        <v>OpenBLAS002500019</v>
      </c>
      <c r="B6" s="4" t="str">
        <f t="shared" ca="1" si="1"/>
        <v>OpenBLAS</v>
      </c>
      <c r="C6" s="3">
        <f t="shared" ca="1" si="2"/>
        <v>2500</v>
      </c>
      <c r="D6" s="9">
        <f t="shared" ca="1" si="3"/>
        <v>19</v>
      </c>
      <c r="E6" s="4">
        <f ca="1">AVERAGE(OFFSET(data!$A$1,$Q6-1,3,$R6,1))</f>
        <v>8.1401999999999988E-2</v>
      </c>
      <c r="F6" s="3">
        <f ca="1">MIN(OFFSET(data!$A$1,$Q6-1,3,$R6,1))</f>
        <v>8.1299999999999997E-2</v>
      </c>
      <c r="G6" s="3">
        <f ca="1">MAX(OFFSET(data!$A$1,$Q6-1,3,$R6,1))</f>
        <v>8.2100000000000006E-2</v>
      </c>
      <c r="H6" s="5">
        <f t="shared" ca="1" si="4"/>
        <v>9.8277683594998784E-3</v>
      </c>
      <c r="I6" s="4">
        <f ca="1">AVERAGE(OFFSET(data!$A$1,$Q6-1,4,$R6,1))</f>
        <v>383.90784799999994</v>
      </c>
      <c r="J6" s="3">
        <f ca="1">MIN(OFFSET(data!$A$1,$Q6-1,4,$R6,1))</f>
        <v>380.60320000000002</v>
      </c>
      <c r="K6" s="9">
        <f ca="1">MAX(OFFSET(data!$A$1,$Q6-1,4,$R6,1))</f>
        <v>384.5994</v>
      </c>
      <c r="L6" s="28"/>
      <c r="N6" t="str">
        <f ca="1">OFFSET(data!$A$1,$Q6-1,0)</f>
        <v>OpenBLAS</v>
      </c>
      <c r="O6">
        <f ca="1">OFFSET(data!$A$1,$Q6-1,1)</f>
        <v>2500</v>
      </c>
      <c r="P6">
        <f ca="1">OFFSET(data!$A$1,$Q6-1,2)</f>
        <v>19</v>
      </c>
      <c r="Q6">
        <f t="shared" ref="Q6:Q22" si="5">Q5+R5+1</f>
        <v>14</v>
      </c>
      <c r="R6">
        <v>50</v>
      </c>
      <c r="S6">
        <f ca="1">IF(AVERAGE(OFFSET(data!$A$1,$Q6,1,$R6-1,1))=O6,1,0)</f>
        <v>1</v>
      </c>
      <c r="T6">
        <f ca="1">IF(AVERAGE(OFFSET(data!$A$1,$Q6,2,$R6-1,1))=P6,1,0)</f>
        <v>1</v>
      </c>
    </row>
    <row r="7" spans="1:20" x14ac:dyDescent="0.15">
      <c r="A7" s="1" t="str">
        <f t="shared" ca="1" si="0"/>
        <v>OpenBLAS002500020</v>
      </c>
      <c r="B7" s="4" t="str">
        <f t="shared" ca="1" si="1"/>
        <v>OpenBLAS</v>
      </c>
      <c r="C7" s="3">
        <f t="shared" ca="1" si="2"/>
        <v>2500</v>
      </c>
      <c r="D7" s="9">
        <f t="shared" ca="1" si="3"/>
        <v>20</v>
      </c>
      <c r="E7" s="4">
        <f ca="1">AVERAGE(OFFSET(data!$A$1,$Q7-1,3,$R7,1))</f>
        <v>0.14519000000000001</v>
      </c>
      <c r="F7" s="3">
        <f ca="1">MIN(OFFSET(data!$A$1,$Q7-1,3,$R7,1))</f>
        <v>0.13619999999999999</v>
      </c>
      <c r="G7" s="3">
        <f ca="1">MAX(OFFSET(data!$A$1,$Q7-1,3,$R7,1))</f>
        <v>0.15340000000000001</v>
      </c>
      <c r="H7" s="5">
        <f t="shared" ca="1" si="4"/>
        <v>0.11846545905365397</v>
      </c>
      <c r="I7" s="4">
        <f ca="1">AVERAGE(OFFSET(data!$A$1,$Q7-1,4,$R7,1))</f>
        <v>215.46498600000007</v>
      </c>
      <c r="J7" s="3">
        <f ca="1">MIN(OFFSET(data!$A$1,$Q7-1,4,$R7,1))</f>
        <v>203.77770000000001</v>
      </c>
      <c r="K7" s="9">
        <f ca="1">MAX(OFFSET(data!$A$1,$Q7-1,4,$R7,1))</f>
        <v>229.46530000000001</v>
      </c>
      <c r="L7" s="28"/>
      <c r="N7" t="str">
        <f ca="1">OFFSET(data!$A$1,$Q7-1,0)</f>
        <v>OpenBLAS</v>
      </c>
      <c r="O7">
        <f ca="1">OFFSET(data!$A$1,$Q7-1,1)</f>
        <v>2500</v>
      </c>
      <c r="P7">
        <f ca="1">OFFSET(data!$A$1,$Q7-1,2)</f>
        <v>20</v>
      </c>
      <c r="Q7">
        <f t="shared" si="5"/>
        <v>65</v>
      </c>
      <c r="R7">
        <v>50</v>
      </c>
      <c r="S7">
        <f ca="1">IF(AVERAGE(OFFSET(data!$A$1,$Q7,1,$R7-1,1))=O7,1,0)</f>
        <v>1</v>
      </c>
      <c r="T7">
        <f ca="1">IF(AVERAGE(OFFSET(data!$A$1,$Q7,2,$R7-1,1))=P7,1,0)</f>
        <v>1</v>
      </c>
    </row>
    <row r="8" spans="1:20" x14ac:dyDescent="0.15">
      <c r="A8" s="1" t="str">
        <f t="shared" ca="1" si="0"/>
        <v>OpenBLAS002505001</v>
      </c>
      <c r="B8" s="4" t="str">
        <f t="shared" ca="1" si="1"/>
        <v>OpenBLAS</v>
      </c>
      <c r="C8" s="3">
        <f t="shared" ca="1" si="2"/>
        <v>2505</v>
      </c>
      <c r="D8" s="9">
        <f t="shared" ca="1" si="3"/>
        <v>1</v>
      </c>
      <c r="E8" s="4">
        <f ca="1">AVERAGE(OFFSET(data!$A$1,$Q8-1,3,$R8,1))</f>
        <v>1.17306</v>
      </c>
      <c r="F8" s="3">
        <f ca="1">MIN(OFFSET(data!$A$1,$Q8-1,3,$R8,1))</f>
        <v>1.1707000000000001</v>
      </c>
      <c r="G8" s="3">
        <f ca="1">MAX(OFFSET(data!$A$1,$Q8-1,3,$R8,1))</f>
        <v>1.1765000000000001</v>
      </c>
      <c r="H8" s="5">
        <f t="shared" ca="1" si="4"/>
        <v>4.9443336231736034E-3</v>
      </c>
      <c r="I8" s="4">
        <f ca="1">AVERAGE(OFFSET(data!$A$1,$Q8-1,4,$R8,1))</f>
        <v>26.800339999999998</v>
      </c>
      <c r="J8" s="3">
        <f ca="1">MIN(OFFSET(data!$A$1,$Q8-1,4,$R8,1))</f>
        <v>26.722000000000001</v>
      </c>
      <c r="K8" s="9">
        <f ca="1">MAX(OFFSET(data!$A$1,$Q8-1,4,$R8,1))</f>
        <v>26.854900000000001</v>
      </c>
      <c r="L8" s="28"/>
      <c r="N8" t="str">
        <f ca="1">OFFSET(data!$A$1,$Q8-1,0)</f>
        <v>OpenBLAS</v>
      </c>
      <c r="O8">
        <f ca="1">OFFSET(data!$A$1,$Q8-1,1)</f>
        <v>2505</v>
      </c>
      <c r="P8">
        <f ca="1">OFFSET(data!$A$1,$Q8-1,2)</f>
        <v>1</v>
      </c>
      <c r="Q8">
        <f t="shared" si="5"/>
        <v>116</v>
      </c>
      <c r="R8">
        <v>5</v>
      </c>
      <c r="S8">
        <f ca="1">IF(AVERAGE(OFFSET(data!$A$1,$Q8,1,$R8-1,1))=O8,1,0)</f>
        <v>1</v>
      </c>
      <c r="T8">
        <f ca="1">IF(AVERAGE(OFFSET(data!$A$1,$Q8,2,$R8-1,1))=P8,1,0)</f>
        <v>1</v>
      </c>
    </row>
    <row r="9" spans="1:20" x14ac:dyDescent="0.15">
      <c r="A9" s="1" t="str">
        <f t="shared" ca="1" si="0"/>
        <v>OpenBLAS002505019</v>
      </c>
      <c r="B9" s="4" t="str">
        <f t="shared" ca="1" si="1"/>
        <v>OpenBLAS</v>
      </c>
      <c r="C9" s="3">
        <f t="shared" ca="1" si="2"/>
        <v>2505</v>
      </c>
      <c r="D9" s="9">
        <f t="shared" ca="1" si="3"/>
        <v>19</v>
      </c>
      <c r="E9" s="4">
        <f ca="1">AVERAGE(OFFSET(data!$A$1,$Q9-1,3,$R9,1))</f>
        <v>8.1785999999999998E-2</v>
      </c>
      <c r="F9" s="3">
        <f ca="1">MIN(OFFSET(data!$A$1,$Q9-1,3,$R9,1))</f>
        <v>8.1699999999999995E-2</v>
      </c>
      <c r="G9" s="3">
        <f ca="1">MAX(OFFSET(data!$A$1,$Q9-1,3,$R9,1))</f>
        <v>8.3199999999999996E-2</v>
      </c>
      <c r="H9" s="5">
        <f t="shared" ca="1" si="4"/>
        <v>1.8340547281930911E-2</v>
      </c>
      <c r="I9" s="4">
        <f ca="1">AVERAGE(OFFSET(data!$A$1,$Q9-1,4,$R9,1))</f>
        <v>384.37296800000013</v>
      </c>
      <c r="J9" s="3">
        <f ca="1">MIN(OFFSET(data!$A$1,$Q9-1,4,$R9,1))</f>
        <v>377.95940000000002</v>
      </c>
      <c r="K9" s="9">
        <f ca="1">MAX(OFFSET(data!$A$1,$Q9-1,4,$R9,1))</f>
        <v>384.7987</v>
      </c>
      <c r="L9" s="28"/>
      <c r="N9" t="str">
        <f ca="1">OFFSET(data!$A$1,$Q9-1,0)</f>
        <v>OpenBLAS</v>
      </c>
      <c r="O9">
        <f ca="1">OFFSET(data!$A$1,$Q9-1,1)</f>
        <v>2505</v>
      </c>
      <c r="P9">
        <f ca="1">OFFSET(data!$A$1,$Q9-1,2)</f>
        <v>19</v>
      </c>
      <c r="Q9">
        <f t="shared" si="5"/>
        <v>122</v>
      </c>
      <c r="R9">
        <v>50</v>
      </c>
      <c r="S9">
        <f ca="1">IF(AVERAGE(OFFSET(data!$A$1,$Q9,1,$R9-1,1))=O9,1,0)</f>
        <v>1</v>
      </c>
      <c r="T9">
        <f ca="1">IF(AVERAGE(OFFSET(data!$A$1,$Q9,2,$R9-1,1))=P9,1,0)</f>
        <v>1</v>
      </c>
    </row>
    <row r="10" spans="1:20" x14ac:dyDescent="0.15">
      <c r="A10" s="1" t="str">
        <f t="shared" ca="1" si="0"/>
        <v>OpenBLAS002505020</v>
      </c>
      <c r="B10" s="4" t="str">
        <f t="shared" ca="1" si="1"/>
        <v>OpenBLAS</v>
      </c>
      <c r="C10" s="3">
        <f t="shared" ca="1" si="2"/>
        <v>2505</v>
      </c>
      <c r="D10" s="9">
        <f t="shared" ca="1" si="3"/>
        <v>20</v>
      </c>
      <c r="E10" s="4">
        <f ca="1">AVERAGE(OFFSET(data!$A$1,$Q10-1,3,$R10,1))</f>
        <v>0.139462</v>
      </c>
      <c r="F10" s="3">
        <f ca="1">MIN(OFFSET(data!$A$1,$Q10-1,3,$R10,1))</f>
        <v>0.08</v>
      </c>
      <c r="G10" s="3">
        <f ca="1">MAX(OFFSET(data!$A$1,$Q10-1,3,$R10,1))</f>
        <v>0.15570000000000001</v>
      </c>
      <c r="H10" s="5">
        <f t="shared" ca="1" si="4"/>
        <v>0.54280018929887708</v>
      </c>
      <c r="I10" s="4">
        <f ca="1">AVERAGE(OFFSET(data!$A$1,$Q10-1,4,$R10,1))</f>
        <v>239.42032399999999</v>
      </c>
      <c r="J10" s="3">
        <f ca="1">MIN(OFFSET(data!$A$1,$Q10-1,4,$R10,1))</f>
        <v>201.8991</v>
      </c>
      <c r="K10" s="9">
        <f ca="1">MAX(OFFSET(data!$A$1,$Q10-1,4,$R10,1))</f>
        <v>393.0376</v>
      </c>
      <c r="L10" s="28"/>
      <c r="N10" t="str">
        <f ca="1">OFFSET(data!$A$1,$Q10-1,0)</f>
        <v>OpenBLAS</v>
      </c>
      <c r="O10">
        <f ca="1">OFFSET(data!$A$1,$Q10-1,1)</f>
        <v>2505</v>
      </c>
      <c r="P10">
        <f ca="1">OFFSET(data!$A$1,$Q10-1,2)</f>
        <v>20</v>
      </c>
      <c r="Q10">
        <f t="shared" si="5"/>
        <v>173</v>
      </c>
      <c r="R10">
        <v>50</v>
      </c>
      <c r="S10">
        <f ca="1">IF(AVERAGE(OFFSET(data!$A$1,$Q10,1,$R10-1,1))=O10,1,0)</f>
        <v>1</v>
      </c>
      <c r="T10">
        <f ca="1">IF(AVERAGE(OFFSET(data!$A$1,$Q10,2,$R10-1,1))=P10,1,0)</f>
        <v>1</v>
      </c>
    </row>
    <row r="11" spans="1:20" x14ac:dyDescent="0.15">
      <c r="A11" s="1" t="str">
        <f t="shared" ca="1" si="0"/>
        <v>OpenBLAS002510001</v>
      </c>
      <c r="B11" s="4" t="str">
        <f t="shared" ca="1" si="1"/>
        <v>OpenBLAS</v>
      </c>
      <c r="C11" s="3">
        <f t="shared" ca="1" si="2"/>
        <v>2510</v>
      </c>
      <c r="D11" s="9">
        <f t="shared" ca="1" si="3"/>
        <v>1</v>
      </c>
      <c r="E11" s="4">
        <f ca="1">AVERAGE(OFFSET(data!$A$1,$Q11-1,3,$R11,1))</f>
        <v>1.1690999999999998</v>
      </c>
      <c r="F11" s="3">
        <f ca="1">MIN(OFFSET(data!$A$1,$Q11-1,3,$R11,1))</f>
        <v>1.1669</v>
      </c>
      <c r="G11" s="3">
        <f ca="1">MAX(OFFSET(data!$A$1,$Q11-1,3,$R11,1))</f>
        <v>1.1738</v>
      </c>
      <c r="H11" s="5">
        <f t="shared" ca="1" si="4"/>
        <v>5.9019758788811114E-3</v>
      </c>
      <c r="I11" s="4">
        <f ca="1">AVERAGE(OFFSET(data!$A$1,$Q11-1,4,$R11,1))</f>
        <v>27.052019999999999</v>
      </c>
      <c r="J11" s="3">
        <f ca="1">MIN(OFFSET(data!$A$1,$Q11-1,4,$R11,1))</f>
        <v>26.943999999999999</v>
      </c>
      <c r="K11" s="9">
        <f ca="1">MAX(OFFSET(data!$A$1,$Q11-1,4,$R11,1))</f>
        <v>27.103300000000001</v>
      </c>
      <c r="L11" s="28"/>
      <c r="N11" t="str">
        <f ca="1">OFFSET(data!$A$1,$Q11-1,0)</f>
        <v>OpenBLAS</v>
      </c>
      <c r="O11">
        <f ca="1">OFFSET(data!$A$1,$Q11-1,1)</f>
        <v>2510</v>
      </c>
      <c r="P11">
        <f ca="1">OFFSET(data!$A$1,$Q11-1,2)</f>
        <v>1</v>
      </c>
      <c r="Q11">
        <f t="shared" si="5"/>
        <v>224</v>
      </c>
      <c r="R11">
        <v>5</v>
      </c>
      <c r="S11">
        <f ca="1">IF(AVERAGE(OFFSET(data!$A$1,$Q11,1,$R11-1,1))=O11,1,0)</f>
        <v>1</v>
      </c>
      <c r="T11">
        <f ca="1">IF(AVERAGE(OFFSET(data!$A$1,$Q11,2,$R11-1,1))=P11,1,0)</f>
        <v>1</v>
      </c>
    </row>
    <row r="12" spans="1:20" x14ac:dyDescent="0.15">
      <c r="A12" s="1" t="str">
        <f t="shared" ca="1" si="0"/>
        <v>OpenBLAS002510019</v>
      </c>
      <c r="B12" s="4" t="str">
        <f t="shared" ca="1" si="1"/>
        <v>OpenBLAS</v>
      </c>
      <c r="C12" s="3">
        <f t="shared" ca="1" si="2"/>
        <v>2510</v>
      </c>
      <c r="D12" s="9">
        <f t="shared" ca="1" si="3"/>
        <v>19</v>
      </c>
      <c r="E12" s="4">
        <f ca="1">AVERAGE(OFFSET(data!$A$1,$Q12-1,3,$R12,1))</f>
        <v>8.2786000000000026E-2</v>
      </c>
      <c r="F12" s="3">
        <f ca="1">MIN(OFFSET(data!$A$1,$Q12-1,3,$R12,1))</f>
        <v>8.2600000000000007E-2</v>
      </c>
      <c r="G12" s="3">
        <f ca="1">MAX(OFFSET(data!$A$1,$Q12-1,3,$R12,1))</f>
        <v>8.3400000000000002E-2</v>
      </c>
      <c r="H12" s="5">
        <f t="shared" ca="1" si="4"/>
        <v>9.6634696687845148E-3</v>
      </c>
      <c r="I12" s="4">
        <f ca="1">AVERAGE(OFFSET(data!$A$1,$Q12-1,4,$R12,1))</f>
        <v>382.00583799999993</v>
      </c>
      <c r="J12" s="3">
        <f ca="1">MIN(OFFSET(data!$A$1,$Q12-1,4,$R12,1))</f>
        <v>379.41899999999998</v>
      </c>
      <c r="K12" s="9">
        <f ca="1">MAX(OFFSET(data!$A$1,$Q12-1,4,$R12,1))</f>
        <v>382.7747</v>
      </c>
      <c r="L12" s="28"/>
      <c r="N12" t="str">
        <f ca="1">OFFSET(data!$A$1,$Q12-1,0)</f>
        <v>OpenBLAS</v>
      </c>
      <c r="O12">
        <f ca="1">OFFSET(data!$A$1,$Q12-1,1)</f>
        <v>2510</v>
      </c>
      <c r="P12">
        <f ca="1">OFFSET(data!$A$1,$Q12-1,2)</f>
        <v>19</v>
      </c>
      <c r="Q12">
        <f t="shared" si="5"/>
        <v>230</v>
      </c>
      <c r="R12">
        <v>50</v>
      </c>
      <c r="S12">
        <f ca="1">IF(AVERAGE(OFFSET(data!$A$1,$Q12,1,$R12-1,1))=O12,1,0)</f>
        <v>1</v>
      </c>
      <c r="T12">
        <f ca="1">IF(AVERAGE(OFFSET(data!$A$1,$Q12,2,$R12-1,1))=P12,1,0)</f>
        <v>1</v>
      </c>
    </row>
    <row r="13" spans="1:20" x14ac:dyDescent="0.15">
      <c r="A13" s="1" t="str">
        <f t="shared" ca="1" si="0"/>
        <v>OpenBLAS002510020</v>
      </c>
      <c r="B13" s="4" t="str">
        <f t="shared" ca="1" si="1"/>
        <v>OpenBLAS</v>
      </c>
      <c r="C13" s="3">
        <f t="shared" ca="1" si="2"/>
        <v>2510</v>
      </c>
      <c r="D13" s="9">
        <f t="shared" ca="1" si="3"/>
        <v>20</v>
      </c>
      <c r="E13" s="4">
        <f ca="1">AVERAGE(OFFSET(data!$A$1,$Q13-1,3,$R13,1))</f>
        <v>0.15033599999999997</v>
      </c>
      <c r="F13" s="3">
        <f ca="1">MIN(OFFSET(data!$A$1,$Q13-1,3,$R13,1))</f>
        <v>0.13819999999999999</v>
      </c>
      <c r="G13" s="3">
        <f ca="1">MAX(OFFSET(data!$A$1,$Q13-1,3,$R13,1))</f>
        <v>0.15859999999999999</v>
      </c>
      <c r="H13" s="5">
        <f t="shared" ca="1" si="4"/>
        <v>0.13569604086845469</v>
      </c>
      <c r="I13" s="4">
        <f ca="1">AVERAGE(OFFSET(data!$A$1,$Q13-1,4,$R13,1))</f>
        <v>210.50942200000006</v>
      </c>
      <c r="J13" s="3">
        <f ca="1">MIN(OFFSET(data!$A$1,$Q13-1,4,$R13,1))</f>
        <v>199.405</v>
      </c>
      <c r="K13" s="9">
        <f ca="1">MAX(OFFSET(data!$A$1,$Q13-1,4,$R13,1))</f>
        <v>228.81710000000001</v>
      </c>
      <c r="L13" s="28"/>
      <c r="N13" t="str">
        <f ca="1">OFFSET(data!$A$1,$Q13-1,0)</f>
        <v>OpenBLAS</v>
      </c>
      <c r="O13">
        <f ca="1">OFFSET(data!$A$1,$Q13-1,1)</f>
        <v>2510</v>
      </c>
      <c r="P13">
        <f ca="1">OFFSET(data!$A$1,$Q13-1,2)</f>
        <v>20</v>
      </c>
      <c r="Q13">
        <f t="shared" si="5"/>
        <v>281</v>
      </c>
      <c r="R13">
        <v>50</v>
      </c>
      <c r="S13">
        <f ca="1">IF(AVERAGE(OFFSET(data!$A$1,$Q13,1,$R13-1,1))=O13,1,0)</f>
        <v>1</v>
      </c>
      <c r="T13">
        <f ca="1">IF(AVERAGE(OFFSET(data!$A$1,$Q13,2,$R13-1,1))=P13,1,0)</f>
        <v>1</v>
      </c>
    </row>
    <row r="14" spans="1:20" x14ac:dyDescent="0.15">
      <c r="A14" s="1" t="str">
        <f t="shared" ca="1" si="0"/>
        <v>OpenBLAS010000001</v>
      </c>
      <c r="B14" s="4" t="str">
        <f t="shared" ca="1" si="1"/>
        <v>OpenBLAS</v>
      </c>
      <c r="C14" s="3">
        <f t="shared" ca="1" si="2"/>
        <v>10000</v>
      </c>
      <c r="D14" s="9">
        <f t="shared" ca="1" si="3"/>
        <v>1</v>
      </c>
      <c r="E14" s="4">
        <f ca="1">AVERAGE(OFFSET(data!$A$1,$Q14-1,3,$R14,1))</f>
        <v>73.669219999999996</v>
      </c>
      <c r="F14" s="3">
        <f ca="1">MIN(OFFSET(data!$A$1,$Q14-1,3,$R14,1))</f>
        <v>73.645300000000006</v>
      </c>
      <c r="G14" s="3">
        <f ca="1">MAX(OFFSET(data!$A$1,$Q14-1,3,$R14,1))</f>
        <v>73.708200000000005</v>
      </c>
      <c r="H14" s="5">
        <f t="shared" ca="1" si="4"/>
        <v>8.538165600232916E-4</v>
      </c>
      <c r="I14" s="4">
        <f ca="1">AVERAGE(OFFSET(data!$A$1,$Q14-1,4,$R14,1))</f>
        <v>27.148379999999996</v>
      </c>
      <c r="J14" s="3">
        <f ca="1">MIN(OFFSET(data!$A$1,$Q14-1,4,$R14,1))</f>
        <v>27.134</v>
      </c>
      <c r="K14" s="9">
        <f ca="1">MAX(OFFSET(data!$A$1,$Q14-1,4,$R14,1))</f>
        <v>27.1572</v>
      </c>
      <c r="L14" s="28"/>
      <c r="N14" t="str">
        <f ca="1">OFFSET(data!$A$1,$Q14-1,0)</f>
        <v>OpenBLAS</v>
      </c>
      <c r="O14">
        <f ca="1">OFFSET(data!$A$1,$Q14-1,1)</f>
        <v>10000</v>
      </c>
      <c r="P14">
        <f ca="1">OFFSET(data!$A$1,$Q14-1,2)</f>
        <v>1</v>
      </c>
      <c r="Q14">
        <f t="shared" si="5"/>
        <v>332</v>
      </c>
      <c r="R14">
        <v>5</v>
      </c>
      <c r="S14">
        <f ca="1">IF(AVERAGE(OFFSET(data!$A$1,$Q14,1,$R14-1,1))=O14,1,0)</f>
        <v>1</v>
      </c>
      <c r="T14">
        <f ca="1">IF(AVERAGE(OFFSET(data!$A$1,$Q14,2,$R14-1,1))=P14,1,0)</f>
        <v>1</v>
      </c>
    </row>
    <row r="15" spans="1:20" x14ac:dyDescent="0.15">
      <c r="A15" s="1" t="str">
        <f t="shared" ca="1" si="0"/>
        <v>OpenBLAS010000019</v>
      </c>
      <c r="B15" s="4" t="str">
        <f t="shared" ca="1" si="1"/>
        <v>OpenBLAS</v>
      </c>
      <c r="C15" s="3">
        <f t="shared" ca="1" si="2"/>
        <v>10000</v>
      </c>
      <c r="D15" s="9">
        <f t="shared" ca="1" si="3"/>
        <v>19</v>
      </c>
      <c r="E15" s="4">
        <f ca="1">AVERAGE(OFFSET(data!$A$1,$Q15-1,3,$R15,1))</f>
        <v>4.945722</v>
      </c>
      <c r="F15" s="3">
        <f ca="1">MIN(OFFSET(data!$A$1,$Q15-1,3,$R15,1))</f>
        <v>4.7992999999999997</v>
      </c>
      <c r="G15" s="3">
        <f ca="1">MAX(OFFSET(data!$A$1,$Q15-1,3,$R15,1))</f>
        <v>4.9846000000000004</v>
      </c>
      <c r="H15" s="5">
        <f t="shared" ca="1" si="4"/>
        <v>3.7466723766519973E-2</v>
      </c>
      <c r="I15" s="4">
        <f ca="1">AVERAGE(OFFSET(data!$A$1,$Q15-1,4,$R15,1))</f>
        <v>404.42149599999999</v>
      </c>
      <c r="J15" s="3">
        <f ca="1">MIN(OFFSET(data!$A$1,$Q15-1,4,$R15,1))</f>
        <v>401.23689999999999</v>
      </c>
      <c r="K15" s="9">
        <f ca="1">MAX(OFFSET(data!$A$1,$Q15-1,4,$R15,1))</f>
        <v>416.72469999999998</v>
      </c>
      <c r="L15" s="28"/>
      <c r="N15" t="str">
        <f ca="1">OFFSET(data!$A$1,$Q15-1,0)</f>
        <v>OpenBLAS</v>
      </c>
      <c r="O15">
        <f ca="1">OFFSET(data!$A$1,$Q15-1,1)</f>
        <v>10000</v>
      </c>
      <c r="P15">
        <f ca="1">OFFSET(data!$A$1,$Q15-1,2)</f>
        <v>19</v>
      </c>
      <c r="Q15">
        <f t="shared" si="5"/>
        <v>338</v>
      </c>
      <c r="R15">
        <v>50</v>
      </c>
      <c r="S15">
        <f ca="1">IF(AVERAGE(OFFSET(data!$A$1,$Q15,1,$R15-1,1))=O15,1,0)</f>
        <v>1</v>
      </c>
      <c r="T15">
        <f ca="1">IF(AVERAGE(OFFSET(data!$A$1,$Q15,2,$R15-1,1))=P15,1,0)</f>
        <v>1</v>
      </c>
    </row>
    <row r="16" spans="1:20" x14ac:dyDescent="0.15">
      <c r="A16" s="1" t="str">
        <f t="shared" ca="1" si="0"/>
        <v>OpenBLAS010000020</v>
      </c>
      <c r="B16" s="4" t="str">
        <f t="shared" ca="1" si="1"/>
        <v>OpenBLAS</v>
      </c>
      <c r="C16" s="3">
        <f t="shared" ca="1" si="2"/>
        <v>10000</v>
      </c>
      <c r="D16" s="9">
        <f t="shared" ca="1" si="3"/>
        <v>20</v>
      </c>
      <c r="E16" s="4">
        <f ca="1">AVERAGE(OFFSET(data!$A$1,$Q16-1,3,$R16,1))</f>
        <v>4.6880359999999976</v>
      </c>
      <c r="F16" s="3">
        <f ca="1">MIN(OFFSET(data!$A$1,$Q16-1,3,$R16,1))</f>
        <v>4.6798999999999999</v>
      </c>
      <c r="G16" s="3">
        <f ca="1">MAX(OFFSET(data!$A$1,$Q16-1,3,$R16,1))</f>
        <v>4.7324999999999999</v>
      </c>
      <c r="H16" s="5">
        <f t="shared" ca="1" si="4"/>
        <v>1.1220050357975069E-2</v>
      </c>
      <c r="I16" s="4">
        <f ca="1">AVERAGE(OFFSET(data!$A$1,$Q16-1,4,$R16,1))</f>
        <v>426.61924000000005</v>
      </c>
      <c r="J16" s="3">
        <f ca="1">MIN(OFFSET(data!$A$1,$Q16-1,4,$R16,1))</f>
        <v>422.60809999999998</v>
      </c>
      <c r="K16" s="9">
        <f ca="1">MAX(OFFSET(data!$A$1,$Q16-1,4,$R16,1))</f>
        <v>427.36070000000001</v>
      </c>
      <c r="L16" s="28"/>
      <c r="N16" t="str">
        <f ca="1">OFFSET(data!$A$1,$Q16-1,0)</f>
        <v>OpenBLAS</v>
      </c>
      <c r="O16">
        <f ca="1">OFFSET(data!$A$1,$Q16-1,1)</f>
        <v>10000</v>
      </c>
      <c r="P16">
        <f ca="1">OFFSET(data!$A$1,$Q16-1,2)</f>
        <v>20</v>
      </c>
      <c r="Q16">
        <f t="shared" si="5"/>
        <v>389</v>
      </c>
      <c r="R16">
        <v>50</v>
      </c>
      <c r="S16">
        <f ca="1">IF(AVERAGE(OFFSET(data!$A$1,$Q16,1,$R16-1,1))=O16,1,0)</f>
        <v>1</v>
      </c>
      <c r="T16">
        <f ca="1">IF(AVERAGE(OFFSET(data!$A$1,$Q16,2,$R16-1,1))=P16,1,0)</f>
        <v>1</v>
      </c>
    </row>
    <row r="17" spans="1:20" x14ac:dyDescent="0.15">
      <c r="A17" s="1" t="str">
        <f t="shared" ca="1" si="0"/>
        <v>OpenBLAS010005001</v>
      </c>
      <c r="B17" s="4" t="str">
        <f t="shared" ca="1" si="1"/>
        <v>OpenBLAS</v>
      </c>
      <c r="C17" s="3">
        <f t="shared" ca="1" si="2"/>
        <v>10005</v>
      </c>
      <c r="D17" s="9">
        <f t="shared" ca="1" si="3"/>
        <v>1</v>
      </c>
      <c r="E17" s="4">
        <f ca="1">AVERAGE(OFFSET(data!$A$1,$Q17-1,3,$R17,1))</f>
        <v>74.255859999999998</v>
      </c>
      <c r="F17" s="3">
        <f ca="1">MIN(OFFSET(data!$A$1,$Q17-1,3,$R17,1))</f>
        <v>74.215400000000002</v>
      </c>
      <c r="G17" s="3">
        <f ca="1">MAX(OFFSET(data!$A$1,$Q17-1,3,$R17,1))</f>
        <v>74.321100000000001</v>
      </c>
      <c r="H17" s="5">
        <f t="shared" ca="1" si="4"/>
        <v>1.4234566807252492E-3</v>
      </c>
      <c r="I17" s="4">
        <f ca="1">AVERAGE(OFFSET(data!$A$1,$Q17-1,4,$R17,1))</f>
        <v>26.974319999999999</v>
      </c>
      <c r="J17" s="3">
        <f ca="1">MIN(OFFSET(data!$A$1,$Q17-1,4,$R17,1))</f>
        <v>26.950600000000001</v>
      </c>
      <c r="K17" s="9">
        <f ca="1">MAX(OFFSET(data!$A$1,$Q17-1,4,$R17,1))</f>
        <v>26.989000000000001</v>
      </c>
      <c r="L17" s="28"/>
      <c r="N17" t="str">
        <f ca="1">OFFSET(data!$A$1,$Q17-1,0)</f>
        <v>OpenBLAS</v>
      </c>
      <c r="O17">
        <f ca="1">OFFSET(data!$A$1,$Q17-1,1)</f>
        <v>10005</v>
      </c>
      <c r="P17">
        <f ca="1">OFFSET(data!$A$1,$Q17-1,2)</f>
        <v>1</v>
      </c>
      <c r="Q17">
        <f t="shared" si="5"/>
        <v>440</v>
      </c>
      <c r="R17">
        <v>5</v>
      </c>
      <c r="S17">
        <f ca="1">IF(AVERAGE(OFFSET(data!$A$1,$Q17,1,$R17-1,1))=O17,1,0)</f>
        <v>1</v>
      </c>
      <c r="T17">
        <f ca="1">IF(AVERAGE(OFFSET(data!$A$1,$Q17,2,$R17-1,1))=P17,1,0)</f>
        <v>1</v>
      </c>
    </row>
    <row r="18" spans="1:20" x14ac:dyDescent="0.15">
      <c r="A18" s="1" t="str">
        <f t="shared" ca="1" si="0"/>
        <v>OpenBLAS010005019</v>
      </c>
      <c r="B18" s="4" t="str">
        <f t="shared" ca="1" si="1"/>
        <v>OpenBLAS</v>
      </c>
      <c r="C18" s="3">
        <f t="shared" ca="1" si="2"/>
        <v>10005</v>
      </c>
      <c r="D18" s="9">
        <f t="shared" ca="1" si="3"/>
        <v>19</v>
      </c>
      <c r="E18" s="4">
        <f ca="1">AVERAGE(OFFSET(data!$A$1,$Q18-1,3,$R18,1))</f>
        <v>5.0162060000000004</v>
      </c>
      <c r="F18" s="3">
        <f ca="1">MIN(OFFSET(data!$A$1,$Q18-1,3,$R18,1))</f>
        <v>4.7603</v>
      </c>
      <c r="G18" s="3">
        <f ca="1">MAX(OFFSET(data!$A$1,$Q18-1,3,$R18,1))</f>
        <v>5.0469999999999997</v>
      </c>
      <c r="H18" s="5">
        <f t="shared" ca="1" si="4"/>
        <v>5.7154750024221435E-2</v>
      </c>
      <c r="I18" s="4">
        <f ca="1">AVERAGE(OFFSET(data!$A$1,$Q18-1,4,$R18,1))</f>
        <v>399.371216</v>
      </c>
      <c r="J18" s="3">
        <f ca="1">MIN(OFFSET(data!$A$1,$Q18-1,4,$R18,1))</f>
        <v>396.86840000000001</v>
      </c>
      <c r="K18" s="9">
        <f ca="1">MAX(OFFSET(data!$A$1,$Q18-1,4,$R18,1))</f>
        <v>420.77210000000002</v>
      </c>
      <c r="L18" s="28"/>
      <c r="N18" t="str">
        <f ca="1">OFFSET(data!$A$1,$Q18-1,0)</f>
        <v>OpenBLAS</v>
      </c>
      <c r="O18">
        <f ca="1">OFFSET(data!$A$1,$Q18-1,1)</f>
        <v>10005</v>
      </c>
      <c r="P18">
        <f ca="1">OFFSET(data!$A$1,$Q18-1,2)</f>
        <v>19</v>
      </c>
      <c r="Q18">
        <f t="shared" si="5"/>
        <v>446</v>
      </c>
      <c r="R18">
        <v>50</v>
      </c>
      <c r="S18">
        <f ca="1">IF(AVERAGE(OFFSET(data!$A$1,$Q18,1,$R18-1,1))=O18,1,0)</f>
        <v>1</v>
      </c>
      <c r="T18">
        <f ca="1">IF(AVERAGE(OFFSET(data!$A$1,$Q18,2,$R18-1,1))=P18,1,0)</f>
        <v>1</v>
      </c>
    </row>
    <row r="19" spans="1:20" x14ac:dyDescent="0.15">
      <c r="A19" s="1" t="str">
        <f t="shared" ca="1" si="0"/>
        <v>OpenBLAS010005020</v>
      </c>
      <c r="B19" s="4" t="str">
        <f t="shared" ca="1" si="1"/>
        <v>OpenBLAS</v>
      </c>
      <c r="C19" s="3">
        <f t="shared" ca="1" si="2"/>
        <v>10005</v>
      </c>
      <c r="D19" s="9">
        <f t="shared" ca="1" si="3"/>
        <v>20</v>
      </c>
      <c r="E19" s="4">
        <f ca="1">AVERAGE(OFFSET(data!$A$1,$Q19-1,3,$R19,1))</f>
        <v>4.7435200000000002</v>
      </c>
      <c r="F19" s="3">
        <f ca="1">MIN(OFFSET(data!$A$1,$Q19-1,3,$R19,1))</f>
        <v>4.7347000000000001</v>
      </c>
      <c r="G19" s="3">
        <f ca="1">MAX(OFFSET(data!$A$1,$Q19-1,3,$R19,1))</f>
        <v>4.7655000000000003</v>
      </c>
      <c r="H19" s="5">
        <f t="shared" ca="1" si="4"/>
        <v>6.4930684386278878E-3</v>
      </c>
      <c r="I19" s="4">
        <f ca="1">AVERAGE(OFFSET(data!$A$1,$Q19-1,4,$R19,1))</f>
        <v>422.26137399999999</v>
      </c>
      <c r="J19" s="3">
        <f ca="1">MIN(OFFSET(data!$A$1,$Q19-1,4,$R19,1))</f>
        <v>420.31479999999999</v>
      </c>
      <c r="K19" s="9">
        <f ca="1">MAX(OFFSET(data!$A$1,$Q19-1,4,$R19,1))</f>
        <v>423.04559999999998</v>
      </c>
      <c r="L19" s="28"/>
      <c r="N19" t="str">
        <f ca="1">OFFSET(data!$A$1,$Q19-1,0)</f>
        <v>OpenBLAS</v>
      </c>
      <c r="O19">
        <f ca="1">OFFSET(data!$A$1,$Q19-1,1)</f>
        <v>10005</v>
      </c>
      <c r="P19">
        <f ca="1">OFFSET(data!$A$1,$Q19-1,2)</f>
        <v>20</v>
      </c>
      <c r="Q19">
        <f t="shared" si="5"/>
        <v>497</v>
      </c>
      <c r="R19">
        <v>50</v>
      </c>
      <c r="S19">
        <f ca="1">IF(AVERAGE(OFFSET(data!$A$1,$Q19,1,$R19-1,1))=O19,1,0)</f>
        <v>1</v>
      </c>
      <c r="T19">
        <f ca="1">IF(AVERAGE(OFFSET(data!$A$1,$Q19,2,$R19-1,1))=P19,1,0)</f>
        <v>1</v>
      </c>
    </row>
    <row r="20" spans="1:20" x14ac:dyDescent="0.15">
      <c r="A20" s="1" t="str">
        <f t="shared" ca="1" si="0"/>
        <v>OpenBLAS010010001</v>
      </c>
      <c r="B20" s="4" t="str">
        <f t="shared" ca="1" si="1"/>
        <v>OpenBLAS</v>
      </c>
      <c r="C20" s="3">
        <f t="shared" ca="1" si="2"/>
        <v>10010</v>
      </c>
      <c r="D20" s="9">
        <f t="shared" ca="1" si="3"/>
        <v>1</v>
      </c>
      <c r="E20" s="4">
        <f ca="1">AVERAGE(OFFSET(data!$A$1,$Q20-1,3,$R20,1))</f>
        <v>73.475499999999997</v>
      </c>
      <c r="F20" s="3">
        <f ca="1">MIN(OFFSET(data!$A$1,$Q20-1,3,$R20,1))</f>
        <v>73.444800000000001</v>
      </c>
      <c r="G20" s="3">
        <f ca="1">MAX(OFFSET(data!$A$1,$Q20-1,3,$R20,1))</f>
        <v>73.522199999999998</v>
      </c>
      <c r="H20" s="5">
        <f t="shared" ca="1" si="4"/>
        <v>1.0534123619437398E-3</v>
      </c>
      <c r="I20" s="4">
        <f ca="1">AVERAGE(OFFSET(data!$A$1,$Q20-1,4,$R20,1))</f>
        <v>27.30172</v>
      </c>
      <c r="J20" s="3">
        <f ca="1">MIN(OFFSET(data!$A$1,$Q20-1,4,$R20,1))</f>
        <v>27.284400000000002</v>
      </c>
      <c r="K20" s="9">
        <f ca="1">MAX(OFFSET(data!$A$1,$Q20-1,4,$R20,1))</f>
        <v>27.313099999999999</v>
      </c>
      <c r="L20" s="28"/>
      <c r="N20" t="str">
        <f ca="1">OFFSET(data!$A$1,$Q20-1,0)</f>
        <v>OpenBLAS</v>
      </c>
      <c r="O20">
        <f ca="1">OFFSET(data!$A$1,$Q20-1,1)</f>
        <v>10010</v>
      </c>
      <c r="P20">
        <f ca="1">OFFSET(data!$A$1,$Q20-1,2)</f>
        <v>1</v>
      </c>
      <c r="Q20">
        <f t="shared" si="5"/>
        <v>548</v>
      </c>
      <c r="R20">
        <v>5</v>
      </c>
      <c r="S20">
        <f ca="1">IF(AVERAGE(OFFSET(data!$A$1,$Q20,1,$R20-1,1))=O20,1,0)</f>
        <v>1</v>
      </c>
      <c r="T20">
        <f ca="1">IF(AVERAGE(OFFSET(data!$A$1,$Q20,2,$R20-1,1))=P20,1,0)</f>
        <v>1</v>
      </c>
    </row>
    <row r="21" spans="1:20" x14ac:dyDescent="0.15">
      <c r="A21" s="1" t="str">
        <f t="shared" ca="1" si="0"/>
        <v>OpenBLAS010010019</v>
      </c>
      <c r="B21" s="4" t="str">
        <f t="shared" ca="1" si="1"/>
        <v>OpenBLAS</v>
      </c>
      <c r="C21" s="3">
        <f t="shared" ca="1" si="2"/>
        <v>10010</v>
      </c>
      <c r="D21" s="9">
        <f t="shared" ca="1" si="3"/>
        <v>19</v>
      </c>
      <c r="E21" s="4">
        <f ca="1">AVERAGE(OFFSET(data!$A$1,$Q21-1,3,$R21,1))</f>
        <v>4.973948</v>
      </c>
      <c r="F21" s="3">
        <f ca="1">MIN(OFFSET(data!$A$1,$Q21-1,3,$R21,1))</f>
        <v>4.7606999999999999</v>
      </c>
      <c r="G21" s="3">
        <f ca="1">MAX(OFFSET(data!$A$1,$Q21-1,3,$R21,1))</f>
        <v>5.0155000000000003</v>
      </c>
      <c r="H21" s="5">
        <f t="shared" ca="1" si="4"/>
        <v>5.1226912705963225E-2</v>
      </c>
      <c r="I21" s="4">
        <f ca="1">AVERAGE(OFFSET(data!$A$1,$Q21-1,4,$R21,1))</f>
        <v>403.37099999999998</v>
      </c>
      <c r="J21" s="3">
        <f ca="1">MIN(OFFSET(data!$A$1,$Q21-1,4,$R21,1))</f>
        <v>399.96100000000001</v>
      </c>
      <c r="K21" s="9">
        <f ca="1">MAX(OFFSET(data!$A$1,$Q21-1,4,$R21,1))</f>
        <v>421.36750000000001</v>
      </c>
      <c r="L21" s="28"/>
      <c r="N21" t="str">
        <f ca="1">OFFSET(data!$A$1,$Q21-1,0)</f>
        <v>OpenBLAS</v>
      </c>
      <c r="O21">
        <f ca="1">OFFSET(data!$A$1,$Q21-1,1)</f>
        <v>10010</v>
      </c>
      <c r="P21">
        <f ca="1">OFFSET(data!$A$1,$Q21-1,2)</f>
        <v>19</v>
      </c>
      <c r="Q21">
        <f t="shared" si="5"/>
        <v>554</v>
      </c>
      <c r="R21">
        <v>50</v>
      </c>
      <c r="S21">
        <f ca="1">IF(AVERAGE(OFFSET(data!$A$1,$Q21,1,$R21-1,1))=O21,1,0)</f>
        <v>1</v>
      </c>
      <c r="T21">
        <f ca="1">IF(AVERAGE(OFFSET(data!$A$1,$Q21,2,$R21-1,1))=P21,1,0)</f>
        <v>1</v>
      </c>
    </row>
    <row r="22" spans="1:20" ht="14" thickBot="1" x14ac:dyDescent="0.2">
      <c r="A22" s="1" t="str">
        <f t="shared" ca="1" si="0"/>
        <v>OpenBLAS010010020</v>
      </c>
      <c r="B22" s="6" t="str">
        <f t="shared" ca="1" si="1"/>
        <v>OpenBLAS</v>
      </c>
      <c r="C22" s="7">
        <f t="shared" ca="1" si="2"/>
        <v>10010</v>
      </c>
      <c r="D22" s="10">
        <f t="shared" ca="1" si="3"/>
        <v>20</v>
      </c>
      <c r="E22" s="6">
        <f ca="1">AVERAGE(OFFSET(data!$A$1,$Q22-1,3,$R22,1))</f>
        <v>4.7274800000000008</v>
      </c>
      <c r="F22" s="7">
        <f ca="1">MIN(OFFSET(data!$A$1,$Q22-1,3,$R22,1))</f>
        <v>4.7217000000000002</v>
      </c>
      <c r="G22" s="7">
        <f ca="1">MAX(OFFSET(data!$A$1,$Q22-1,3,$R22,1))</f>
        <v>4.7718999999999996</v>
      </c>
      <c r="H22" s="8">
        <f t="shared" ca="1" si="4"/>
        <v>1.0618765177219014E-2</v>
      </c>
      <c r="I22" s="6">
        <f ca="1">AVERAGE(OFFSET(data!$A$1,$Q22-1,4,$R22,1))</f>
        <v>424.33027800000013</v>
      </c>
      <c r="J22" s="7">
        <f ca="1">MIN(OFFSET(data!$A$1,$Q22-1,4,$R22,1))</f>
        <v>420.37869999999998</v>
      </c>
      <c r="K22" s="10">
        <f ca="1">MAX(OFFSET(data!$A$1,$Q22-1,4,$R22,1))</f>
        <v>424.85180000000003</v>
      </c>
      <c r="L22" s="28"/>
      <c r="N22" t="str">
        <f ca="1">OFFSET(data!$A$1,$Q22-1,0)</f>
        <v>OpenBLAS</v>
      </c>
      <c r="O22">
        <f ca="1">OFFSET(data!$A$1,$Q22-1,1)</f>
        <v>10010</v>
      </c>
      <c r="P22">
        <f ca="1">OFFSET(data!$A$1,$Q22-1,2)</f>
        <v>20</v>
      </c>
      <c r="Q22">
        <f t="shared" si="5"/>
        <v>605</v>
      </c>
      <c r="R22">
        <v>50</v>
      </c>
      <c r="S22">
        <f ca="1">IF(AVERAGE(OFFSET(data!$A$1,$Q22,1,$R22-1,1))=O22,1,0)</f>
        <v>1</v>
      </c>
      <c r="T22">
        <f ca="1">IF(AVERAGE(OFFSET(data!$A$1,$Q22,2,$R22-1,1))=P22,1,0)</f>
        <v>1</v>
      </c>
    </row>
    <row r="23" spans="1:20" x14ac:dyDescent="0.15">
      <c r="A23" s="1" t="str">
        <f t="shared" ca="1" si="0"/>
        <v>IntelMKL002500001</v>
      </c>
      <c r="B23" s="18" t="str">
        <f t="shared" ca="1" si="1"/>
        <v>IntelMKL</v>
      </c>
      <c r="C23" s="19">
        <f t="shared" ca="1" si="2"/>
        <v>2500</v>
      </c>
      <c r="D23" s="20">
        <f t="shared" ca="1" si="3"/>
        <v>1</v>
      </c>
      <c r="E23" s="18">
        <f ca="1">AVERAGE(OFFSET(data!$A$1,$Q23-1,3,$R23,1))</f>
        <v>1.1636</v>
      </c>
      <c r="F23" s="19">
        <f ca="1">MIN(OFFSET(data!$A$1,$Q23-1,3,$R23,1))</f>
        <v>1.1611</v>
      </c>
      <c r="G23" s="19">
        <f ca="1">MAX(OFFSET(data!$A$1,$Q23-1,3,$R23,1))</f>
        <v>1.1709000000000001</v>
      </c>
      <c r="H23" s="21">
        <f t="shared" ca="1" si="4"/>
        <v>8.4221381918185203E-3</v>
      </c>
      <c r="I23" s="18">
        <f ca="1">AVERAGE(OFFSET(data!$A$1,$Q23-1,4,$R23,1))</f>
        <v>26.856219999999997</v>
      </c>
      <c r="J23" s="19">
        <f ca="1">MIN(OFFSET(data!$A$1,$Q23-1,4,$R23,1))</f>
        <v>26.689499999999999</v>
      </c>
      <c r="K23" s="20">
        <f ca="1">MAX(OFFSET(data!$A$1,$Q23-1,4,$R23,1))</f>
        <v>26.913499999999999</v>
      </c>
      <c r="L23" s="28"/>
      <c r="N23" t="str">
        <f ca="1">OFFSET(data!$A$1,$Q23-1,0)</f>
        <v>IntelMKL</v>
      </c>
      <c r="O23">
        <f ca="1">OFFSET(data!$A$1,$Q23-1,1)</f>
        <v>2500</v>
      </c>
      <c r="P23">
        <f ca="1">OFFSET(data!$A$1,$Q23-1,2)</f>
        <v>1</v>
      </c>
      <c r="Q23">
        <v>660</v>
      </c>
      <c r="R23">
        <v>5</v>
      </c>
      <c r="S23">
        <f ca="1">IF(AVERAGE(OFFSET(data!$A$1,$Q23,1,$R23-1,1))=O23,1,0)</f>
        <v>1</v>
      </c>
      <c r="T23">
        <f ca="1">IF(AVERAGE(OFFSET(data!$A$1,$Q23,2,$R23-1,1))=P23,1,0)</f>
        <v>1</v>
      </c>
    </row>
    <row r="24" spans="1:20" x14ac:dyDescent="0.15">
      <c r="A24" s="1" t="str">
        <f t="shared" ca="1" si="0"/>
        <v>IntelMKL002500019</v>
      </c>
      <c r="B24" s="4" t="str">
        <f t="shared" ca="1" si="1"/>
        <v>IntelMKL</v>
      </c>
      <c r="C24" s="3">
        <f t="shared" ca="1" si="2"/>
        <v>2500</v>
      </c>
      <c r="D24" s="9">
        <f t="shared" ca="1" si="3"/>
        <v>19</v>
      </c>
      <c r="E24" s="4">
        <f ca="1">AVERAGE(OFFSET(data!$A$1,$Q24-1,3,$R24,1))</f>
        <v>8.6377999999999955E-2</v>
      </c>
      <c r="F24" s="3">
        <f ca="1">MIN(OFFSET(data!$A$1,$Q24-1,3,$R24,1))</f>
        <v>8.6199999999999999E-2</v>
      </c>
      <c r="G24" s="3">
        <f ca="1">MAX(OFFSET(data!$A$1,$Q24-1,3,$R24,1))</f>
        <v>8.6599999999999996E-2</v>
      </c>
      <c r="H24" s="5">
        <f t="shared" ca="1" si="4"/>
        <v>4.6308087707517863E-3</v>
      </c>
      <c r="I24" s="4">
        <f ca="1">AVERAGE(OFFSET(data!$A$1,$Q24-1,4,$R24,1))</f>
        <v>361.78532799999999</v>
      </c>
      <c r="J24" s="3">
        <f ca="1">MIN(OFFSET(data!$A$1,$Q24-1,4,$R24,1))</f>
        <v>360.75040000000001</v>
      </c>
      <c r="K24" s="9">
        <f ca="1">MAX(OFFSET(data!$A$1,$Q24-1,4,$R24,1))</f>
        <v>362.34399999999999</v>
      </c>
      <c r="L24" s="28"/>
      <c r="N24" t="str">
        <f ca="1">OFFSET(data!$A$1,$Q24-1,0)</f>
        <v>IntelMKL</v>
      </c>
      <c r="O24">
        <f ca="1">OFFSET(data!$A$1,$Q24-1,1)</f>
        <v>2500</v>
      </c>
      <c r="P24">
        <f ca="1">OFFSET(data!$A$1,$Q24-1,2)</f>
        <v>19</v>
      </c>
      <c r="Q24">
        <f t="shared" ref="Q24:Q40" si="6">Q23+R23+1</f>
        <v>666</v>
      </c>
      <c r="R24">
        <v>50</v>
      </c>
      <c r="S24">
        <f ca="1">IF(AVERAGE(OFFSET(data!$A$1,$Q24,1,$R24-1,1))=O24,1,0)</f>
        <v>1</v>
      </c>
      <c r="T24">
        <f ca="1">IF(AVERAGE(OFFSET(data!$A$1,$Q24,2,$R24-1,1))=P24,1,0)</f>
        <v>1</v>
      </c>
    </row>
    <row r="25" spans="1:20" x14ac:dyDescent="0.15">
      <c r="A25" s="1" t="str">
        <f t="shared" ca="1" si="0"/>
        <v>IntelMKL002500020</v>
      </c>
      <c r="B25" s="4" t="str">
        <f t="shared" ca="1" si="1"/>
        <v>IntelMKL</v>
      </c>
      <c r="C25" s="3">
        <f t="shared" ca="1" si="2"/>
        <v>2500</v>
      </c>
      <c r="D25" s="9">
        <f t="shared" ca="1" si="3"/>
        <v>20</v>
      </c>
      <c r="E25" s="4">
        <f ca="1">AVERAGE(OFFSET(data!$A$1,$Q25-1,3,$R25,1))</f>
        <v>7.5845999999999983E-2</v>
      </c>
      <c r="F25" s="3">
        <f ca="1">MIN(OFFSET(data!$A$1,$Q25-1,3,$R25,1))</f>
        <v>7.51E-2</v>
      </c>
      <c r="G25" s="3">
        <f ca="1">MAX(OFFSET(data!$A$1,$Q25-1,3,$R25,1))</f>
        <v>8.2199999999999995E-2</v>
      </c>
      <c r="H25" s="5">
        <f t="shared" ca="1" si="4"/>
        <v>9.3610737547134948E-2</v>
      </c>
      <c r="I25" s="4">
        <f ca="1">AVERAGE(OFFSET(data!$A$1,$Q25-1,4,$R25,1))</f>
        <v>412.05482800000004</v>
      </c>
      <c r="J25" s="3">
        <f ca="1">MIN(OFFSET(data!$A$1,$Q25-1,4,$R25,1))</f>
        <v>380.24889999999999</v>
      </c>
      <c r="K25" s="9">
        <f ca="1">MAX(OFFSET(data!$A$1,$Q25-1,4,$R25,1))</f>
        <v>416.07310000000001</v>
      </c>
      <c r="L25" s="28"/>
      <c r="N25" t="str">
        <f ca="1">OFFSET(data!$A$1,$Q25-1,0)</f>
        <v>IntelMKL</v>
      </c>
      <c r="O25">
        <f ca="1">OFFSET(data!$A$1,$Q25-1,1)</f>
        <v>2500</v>
      </c>
      <c r="P25">
        <f ca="1">OFFSET(data!$A$1,$Q25-1,2)</f>
        <v>20</v>
      </c>
      <c r="Q25">
        <f t="shared" si="6"/>
        <v>717</v>
      </c>
      <c r="R25">
        <v>50</v>
      </c>
      <c r="S25">
        <f ca="1">IF(AVERAGE(OFFSET(data!$A$1,$Q25,1,$R25-1,1))=O25,1,0)</f>
        <v>1</v>
      </c>
      <c r="T25">
        <f ca="1">IF(AVERAGE(OFFSET(data!$A$1,$Q25,2,$R25-1,1))=P25,1,0)</f>
        <v>1</v>
      </c>
    </row>
    <row r="26" spans="1:20" x14ac:dyDescent="0.15">
      <c r="A26" s="1" t="str">
        <f t="shared" ca="1" si="0"/>
        <v>IntelMKL002505001</v>
      </c>
      <c r="B26" s="4" t="str">
        <f t="shared" ca="1" si="1"/>
        <v>IntelMKL</v>
      </c>
      <c r="C26" s="3">
        <f t="shared" ca="1" si="2"/>
        <v>2505</v>
      </c>
      <c r="D26" s="9">
        <f t="shared" ca="1" si="3"/>
        <v>1</v>
      </c>
      <c r="E26" s="4">
        <f ca="1">AVERAGE(OFFSET(data!$A$1,$Q26-1,3,$R26,1))</f>
        <v>1.1777000000000002</v>
      </c>
      <c r="F26" s="3">
        <f ca="1">MIN(OFFSET(data!$A$1,$Q26-1,3,$R26,1))</f>
        <v>1.1728000000000001</v>
      </c>
      <c r="G26" s="3">
        <f ca="1">MAX(OFFSET(data!$A$1,$Q26-1,3,$R26,1))</f>
        <v>1.1958</v>
      </c>
      <c r="H26" s="5">
        <f t="shared" ca="1" si="4"/>
        <v>1.9529591576802161E-2</v>
      </c>
      <c r="I26" s="4">
        <f ca="1">AVERAGE(OFFSET(data!$A$1,$Q26-1,4,$R26,1))</f>
        <v>26.695780000000003</v>
      </c>
      <c r="J26" s="3">
        <f ca="1">MIN(OFFSET(data!$A$1,$Q26-1,4,$R26,1))</f>
        <v>26.290199999999999</v>
      </c>
      <c r="K26" s="9">
        <f ca="1">MAX(OFFSET(data!$A$1,$Q26-1,4,$R26,1))</f>
        <v>26.806699999999999</v>
      </c>
      <c r="L26" s="28"/>
      <c r="N26" t="str">
        <f ca="1">OFFSET(data!$A$1,$Q26-1,0)</f>
        <v>IntelMKL</v>
      </c>
      <c r="O26">
        <f ca="1">OFFSET(data!$A$1,$Q26-1,1)</f>
        <v>2505</v>
      </c>
      <c r="P26">
        <f ca="1">OFFSET(data!$A$1,$Q26-1,2)</f>
        <v>1</v>
      </c>
      <c r="Q26">
        <f t="shared" si="6"/>
        <v>768</v>
      </c>
      <c r="R26">
        <v>5</v>
      </c>
      <c r="S26">
        <f ca="1">IF(AVERAGE(OFFSET(data!$A$1,$Q26,1,$R26-1,1))=O26,1,0)</f>
        <v>1</v>
      </c>
      <c r="T26">
        <f ca="1">IF(AVERAGE(OFFSET(data!$A$1,$Q26,2,$R26-1,1))=P26,1,0)</f>
        <v>1</v>
      </c>
    </row>
    <row r="27" spans="1:20" x14ac:dyDescent="0.15">
      <c r="A27" s="1" t="str">
        <f t="shared" ca="1" si="0"/>
        <v>IntelMKL002505019</v>
      </c>
      <c r="B27" s="4" t="str">
        <f t="shared" ca="1" si="1"/>
        <v>IntelMKL</v>
      </c>
      <c r="C27" s="3">
        <f t="shared" ca="1" si="2"/>
        <v>2505</v>
      </c>
      <c r="D27" s="9">
        <f t="shared" ca="1" si="3"/>
        <v>19</v>
      </c>
      <c r="E27" s="4">
        <f ca="1">AVERAGE(OFFSET(data!$A$1,$Q27-1,3,$R27,1))</f>
        <v>8.6029999999999995E-2</v>
      </c>
      <c r="F27" s="3">
        <f ca="1">MIN(OFFSET(data!$A$1,$Q27-1,3,$R27,1))</f>
        <v>8.5900000000000004E-2</v>
      </c>
      <c r="G27" s="3">
        <f ca="1">MAX(OFFSET(data!$A$1,$Q27-1,3,$R27,1))</f>
        <v>8.6099999999999996E-2</v>
      </c>
      <c r="H27" s="5">
        <f t="shared" ca="1" si="4"/>
        <v>2.3247704289200495E-3</v>
      </c>
      <c r="I27" s="4">
        <f ca="1">AVERAGE(OFFSET(data!$A$1,$Q27-1,4,$R27,1))</f>
        <v>365.44144800000004</v>
      </c>
      <c r="J27" s="3">
        <f ca="1">MIN(OFFSET(data!$A$1,$Q27-1,4,$R27,1))</f>
        <v>365.1576</v>
      </c>
      <c r="K27" s="9">
        <f ca="1">MAX(OFFSET(data!$A$1,$Q27-1,4,$R27,1))</f>
        <v>365.93540000000002</v>
      </c>
      <c r="L27" s="28"/>
      <c r="N27" t="str">
        <f ca="1">OFFSET(data!$A$1,$Q27-1,0)</f>
        <v>IntelMKL</v>
      </c>
      <c r="O27">
        <f ca="1">OFFSET(data!$A$1,$Q27-1,1)</f>
        <v>2505</v>
      </c>
      <c r="P27">
        <f ca="1">OFFSET(data!$A$1,$Q27-1,2)</f>
        <v>19</v>
      </c>
      <c r="Q27">
        <f t="shared" si="6"/>
        <v>774</v>
      </c>
      <c r="R27">
        <v>50</v>
      </c>
      <c r="S27">
        <f ca="1">IF(AVERAGE(OFFSET(data!$A$1,$Q27,1,$R27-1,1))=O27,1,0)</f>
        <v>1</v>
      </c>
      <c r="T27">
        <f ca="1">IF(AVERAGE(OFFSET(data!$A$1,$Q27,2,$R27-1,1))=P27,1,0)</f>
        <v>1</v>
      </c>
    </row>
    <row r="28" spans="1:20" x14ac:dyDescent="0.15">
      <c r="A28" s="1" t="str">
        <f t="shared" ca="1" si="0"/>
        <v>IntelMKL002505020</v>
      </c>
      <c r="B28" s="4" t="str">
        <f t="shared" ca="1" si="1"/>
        <v>IntelMKL</v>
      </c>
      <c r="C28" s="3">
        <f t="shared" ca="1" si="2"/>
        <v>2505</v>
      </c>
      <c r="D28" s="9">
        <f t="shared" ca="1" si="3"/>
        <v>20</v>
      </c>
      <c r="E28" s="4">
        <f ca="1">AVERAGE(OFFSET(data!$A$1,$Q28-1,3,$R28,1))</f>
        <v>7.7093999999999968E-2</v>
      </c>
      <c r="F28" s="3">
        <f ca="1">MIN(OFFSET(data!$A$1,$Q28-1,3,$R28,1))</f>
        <v>7.6300000000000007E-2</v>
      </c>
      <c r="G28" s="3">
        <f ca="1">MAX(OFFSET(data!$A$1,$Q28-1,3,$R28,1))</f>
        <v>8.4099999999999994E-2</v>
      </c>
      <c r="H28" s="5">
        <f t="shared" ca="1" si="4"/>
        <v>0.10117518873064039</v>
      </c>
      <c r="I28" s="4">
        <f ca="1">AVERAGE(OFFSET(data!$A$1,$Q28-1,4,$R28,1))</f>
        <v>407.90464799999995</v>
      </c>
      <c r="J28" s="3">
        <f ca="1">MIN(OFFSET(data!$A$1,$Q28-1,4,$R28,1))</f>
        <v>373.59769999999997</v>
      </c>
      <c r="K28" s="9">
        <f ca="1">MAX(OFFSET(data!$A$1,$Q28-1,4,$R28,1))</f>
        <v>411.78699999999998</v>
      </c>
      <c r="L28" s="28"/>
      <c r="N28" t="str">
        <f ca="1">OFFSET(data!$A$1,$Q28-1,0)</f>
        <v>IntelMKL</v>
      </c>
      <c r="O28">
        <f ca="1">OFFSET(data!$A$1,$Q28-1,1)</f>
        <v>2505</v>
      </c>
      <c r="P28">
        <f ca="1">OFFSET(data!$A$1,$Q28-1,2)</f>
        <v>20</v>
      </c>
      <c r="Q28">
        <f t="shared" si="6"/>
        <v>825</v>
      </c>
      <c r="R28">
        <v>50</v>
      </c>
      <c r="S28">
        <f ca="1">IF(AVERAGE(OFFSET(data!$A$1,$Q28,1,$R28-1,1))=O28,1,0)</f>
        <v>1</v>
      </c>
      <c r="T28">
        <f ca="1">IF(AVERAGE(OFFSET(data!$A$1,$Q28,2,$R28-1,1))=P28,1,0)</f>
        <v>1</v>
      </c>
    </row>
    <row r="29" spans="1:20" x14ac:dyDescent="0.15">
      <c r="A29" s="1" t="str">
        <f t="shared" ca="1" si="0"/>
        <v>IntelMKL002510001</v>
      </c>
      <c r="B29" s="4" t="str">
        <f t="shared" ca="1" si="1"/>
        <v>IntelMKL</v>
      </c>
      <c r="C29" s="3">
        <f t="shared" ca="1" si="2"/>
        <v>2510</v>
      </c>
      <c r="D29" s="9">
        <f t="shared" ca="1" si="3"/>
        <v>1</v>
      </c>
      <c r="E29" s="4">
        <f ca="1">AVERAGE(OFFSET(data!$A$1,$Q29-1,3,$R29,1))</f>
        <v>1.1720999999999999</v>
      </c>
      <c r="F29" s="3">
        <f ca="1">MIN(OFFSET(data!$A$1,$Q29-1,3,$R29,1))</f>
        <v>1.1713</v>
      </c>
      <c r="G29" s="3">
        <f ca="1">MAX(OFFSET(data!$A$1,$Q29-1,3,$R29,1))</f>
        <v>1.1726000000000001</v>
      </c>
      <c r="H29" s="5">
        <f t="shared" ca="1" si="4"/>
        <v>1.1091203822200144E-3</v>
      </c>
      <c r="I29" s="4">
        <f ca="1">AVERAGE(OFFSET(data!$A$1,$Q29-1,4,$R29,1))</f>
        <v>26.98272</v>
      </c>
      <c r="J29" s="3">
        <f ca="1">MIN(OFFSET(data!$A$1,$Q29-1,4,$R29,1))</f>
        <v>26.971</v>
      </c>
      <c r="K29" s="9">
        <f ca="1">MAX(OFFSET(data!$A$1,$Q29-1,4,$R29,1))</f>
        <v>27.002199999999998</v>
      </c>
      <c r="L29" s="28"/>
      <c r="N29" t="str">
        <f ca="1">OFFSET(data!$A$1,$Q29-1,0)</f>
        <v>IntelMKL</v>
      </c>
      <c r="O29">
        <f ca="1">OFFSET(data!$A$1,$Q29-1,1)</f>
        <v>2510</v>
      </c>
      <c r="P29">
        <f ca="1">OFFSET(data!$A$1,$Q29-1,2)</f>
        <v>1</v>
      </c>
      <c r="Q29">
        <f t="shared" si="6"/>
        <v>876</v>
      </c>
      <c r="R29">
        <v>5</v>
      </c>
      <c r="S29">
        <f ca="1">IF(AVERAGE(OFFSET(data!$A$1,$Q29,1,$R29-1,1))=O29,1,0)</f>
        <v>1</v>
      </c>
      <c r="T29">
        <f ca="1">IF(AVERAGE(OFFSET(data!$A$1,$Q29,2,$R29-1,1))=P29,1,0)</f>
        <v>1</v>
      </c>
    </row>
    <row r="30" spans="1:20" x14ac:dyDescent="0.15">
      <c r="A30" s="1" t="str">
        <f t="shared" ca="1" si="0"/>
        <v>IntelMKL002510019</v>
      </c>
      <c r="B30" s="4" t="str">
        <f t="shared" ca="1" si="1"/>
        <v>IntelMKL</v>
      </c>
      <c r="C30" s="3">
        <f t="shared" ca="1" si="2"/>
        <v>2510</v>
      </c>
      <c r="D30" s="9">
        <f t="shared" ca="1" si="3"/>
        <v>19</v>
      </c>
      <c r="E30" s="4">
        <f ca="1">AVERAGE(OFFSET(data!$A$1,$Q30-1,3,$R30,1))</f>
        <v>8.7192000000000061E-2</v>
      </c>
      <c r="F30" s="3">
        <f ca="1">MIN(OFFSET(data!$A$1,$Q30-1,3,$R30,1))</f>
        <v>8.7099999999999997E-2</v>
      </c>
      <c r="G30" s="3">
        <f ca="1">MAX(OFFSET(data!$A$1,$Q30-1,3,$R30,1))</f>
        <v>8.77E-2</v>
      </c>
      <c r="H30" s="5">
        <f t="shared" ca="1" si="4"/>
        <v>6.881365262868186E-3</v>
      </c>
      <c r="I30" s="4">
        <f ca="1">AVERAGE(OFFSET(data!$A$1,$Q30-1,4,$R30,1))</f>
        <v>362.72093000000001</v>
      </c>
      <c r="J30" s="3">
        <f ca="1">MIN(OFFSET(data!$A$1,$Q30-1,4,$R30,1))</f>
        <v>360.6585</v>
      </c>
      <c r="K30" s="9">
        <f ca="1">MAX(OFFSET(data!$A$1,$Q30-1,4,$R30,1))</f>
        <v>363.27249999999998</v>
      </c>
      <c r="L30" s="28"/>
      <c r="N30" t="str">
        <f ca="1">OFFSET(data!$A$1,$Q30-1,0)</f>
        <v>IntelMKL</v>
      </c>
      <c r="O30">
        <f ca="1">OFFSET(data!$A$1,$Q30-1,1)</f>
        <v>2510</v>
      </c>
      <c r="P30">
        <f ca="1">OFFSET(data!$A$1,$Q30-1,2)</f>
        <v>19</v>
      </c>
      <c r="Q30">
        <f t="shared" si="6"/>
        <v>882</v>
      </c>
      <c r="R30">
        <v>50</v>
      </c>
      <c r="S30">
        <f ca="1">IF(AVERAGE(OFFSET(data!$A$1,$Q30,1,$R30-1,1))=O30,1,0)</f>
        <v>1</v>
      </c>
      <c r="T30">
        <f ca="1">IF(AVERAGE(OFFSET(data!$A$1,$Q30,2,$R30-1,1))=P30,1,0)</f>
        <v>1</v>
      </c>
    </row>
    <row r="31" spans="1:20" x14ac:dyDescent="0.15">
      <c r="A31" s="1" t="str">
        <f t="shared" ca="1" si="0"/>
        <v>IntelMKL002510020</v>
      </c>
      <c r="B31" s="4" t="str">
        <f t="shared" ca="1" si="1"/>
        <v>IntelMKL</v>
      </c>
      <c r="C31" s="3">
        <f t="shared" ca="1" si="2"/>
        <v>2510</v>
      </c>
      <c r="D31" s="9">
        <f t="shared" ca="1" si="3"/>
        <v>20</v>
      </c>
      <c r="E31" s="4">
        <f ca="1">AVERAGE(OFFSET(data!$A$1,$Q31-1,3,$R31,1))</f>
        <v>7.8849999999999976E-2</v>
      </c>
      <c r="F31" s="3">
        <f ca="1">MIN(OFFSET(data!$A$1,$Q31-1,3,$R31,1))</f>
        <v>7.7899999999999997E-2</v>
      </c>
      <c r="G31" s="3">
        <f ca="1">MAX(OFFSET(data!$A$1,$Q31-1,3,$R31,1))</f>
        <v>8.6599999999999996E-2</v>
      </c>
      <c r="H31" s="5">
        <f t="shared" ca="1" si="4"/>
        <v>0.11033608116677238</v>
      </c>
      <c r="I31" s="4">
        <f ca="1">AVERAGE(OFFSET(data!$A$1,$Q31-1,4,$R31,1))</f>
        <v>401.27269400000006</v>
      </c>
      <c r="J31" s="3">
        <f ca="1">MIN(OFFSET(data!$A$1,$Q31-1,4,$R31,1))</f>
        <v>365.02510000000001</v>
      </c>
      <c r="K31" s="9">
        <f ca="1">MAX(OFFSET(data!$A$1,$Q31-1,4,$R31,1))</f>
        <v>406.10840000000002</v>
      </c>
      <c r="L31" s="28"/>
      <c r="N31" t="str">
        <f ca="1">OFFSET(data!$A$1,$Q31-1,0)</f>
        <v>IntelMKL</v>
      </c>
      <c r="O31">
        <f ca="1">OFFSET(data!$A$1,$Q31-1,1)</f>
        <v>2510</v>
      </c>
      <c r="P31">
        <f ca="1">OFFSET(data!$A$1,$Q31-1,2)</f>
        <v>20</v>
      </c>
      <c r="Q31">
        <f t="shared" si="6"/>
        <v>933</v>
      </c>
      <c r="R31">
        <v>50</v>
      </c>
      <c r="S31">
        <f ca="1">IF(AVERAGE(OFFSET(data!$A$1,$Q31,1,$R31-1,1))=O31,1,0)</f>
        <v>1</v>
      </c>
      <c r="T31">
        <f ca="1">IF(AVERAGE(OFFSET(data!$A$1,$Q31,2,$R31-1,1))=P31,1,0)</f>
        <v>1</v>
      </c>
    </row>
    <row r="32" spans="1:20" x14ac:dyDescent="0.15">
      <c r="A32" s="1" t="str">
        <f t="shared" ca="1" si="0"/>
        <v>IntelMKL010000001</v>
      </c>
      <c r="B32" s="4" t="str">
        <f t="shared" ca="1" si="1"/>
        <v>IntelMKL</v>
      </c>
      <c r="C32" s="3">
        <f t="shared" ca="1" si="2"/>
        <v>10000</v>
      </c>
      <c r="D32" s="9">
        <f t="shared" ca="1" si="3"/>
        <v>1</v>
      </c>
      <c r="E32" s="4">
        <f ca="1">AVERAGE(OFFSET(data!$A$1,$Q32-1,3,$R32,1))</f>
        <v>73.442620000000005</v>
      </c>
      <c r="F32" s="3">
        <f ca="1">MIN(OFFSET(data!$A$1,$Q32-1,3,$R32,1))</f>
        <v>73.418400000000005</v>
      </c>
      <c r="G32" s="3">
        <f ca="1">MAX(OFFSET(data!$A$1,$Q32-1,3,$R32,1))</f>
        <v>73.473299999999995</v>
      </c>
      <c r="H32" s="5">
        <f t="shared" ca="1" si="4"/>
        <v>7.4752235146280572E-4</v>
      </c>
      <c r="I32" s="4">
        <f ca="1">AVERAGE(OFFSET(data!$A$1,$Q32-1,4,$R32,1))</f>
        <v>27.232119999999998</v>
      </c>
      <c r="J32" s="3">
        <f ca="1">MIN(OFFSET(data!$A$1,$Q32-1,4,$R32,1))</f>
        <v>27.220800000000001</v>
      </c>
      <c r="K32" s="9">
        <f ca="1">MAX(OFFSET(data!$A$1,$Q32-1,4,$R32,1))</f>
        <v>27.241099999999999</v>
      </c>
      <c r="L32" s="28"/>
      <c r="N32" t="str">
        <f ca="1">OFFSET(data!$A$1,$Q32-1,0)</f>
        <v>IntelMKL</v>
      </c>
      <c r="O32">
        <f ca="1">OFFSET(data!$A$1,$Q32-1,1)</f>
        <v>10000</v>
      </c>
      <c r="P32">
        <f ca="1">OFFSET(data!$A$1,$Q32-1,2)</f>
        <v>1</v>
      </c>
      <c r="Q32">
        <f t="shared" si="6"/>
        <v>984</v>
      </c>
      <c r="R32">
        <v>5</v>
      </c>
      <c r="S32">
        <f ca="1">IF(AVERAGE(OFFSET(data!$A$1,$Q32,1,$R32-1,1))=O32,1,0)</f>
        <v>1</v>
      </c>
      <c r="T32">
        <f ca="1">IF(AVERAGE(OFFSET(data!$A$1,$Q32,2,$R32-1,1))=P32,1,0)</f>
        <v>1</v>
      </c>
    </row>
    <row r="33" spans="1:20" x14ac:dyDescent="0.15">
      <c r="A33" s="1" t="str">
        <f t="shared" ca="1" si="0"/>
        <v>IntelMKL010000019</v>
      </c>
      <c r="B33" s="4" t="str">
        <f t="shared" ca="1" si="1"/>
        <v>IntelMKL</v>
      </c>
      <c r="C33" s="3">
        <f t="shared" ca="1" si="2"/>
        <v>10000</v>
      </c>
      <c r="D33" s="9">
        <f t="shared" ca="1" si="3"/>
        <v>19</v>
      </c>
      <c r="E33" s="4">
        <f ca="1">AVERAGE(OFFSET(data!$A$1,$Q33-1,3,$R33,1))</f>
        <v>4.9831160000000017</v>
      </c>
      <c r="F33" s="3">
        <f ca="1">MIN(OFFSET(data!$A$1,$Q33-1,3,$R33,1))</f>
        <v>4.9806999999999997</v>
      </c>
      <c r="G33" s="3">
        <f ca="1">MAX(OFFSET(data!$A$1,$Q33-1,3,$R33,1))</f>
        <v>4.9915000000000003</v>
      </c>
      <c r="H33" s="5">
        <f t="shared" ca="1" si="4"/>
        <v>2.1673186014535047E-3</v>
      </c>
      <c r="I33" s="4">
        <f ca="1">AVERAGE(OFFSET(data!$A$1,$Q33-1,4,$R33,1))</f>
        <v>401.35503800000004</v>
      </c>
      <c r="J33" s="3">
        <f ca="1">MIN(OFFSET(data!$A$1,$Q33-1,4,$R33,1))</f>
        <v>400.68380000000002</v>
      </c>
      <c r="K33" s="9">
        <f ca="1">MAX(OFFSET(data!$A$1,$Q33-1,4,$R33,1))</f>
        <v>401.54840000000002</v>
      </c>
      <c r="L33" s="28"/>
      <c r="N33" t="str">
        <f ca="1">OFFSET(data!$A$1,$Q33-1,0)</f>
        <v>IntelMKL</v>
      </c>
      <c r="O33">
        <f ca="1">OFFSET(data!$A$1,$Q33-1,1)</f>
        <v>10000</v>
      </c>
      <c r="P33">
        <f ca="1">OFFSET(data!$A$1,$Q33-1,2)</f>
        <v>19</v>
      </c>
      <c r="Q33">
        <f t="shared" si="6"/>
        <v>990</v>
      </c>
      <c r="R33">
        <v>50</v>
      </c>
      <c r="S33">
        <f ca="1">IF(AVERAGE(OFFSET(data!$A$1,$Q33,1,$R33-1,1))=O33,1,0)</f>
        <v>1</v>
      </c>
      <c r="T33">
        <f ca="1">IF(AVERAGE(OFFSET(data!$A$1,$Q33,2,$R33-1,1))=P33,1,0)</f>
        <v>1</v>
      </c>
    </row>
    <row r="34" spans="1:20" x14ac:dyDescent="0.15">
      <c r="A34" s="1" t="str">
        <f t="shared" ca="1" si="0"/>
        <v>IntelMKL010000020</v>
      </c>
      <c r="B34" s="4" t="str">
        <f t="shared" ca="1" si="1"/>
        <v>IntelMKL</v>
      </c>
      <c r="C34" s="3">
        <f t="shared" ca="1" si="2"/>
        <v>10000</v>
      </c>
      <c r="D34" s="9">
        <f t="shared" ca="1" si="3"/>
        <v>20</v>
      </c>
      <c r="E34" s="4">
        <f ca="1">AVERAGE(OFFSET(data!$A$1,$Q34-1,3,$R34,1))</f>
        <v>4.4911479999999999</v>
      </c>
      <c r="F34" s="3">
        <f ca="1">MIN(OFFSET(data!$A$1,$Q34-1,3,$R34,1))</f>
        <v>4.4138000000000002</v>
      </c>
      <c r="G34" s="3">
        <f ca="1">MAX(OFFSET(data!$A$1,$Q34-1,3,$R34,1))</f>
        <v>4.5456000000000003</v>
      </c>
      <c r="H34" s="5">
        <f t="shared" ca="1" si="4"/>
        <v>2.9346616945155259E-2</v>
      </c>
      <c r="I34" s="4">
        <f ca="1">AVERAGE(OFFSET(data!$A$1,$Q34-1,4,$R34,1))</f>
        <v>445.3273299999999</v>
      </c>
      <c r="J34" s="3">
        <f ca="1">MIN(OFFSET(data!$A$1,$Q34-1,4,$R34,1))</f>
        <v>439.98149999999998</v>
      </c>
      <c r="K34" s="9">
        <f ca="1">MAX(OFFSET(data!$A$1,$Q34-1,4,$R34,1))</f>
        <v>453.12799999999999</v>
      </c>
      <c r="L34" s="28"/>
      <c r="N34" t="str">
        <f ca="1">OFFSET(data!$A$1,$Q34-1,0)</f>
        <v>IntelMKL</v>
      </c>
      <c r="O34">
        <f ca="1">OFFSET(data!$A$1,$Q34-1,1)</f>
        <v>10000</v>
      </c>
      <c r="P34">
        <f ca="1">OFFSET(data!$A$1,$Q34-1,2)</f>
        <v>20</v>
      </c>
      <c r="Q34">
        <f t="shared" si="6"/>
        <v>1041</v>
      </c>
      <c r="R34">
        <v>50</v>
      </c>
      <c r="S34">
        <f ca="1">IF(AVERAGE(OFFSET(data!$A$1,$Q34,1,$R34-1,1))=O34,1,0)</f>
        <v>1</v>
      </c>
      <c r="T34">
        <f ca="1">IF(AVERAGE(OFFSET(data!$A$1,$Q34,2,$R34-1,1))=P34,1,0)</f>
        <v>1</v>
      </c>
    </row>
    <row r="35" spans="1:20" x14ac:dyDescent="0.15">
      <c r="A35" s="1" t="str">
        <f t="shared" ca="1" si="0"/>
        <v>IntelMKL010005001</v>
      </c>
      <c r="B35" s="4" t="str">
        <f t="shared" ca="1" si="1"/>
        <v>IntelMKL</v>
      </c>
      <c r="C35" s="3">
        <f t="shared" ca="1" si="2"/>
        <v>10005</v>
      </c>
      <c r="D35" s="9">
        <f t="shared" ca="1" si="3"/>
        <v>1</v>
      </c>
      <c r="E35" s="4">
        <f ca="1">AVERAGE(OFFSET(data!$A$1,$Q35-1,3,$R35,1))</f>
        <v>73.894660000000002</v>
      </c>
      <c r="F35" s="3">
        <f ca="1">MIN(OFFSET(data!$A$1,$Q35-1,3,$R35,1))</f>
        <v>73.867199999999997</v>
      </c>
      <c r="G35" s="3">
        <f ca="1">MAX(OFFSET(data!$A$1,$Q35-1,3,$R35,1))</f>
        <v>73.923599999999993</v>
      </c>
      <c r="H35" s="5">
        <f t="shared" ca="1" si="4"/>
        <v>7.6324865693943851E-4</v>
      </c>
      <c r="I35" s="4">
        <f ca="1">AVERAGE(OFFSET(data!$A$1,$Q35-1,4,$R35,1))</f>
        <v>27.106200000000001</v>
      </c>
      <c r="J35" s="3">
        <f ca="1">MIN(OFFSET(data!$A$1,$Q35-1,4,$R35,1))</f>
        <v>27.095600000000001</v>
      </c>
      <c r="K35" s="9">
        <f ca="1">MAX(OFFSET(data!$A$1,$Q35-1,4,$R35,1))</f>
        <v>27.116299999999999</v>
      </c>
      <c r="L35" s="28"/>
      <c r="N35" t="str">
        <f ca="1">OFFSET(data!$A$1,$Q35-1,0)</f>
        <v>IntelMKL</v>
      </c>
      <c r="O35">
        <f ca="1">OFFSET(data!$A$1,$Q35-1,1)</f>
        <v>10005</v>
      </c>
      <c r="P35">
        <f ca="1">OFFSET(data!$A$1,$Q35-1,2)</f>
        <v>1</v>
      </c>
      <c r="Q35">
        <f t="shared" si="6"/>
        <v>1092</v>
      </c>
      <c r="R35">
        <v>5</v>
      </c>
      <c r="S35">
        <f ca="1">IF(AVERAGE(OFFSET(data!$A$1,$Q35,1,$R35-1,1))=O35,1,0)</f>
        <v>1</v>
      </c>
      <c r="T35">
        <f ca="1">IF(AVERAGE(OFFSET(data!$A$1,$Q35,2,$R35-1,1))=P35,1,0)</f>
        <v>1</v>
      </c>
    </row>
    <row r="36" spans="1:20" x14ac:dyDescent="0.15">
      <c r="A36" s="1" t="str">
        <f t="shared" ca="1" si="0"/>
        <v>IntelMKL010005019</v>
      </c>
      <c r="B36" s="4" t="str">
        <f t="shared" ca="1" si="1"/>
        <v>IntelMKL</v>
      </c>
      <c r="C36" s="3">
        <f t="shared" ca="1" si="2"/>
        <v>10005</v>
      </c>
      <c r="D36" s="9">
        <f t="shared" ca="1" si="3"/>
        <v>19</v>
      </c>
      <c r="E36" s="4">
        <f ca="1">AVERAGE(OFFSET(data!$A$1,$Q36-1,3,$R36,1))</f>
        <v>5.0408059999999981</v>
      </c>
      <c r="F36" s="3">
        <f ca="1">MIN(OFFSET(data!$A$1,$Q36-1,3,$R36,1))</f>
        <v>5.0384000000000002</v>
      </c>
      <c r="G36" s="3">
        <f ca="1">MAX(OFFSET(data!$A$1,$Q36-1,3,$R36,1))</f>
        <v>5.0446999999999997</v>
      </c>
      <c r="H36" s="5">
        <f t="shared" ca="1" si="4"/>
        <v>1.2498001311694064E-3</v>
      </c>
      <c r="I36" s="4">
        <f ca="1">AVERAGE(OFFSET(data!$A$1,$Q36-1,4,$R36,1))</f>
        <v>397.35709399999985</v>
      </c>
      <c r="J36" s="3">
        <f ca="1">MIN(OFFSET(data!$A$1,$Q36-1,4,$R36,1))</f>
        <v>397.05110000000002</v>
      </c>
      <c r="K36" s="9">
        <f ca="1">MAX(OFFSET(data!$A$1,$Q36-1,4,$R36,1))</f>
        <v>397.5498</v>
      </c>
      <c r="L36" s="28"/>
      <c r="N36" t="str">
        <f ca="1">OFFSET(data!$A$1,$Q36-1,0)</f>
        <v>IntelMKL</v>
      </c>
      <c r="O36">
        <f ca="1">OFFSET(data!$A$1,$Q36-1,1)</f>
        <v>10005</v>
      </c>
      <c r="P36">
        <f ca="1">OFFSET(data!$A$1,$Q36-1,2)</f>
        <v>19</v>
      </c>
      <c r="Q36">
        <f t="shared" si="6"/>
        <v>1098</v>
      </c>
      <c r="R36">
        <v>50</v>
      </c>
      <c r="S36">
        <f ca="1">IF(AVERAGE(OFFSET(data!$A$1,$Q36,1,$R36-1,1))=O36,1,0)</f>
        <v>1</v>
      </c>
      <c r="T36">
        <f ca="1">IF(AVERAGE(OFFSET(data!$A$1,$Q36,2,$R36-1,1))=P36,1,0)</f>
        <v>1</v>
      </c>
    </row>
    <row r="37" spans="1:20" x14ac:dyDescent="0.15">
      <c r="A37" s="1" t="str">
        <f t="shared" ca="1" si="0"/>
        <v>IntelMKL010005020</v>
      </c>
      <c r="B37" s="4" t="str">
        <f t="shared" ca="1" si="1"/>
        <v>IntelMKL</v>
      </c>
      <c r="C37" s="3">
        <f t="shared" ca="1" si="2"/>
        <v>10005</v>
      </c>
      <c r="D37" s="9">
        <f t="shared" ca="1" si="3"/>
        <v>20</v>
      </c>
      <c r="E37" s="4">
        <f ca="1">AVERAGE(OFFSET(data!$A$1,$Q37-1,3,$R37,1))</f>
        <v>4.5041660000000006</v>
      </c>
      <c r="F37" s="3">
        <f ca="1">MIN(OFFSET(data!$A$1,$Q37-1,3,$R37,1))</f>
        <v>4.4253</v>
      </c>
      <c r="G37" s="3">
        <f ca="1">MAX(OFFSET(data!$A$1,$Q37-1,3,$R37,1))</f>
        <v>4.5621999999999998</v>
      </c>
      <c r="H37" s="5">
        <f t="shared" ca="1" si="4"/>
        <v>3.0394084054628488E-2</v>
      </c>
      <c r="I37" s="4">
        <f ca="1">AVERAGE(OFFSET(data!$A$1,$Q37-1,4,$R37,1))</f>
        <v>444.70576599999987</v>
      </c>
      <c r="J37" s="3">
        <f ca="1">MIN(OFFSET(data!$A$1,$Q37-1,4,$R37,1))</f>
        <v>439.04169999999999</v>
      </c>
      <c r="K37" s="9">
        <f ca="1">MAX(OFFSET(data!$A$1,$Q37-1,4,$R37,1))</f>
        <v>452.6216</v>
      </c>
      <c r="L37" s="28"/>
      <c r="N37" t="str">
        <f ca="1">OFFSET(data!$A$1,$Q37-1,0)</f>
        <v>IntelMKL</v>
      </c>
      <c r="O37">
        <f ca="1">OFFSET(data!$A$1,$Q37-1,1)</f>
        <v>10005</v>
      </c>
      <c r="P37">
        <f ca="1">OFFSET(data!$A$1,$Q37-1,2)</f>
        <v>20</v>
      </c>
      <c r="Q37">
        <f t="shared" si="6"/>
        <v>1149</v>
      </c>
      <c r="R37">
        <v>50</v>
      </c>
      <c r="S37">
        <f ca="1">IF(AVERAGE(OFFSET(data!$A$1,$Q37,1,$R37-1,1))=O37,1,0)</f>
        <v>1</v>
      </c>
      <c r="T37">
        <f ca="1">IF(AVERAGE(OFFSET(data!$A$1,$Q37,2,$R37-1,1))=P37,1,0)</f>
        <v>1</v>
      </c>
    </row>
    <row r="38" spans="1:20" x14ac:dyDescent="0.15">
      <c r="A38" s="1" t="str">
        <f t="shared" ca="1" si="0"/>
        <v>IntelMKL010010001</v>
      </c>
      <c r="B38" s="4" t="str">
        <f t="shared" ca="1" si="1"/>
        <v>IntelMKL</v>
      </c>
      <c r="C38" s="3">
        <f t="shared" ca="1" si="2"/>
        <v>10010</v>
      </c>
      <c r="D38" s="9">
        <f t="shared" ca="1" si="3"/>
        <v>1</v>
      </c>
      <c r="E38" s="4">
        <f ca="1">AVERAGE(OFFSET(data!$A$1,$Q38-1,3,$R38,1))</f>
        <v>73.444599999999994</v>
      </c>
      <c r="F38" s="3">
        <f ca="1">MIN(OFFSET(data!$A$1,$Q38-1,3,$R38,1))</f>
        <v>73.429000000000002</v>
      </c>
      <c r="G38" s="3">
        <f ca="1">MAX(OFFSET(data!$A$1,$Q38-1,3,$R38,1))</f>
        <v>73.469300000000004</v>
      </c>
      <c r="H38" s="5">
        <f t="shared" ca="1" si="4"/>
        <v>5.4871290741595707E-4</v>
      </c>
      <c r="I38" s="4">
        <f ca="1">AVERAGE(OFFSET(data!$A$1,$Q38-1,4,$R38,1))</f>
        <v>27.313179999999999</v>
      </c>
      <c r="J38" s="3">
        <f ca="1">MIN(OFFSET(data!$A$1,$Q38-1,4,$R38,1))</f>
        <v>27.303999999999998</v>
      </c>
      <c r="K38" s="9">
        <f ca="1">MAX(OFFSET(data!$A$1,$Q38-1,4,$R38,1))</f>
        <v>27.318999999999999</v>
      </c>
      <c r="L38" s="28"/>
      <c r="N38" t="str">
        <f ca="1">OFFSET(data!$A$1,$Q38-1,0)</f>
        <v>IntelMKL</v>
      </c>
      <c r="O38">
        <f ca="1">OFFSET(data!$A$1,$Q38-1,1)</f>
        <v>10010</v>
      </c>
      <c r="P38">
        <f ca="1">OFFSET(data!$A$1,$Q38-1,2)</f>
        <v>1</v>
      </c>
      <c r="Q38">
        <f t="shared" si="6"/>
        <v>1200</v>
      </c>
      <c r="R38">
        <v>5</v>
      </c>
      <c r="S38">
        <f ca="1">IF(AVERAGE(OFFSET(data!$A$1,$Q38,1,$R38-1,1))=O38,1,0)</f>
        <v>1</v>
      </c>
      <c r="T38">
        <f ca="1">IF(AVERAGE(OFFSET(data!$A$1,$Q38,2,$R38-1,1))=P38,1,0)</f>
        <v>1</v>
      </c>
    </row>
    <row r="39" spans="1:20" x14ac:dyDescent="0.15">
      <c r="A39" s="1" t="str">
        <f t="shared" ca="1" si="0"/>
        <v>IntelMKL010010019</v>
      </c>
      <c r="B39" s="4" t="str">
        <f t="shared" ca="1" si="1"/>
        <v>IntelMKL</v>
      </c>
      <c r="C39" s="3">
        <f t="shared" ca="1" si="2"/>
        <v>10010</v>
      </c>
      <c r="D39" s="9">
        <f t="shared" ca="1" si="3"/>
        <v>19</v>
      </c>
      <c r="E39" s="4">
        <f ca="1">AVERAGE(OFFSET(data!$A$1,$Q39-1,3,$R39,1))</f>
        <v>4.9034620000000002</v>
      </c>
      <c r="F39" s="3">
        <f ca="1">MIN(OFFSET(data!$A$1,$Q39-1,3,$R39,1))</f>
        <v>4.8967000000000001</v>
      </c>
      <c r="G39" s="3">
        <f ca="1">MAX(OFFSET(data!$A$1,$Q39-1,3,$R39,1))</f>
        <v>4.9386999999999999</v>
      </c>
      <c r="H39" s="5">
        <f t="shared" ca="1" si="4"/>
        <v>8.5653768704641361E-3</v>
      </c>
      <c r="I39" s="4">
        <f ca="1">AVERAGE(OFFSET(data!$A$1,$Q39-1,4,$R39,1))</f>
        <v>409.10019999999997</v>
      </c>
      <c r="J39" s="3">
        <f ca="1">MIN(OFFSET(data!$A$1,$Q39-1,4,$R39,1))</f>
        <v>406.18009999999998</v>
      </c>
      <c r="K39" s="9">
        <f ca="1">MAX(OFFSET(data!$A$1,$Q39-1,4,$R39,1))</f>
        <v>409.66250000000002</v>
      </c>
      <c r="L39" s="28"/>
      <c r="N39" t="str">
        <f ca="1">OFFSET(data!$A$1,$Q39-1,0)</f>
        <v>IntelMKL</v>
      </c>
      <c r="O39">
        <f ca="1">OFFSET(data!$A$1,$Q39-1,1)</f>
        <v>10010</v>
      </c>
      <c r="P39">
        <f ca="1">OFFSET(data!$A$1,$Q39-1,2)</f>
        <v>19</v>
      </c>
      <c r="Q39">
        <f t="shared" si="6"/>
        <v>1206</v>
      </c>
      <c r="R39">
        <v>50</v>
      </c>
      <c r="S39">
        <f ca="1">IF(AVERAGE(OFFSET(data!$A$1,$Q39,1,$R39-1,1))=O39,1,0)</f>
        <v>1</v>
      </c>
      <c r="T39">
        <f ca="1">IF(AVERAGE(OFFSET(data!$A$1,$Q39,2,$R39-1,1))=P39,1,0)</f>
        <v>1</v>
      </c>
    </row>
    <row r="40" spans="1:20" ht="14" thickBot="1" x14ac:dyDescent="0.2">
      <c r="A40" s="1" t="str">
        <f t="shared" ca="1" si="0"/>
        <v>IntelMKL010010020</v>
      </c>
      <c r="B40" s="6" t="str">
        <f t="shared" ca="1" si="1"/>
        <v>IntelMKL</v>
      </c>
      <c r="C40" s="7">
        <f t="shared" ca="1" si="2"/>
        <v>10010</v>
      </c>
      <c r="D40" s="10">
        <f t="shared" ca="1" si="3"/>
        <v>20</v>
      </c>
      <c r="E40" s="6">
        <f ca="1">AVERAGE(OFFSET(data!$A$1,$Q40-1,3,$R40,1))</f>
        <v>4.5004660000000003</v>
      </c>
      <c r="F40" s="7">
        <f ca="1">MIN(OFFSET(data!$A$1,$Q40-1,3,$R40,1))</f>
        <v>4.4051999999999998</v>
      </c>
      <c r="G40" s="7">
        <f ca="1">MAX(OFFSET(data!$A$1,$Q40-1,3,$R40,1))</f>
        <v>4.7218999999999998</v>
      </c>
      <c r="H40" s="8">
        <f t="shared" ca="1" si="4"/>
        <v>7.0370490522536994E-2</v>
      </c>
      <c r="I40" s="6">
        <f ca="1">AVERAGE(OFFSET(data!$A$1,$Q40-1,4,$R40,1))</f>
        <v>445.77004799999997</v>
      </c>
      <c r="J40" s="7">
        <f ca="1">MIN(OFFSET(data!$A$1,$Q40-1,4,$R40,1))</f>
        <v>424.82679999999999</v>
      </c>
      <c r="K40" s="10">
        <f ca="1">MAX(OFFSET(data!$A$1,$Q40-1,4,$R40,1))</f>
        <v>455.37329999999997</v>
      </c>
      <c r="L40" s="28"/>
      <c r="N40" t="str">
        <f ca="1">OFFSET(data!$A$1,$Q40-1,0)</f>
        <v>IntelMKL</v>
      </c>
      <c r="O40">
        <f ca="1">OFFSET(data!$A$1,$Q40-1,1)</f>
        <v>10010</v>
      </c>
      <c r="P40">
        <f ca="1">OFFSET(data!$A$1,$Q40-1,2)</f>
        <v>20</v>
      </c>
      <c r="Q40">
        <f t="shared" si="6"/>
        <v>1257</v>
      </c>
      <c r="R40">
        <v>50</v>
      </c>
      <c r="S40">
        <f ca="1">IF(AVERAGE(OFFSET(data!$A$1,$Q40,1,$R40-1,1))=O40,1,0)</f>
        <v>1</v>
      </c>
      <c r="T40">
        <f ca="1">IF(AVERAGE(OFFSET(data!$A$1,$Q40,2,$R40-1,1))=P40,1,0)</f>
        <v>1</v>
      </c>
    </row>
    <row r="46" spans="1:20" ht="14" thickBot="1" x14ac:dyDescent="0.2"/>
    <row r="47" spans="1:20" ht="14" thickBot="1" x14ac:dyDescent="0.2">
      <c r="D47" s="65" t="s">
        <v>26</v>
      </c>
      <c r="E47" s="66"/>
      <c r="F47" s="67"/>
      <c r="G47" s="68" t="s">
        <v>7</v>
      </c>
      <c r="H47" s="66"/>
      <c r="I47" s="67"/>
    </row>
    <row r="48" spans="1:20" ht="14" thickBot="1" x14ac:dyDescent="0.2">
      <c r="B48" s="46" t="s">
        <v>28</v>
      </c>
      <c r="C48" s="47" t="s">
        <v>29</v>
      </c>
      <c r="D48" s="56">
        <f ca="1">D5</f>
        <v>1</v>
      </c>
      <c r="E48" s="57">
        <f ca="1">D6</f>
        <v>19</v>
      </c>
      <c r="F48" s="58">
        <f ca="1">D7</f>
        <v>20</v>
      </c>
      <c r="G48" s="59">
        <f ca="1">D5</f>
        <v>1</v>
      </c>
      <c r="H48" s="57">
        <f ca="1">D6</f>
        <v>19</v>
      </c>
      <c r="I48" s="58">
        <f ca="1">D7</f>
        <v>20</v>
      </c>
    </row>
    <row r="49" spans="2:16" x14ac:dyDescent="0.15">
      <c r="B49" s="11" t="str">
        <f ca="1">B5</f>
        <v>OpenBLAS</v>
      </c>
      <c r="C49" s="39">
        <f ca="1">C5</f>
        <v>2500</v>
      </c>
      <c r="D49" s="41">
        <f t="shared" ref="D49:D60" ca="1" si="7">VLOOKUP(N49,datatable,8,FALSE)</f>
        <v>2.6870536023853066E-3</v>
      </c>
      <c r="E49" s="32">
        <f t="shared" ref="E49:E60" ca="1" si="8">VLOOKUP(O49,datatable,8,FALSE)</f>
        <v>9.8277683594998784E-3</v>
      </c>
      <c r="F49" s="24">
        <f t="shared" ref="F49:F60" ca="1" si="9">VLOOKUP(P49,datatable,8,FALSE)</f>
        <v>0.11846545905365397</v>
      </c>
      <c r="G49" s="48">
        <f t="shared" ref="G49:G60" ca="1" si="10">VLOOKUP(N49,datatable,9,FALSE)</f>
        <v>27.087</v>
      </c>
      <c r="H49" s="33">
        <f t="shared" ref="H49:H60" ca="1" si="11">VLOOKUP(O49,datatable,9,FALSE)</f>
        <v>383.90784799999994</v>
      </c>
      <c r="I49" s="34">
        <f t="shared" ref="I49:I60" ca="1" si="12">VLOOKUP(P49,datatable,9,FALSE)</f>
        <v>215.46498600000007</v>
      </c>
      <c r="N49" t="str">
        <f t="shared" ref="N49:N60" ca="1" si="13">$B49 &amp; TEXT($C49,"000000") &amp; TEXT(D$48,"000")</f>
        <v>OpenBLAS002500001</v>
      </c>
      <c r="O49" s="1" t="str">
        <f t="shared" ref="O49:O60" ca="1" si="14">$B49 &amp; TEXT($C49,"000000") &amp; TEXT(E$48,"000")</f>
        <v>OpenBLAS002500019</v>
      </c>
      <c r="P49" s="1" t="str">
        <f t="shared" ref="P49:P60" ca="1" si="15">$B49 &amp; TEXT($C49,"000000") &amp; TEXT(F$48,"000")</f>
        <v>OpenBLAS002500020</v>
      </c>
    </row>
    <row r="50" spans="2:16" x14ac:dyDescent="0.15">
      <c r="B50" s="4" t="str">
        <f ca="1">B8</f>
        <v>OpenBLAS</v>
      </c>
      <c r="C50" s="40">
        <f ca="1">C8</f>
        <v>2505</v>
      </c>
      <c r="D50" s="42">
        <f t="shared" ca="1" si="7"/>
        <v>4.9443336231736034E-3</v>
      </c>
      <c r="E50" s="30">
        <f t="shared" ca="1" si="8"/>
        <v>1.8340547281930911E-2</v>
      </c>
      <c r="F50" s="5">
        <f t="shared" ca="1" si="9"/>
        <v>0.54280018929887708</v>
      </c>
      <c r="G50" s="49">
        <f t="shared" ca="1" si="10"/>
        <v>26.800339999999998</v>
      </c>
      <c r="H50" s="31">
        <f t="shared" ca="1" si="11"/>
        <v>384.37296800000013</v>
      </c>
      <c r="I50" s="35">
        <f t="shared" ca="1" si="12"/>
        <v>239.42032399999999</v>
      </c>
      <c r="N50" s="1" t="str">
        <f t="shared" ca="1" si="13"/>
        <v>OpenBLAS002505001</v>
      </c>
      <c r="O50" s="1" t="str">
        <f t="shared" ca="1" si="14"/>
        <v>OpenBLAS002505019</v>
      </c>
      <c r="P50" s="1" t="str">
        <f t="shared" ca="1" si="15"/>
        <v>OpenBLAS002505020</v>
      </c>
    </row>
    <row r="51" spans="2:16" x14ac:dyDescent="0.15">
      <c r="B51" s="4" t="str">
        <f ca="1">B11</f>
        <v>OpenBLAS</v>
      </c>
      <c r="C51" s="40">
        <f ca="1">C11</f>
        <v>2510</v>
      </c>
      <c r="D51" s="42">
        <f t="shared" ca="1" si="7"/>
        <v>5.9019758788811114E-3</v>
      </c>
      <c r="E51" s="30">
        <f t="shared" ca="1" si="8"/>
        <v>9.6634696687845148E-3</v>
      </c>
      <c r="F51" s="5">
        <f t="shared" ca="1" si="9"/>
        <v>0.13569604086845469</v>
      </c>
      <c r="G51" s="49">
        <f t="shared" ca="1" si="10"/>
        <v>27.052019999999999</v>
      </c>
      <c r="H51" s="31">
        <f t="shared" ca="1" si="11"/>
        <v>382.00583799999993</v>
      </c>
      <c r="I51" s="35">
        <f t="shared" ca="1" si="12"/>
        <v>210.50942200000006</v>
      </c>
      <c r="N51" s="1" t="str">
        <f t="shared" ca="1" si="13"/>
        <v>OpenBLAS002510001</v>
      </c>
      <c r="O51" s="1" t="str">
        <f t="shared" ca="1" si="14"/>
        <v>OpenBLAS002510019</v>
      </c>
      <c r="P51" s="1" t="str">
        <f t="shared" ca="1" si="15"/>
        <v>OpenBLAS002510020</v>
      </c>
    </row>
    <row r="52" spans="2:16" x14ac:dyDescent="0.15">
      <c r="B52" s="4" t="str">
        <f ca="1">B14</f>
        <v>OpenBLAS</v>
      </c>
      <c r="C52" s="40">
        <f ca="1">C14</f>
        <v>10000</v>
      </c>
      <c r="D52" s="42">
        <f t="shared" ca="1" si="7"/>
        <v>8.538165600232916E-4</v>
      </c>
      <c r="E52" s="30">
        <f t="shared" ca="1" si="8"/>
        <v>3.7466723766519973E-2</v>
      </c>
      <c r="F52" s="5">
        <f t="shared" ca="1" si="9"/>
        <v>1.1220050357975069E-2</v>
      </c>
      <c r="G52" s="49">
        <f t="shared" ca="1" si="10"/>
        <v>27.148379999999996</v>
      </c>
      <c r="H52" s="31">
        <f t="shared" ca="1" si="11"/>
        <v>404.42149599999999</v>
      </c>
      <c r="I52" s="35">
        <f t="shared" ca="1" si="12"/>
        <v>426.61924000000005</v>
      </c>
      <c r="N52" s="1" t="str">
        <f t="shared" ca="1" si="13"/>
        <v>OpenBLAS010000001</v>
      </c>
      <c r="O52" s="1" t="str">
        <f t="shared" ca="1" si="14"/>
        <v>OpenBLAS010000019</v>
      </c>
      <c r="P52" s="1" t="str">
        <f t="shared" ca="1" si="15"/>
        <v>OpenBLAS010000020</v>
      </c>
    </row>
    <row r="53" spans="2:16" x14ac:dyDescent="0.15">
      <c r="B53" s="4" t="str">
        <f ca="1">B17</f>
        <v>OpenBLAS</v>
      </c>
      <c r="C53" s="40">
        <f ca="1">C17</f>
        <v>10005</v>
      </c>
      <c r="D53" s="42">
        <f t="shared" ca="1" si="7"/>
        <v>1.4234566807252492E-3</v>
      </c>
      <c r="E53" s="30">
        <f t="shared" ca="1" si="8"/>
        <v>5.7154750024221435E-2</v>
      </c>
      <c r="F53" s="5">
        <f t="shared" ca="1" si="9"/>
        <v>6.4930684386278878E-3</v>
      </c>
      <c r="G53" s="49">
        <f t="shared" ca="1" si="10"/>
        <v>26.974319999999999</v>
      </c>
      <c r="H53" s="31">
        <f t="shared" ca="1" si="11"/>
        <v>399.371216</v>
      </c>
      <c r="I53" s="35">
        <f t="shared" ca="1" si="12"/>
        <v>422.26137399999999</v>
      </c>
      <c r="N53" s="1" t="str">
        <f t="shared" ca="1" si="13"/>
        <v>OpenBLAS010005001</v>
      </c>
      <c r="O53" s="1" t="str">
        <f t="shared" ca="1" si="14"/>
        <v>OpenBLAS010005019</v>
      </c>
      <c r="P53" s="1" t="str">
        <f t="shared" ca="1" si="15"/>
        <v>OpenBLAS010005020</v>
      </c>
    </row>
    <row r="54" spans="2:16" ht="14" thickBot="1" x14ac:dyDescent="0.2">
      <c r="B54" s="6" t="str">
        <f ca="1">B20</f>
        <v>OpenBLAS</v>
      </c>
      <c r="C54" s="44">
        <f ca="1">C20</f>
        <v>10010</v>
      </c>
      <c r="D54" s="43">
        <f t="shared" ca="1" si="7"/>
        <v>1.0534123619437398E-3</v>
      </c>
      <c r="E54" s="36">
        <f t="shared" ca="1" si="8"/>
        <v>5.1226912705963225E-2</v>
      </c>
      <c r="F54" s="8">
        <f t="shared" ca="1" si="9"/>
        <v>1.0618765177219014E-2</v>
      </c>
      <c r="G54" s="50">
        <f t="shared" ca="1" si="10"/>
        <v>27.30172</v>
      </c>
      <c r="H54" s="37">
        <f t="shared" ca="1" si="11"/>
        <v>403.37099999999998</v>
      </c>
      <c r="I54" s="38">
        <f t="shared" ca="1" si="12"/>
        <v>424.33027800000013</v>
      </c>
      <c r="N54" s="1" t="str">
        <f t="shared" ca="1" si="13"/>
        <v>OpenBLAS010010001</v>
      </c>
      <c r="O54" s="1" t="str">
        <f t="shared" ca="1" si="14"/>
        <v>OpenBLAS010010019</v>
      </c>
      <c r="P54" s="1" t="str">
        <f t="shared" ca="1" si="15"/>
        <v>OpenBLAS010010020</v>
      </c>
    </row>
    <row r="55" spans="2:16" x14ac:dyDescent="0.15">
      <c r="B55" s="18" t="str">
        <f ca="1">B23</f>
        <v>IntelMKL</v>
      </c>
      <c r="C55" s="45">
        <f ca="1">C23</f>
        <v>2500</v>
      </c>
      <c r="D55" s="51">
        <f t="shared" ca="1" si="7"/>
        <v>8.4221381918185203E-3</v>
      </c>
      <c r="E55" s="52">
        <f t="shared" ca="1" si="8"/>
        <v>4.6308087707517863E-3</v>
      </c>
      <c r="F55" s="21">
        <f t="shared" ca="1" si="9"/>
        <v>9.3610737547134948E-2</v>
      </c>
      <c r="G55" s="53">
        <f t="shared" ca="1" si="10"/>
        <v>26.856219999999997</v>
      </c>
      <c r="H55" s="54">
        <f t="shared" ca="1" si="11"/>
        <v>361.78532799999999</v>
      </c>
      <c r="I55" s="55">
        <f t="shared" ca="1" si="12"/>
        <v>412.05482800000004</v>
      </c>
      <c r="N55" s="1" t="str">
        <f t="shared" ca="1" si="13"/>
        <v>IntelMKL002500001</v>
      </c>
      <c r="O55" s="1" t="str">
        <f t="shared" ca="1" si="14"/>
        <v>IntelMKL002500019</v>
      </c>
      <c r="P55" s="1" t="str">
        <f t="shared" ca="1" si="15"/>
        <v>IntelMKL002500020</v>
      </c>
    </row>
    <row r="56" spans="2:16" x14ac:dyDescent="0.15">
      <c r="B56" s="4" t="str">
        <f ca="1">B26</f>
        <v>IntelMKL</v>
      </c>
      <c r="C56" s="40">
        <f ca="1">C26</f>
        <v>2505</v>
      </c>
      <c r="D56" s="42">
        <f t="shared" ca="1" si="7"/>
        <v>1.9529591576802161E-2</v>
      </c>
      <c r="E56" s="30">
        <f t="shared" ca="1" si="8"/>
        <v>2.3247704289200495E-3</v>
      </c>
      <c r="F56" s="5">
        <f t="shared" ca="1" si="9"/>
        <v>0.10117518873064039</v>
      </c>
      <c r="G56" s="49">
        <f t="shared" ca="1" si="10"/>
        <v>26.695780000000003</v>
      </c>
      <c r="H56" s="31">
        <f t="shared" ca="1" si="11"/>
        <v>365.44144800000004</v>
      </c>
      <c r="I56" s="35">
        <f t="shared" ca="1" si="12"/>
        <v>407.90464799999995</v>
      </c>
      <c r="N56" s="1" t="str">
        <f t="shared" ca="1" si="13"/>
        <v>IntelMKL002505001</v>
      </c>
      <c r="O56" s="1" t="str">
        <f t="shared" ca="1" si="14"/>
        <v>IntelMKL002505019</v>
      </c>
      <c r="P56" s="1" t="str">
        <f t="shared" ca="1" si="15"/>
        <v>IntelMKL002505020</v>
      </c>
    </row>
    <row r="57" spans="2:16" x14ac:dyDescent="0.15">
      <c r="B57" s="4" t="str">
        <f ca="1">B29</f>
        <v>IntelMKL</v>
      </c>
      <c r="C57" s="40">
        <f ca="1">C29</f>
        <v>2510</v>
      </c>
      <c r="D57" s="42">
        <f t="shared" ca="1" si="7"/>
        <v>1.1091203822200144E-3</v>
      </c>
      <c r="E57" s="30">
        <f t="shared" ca="1" si="8"/>
        <v>6.881365262868186E-3</v>
      </c>
      <c r="F57" s="5">
        <f t="shared" ca="1" si="9"/>
        <v>0.11033608116677238</v>
      </c>
      <c r="G57" s="49">
        <f t="shared" ca="1" si="10"/>
        <v>26.98272</v>
      </c>
      <c r="H57" s="31">
        <f t="shared" ca="1" si="11"/>
        <v>362.72093000000001</v>
      </c>
      <c r="I57" s="35">
        <f t="shared" ca="1" si="12"/>
        <v>401.27269400000006</v>
      </c>
      <c r="N57" s="1" t="str">
        <f t="shared" ca="1" si="13"/>
        <v>IntelMKL002510001</v>
      </c>
      <c r="O57" s="1" t="str">
        <f t="shared" ca="1" si="14"/>
        <v>IntelMKL002510019</v>
      </c>
      <c r="P57" s="1" t="str">
        <f t="shared" ca="1" si="15"/>
        <v>IntelMKL002510020</v>
      </c>
    </row>
    <row r="58" spans="2:16" x14ac:dyDescent="0.15">
      <c r="B58" s="4" t="str">
        <f ca="1">B32</f>
        <v>IntelMKL</v>
      </c>
      <c r="C58" s="40">
        <f ca="1">C32</f>
        <v>10000</v>
      </c>
      <c r="D58" s="42">
        <f t="shared" ca="1" si="7"/>
        <v>7.4752235146280572E-4</v>
      </c>
      <c r="E58" s="30">
        <f t="shared" ca="1" si="8"/>
        <v>2.1673186014535047E-3</v>
      </c>
      <c r="F58" s="5">
        <f t="shared" ca="1" si="9"/>
        <v>2.9346616945155259E-2</v>
      </c>
      <c r="G58" s="49">
        <f t="shared" ca="1" si="10"/>
        <v>27.232119999999998</v>
      </c>
      <c r="H58" s="31">
        <f t="shared" ca="1" si="11"/>
        <v>401.35503800000004</v>
      </c>
      <c r="I58" s="35">
        <f t="shared" ca="1" si="12"/>
        <v>445.3273299999999</v>
      </c>
      <c r="N58" s="1" t="str">
        <f t="shared" ca="1" si="13"/>
        <v>IntelMKL010000001</v>
      </c>
      <c r="O58" s="1" t="str">
        <f t="shared" ca="1" si="14"/>
        <v>IntelMKL010000019</v>
      </c>
      <c r="P58" s="1" t="str">
        <f t="shared" ca="1" si="15"/>
        <v>IntelMKL010000020</v>
      </c>
    </row>
    <row r="59" spans="2:16" x14ac:dyDescent="0.15">
      <c r="B59" s="4" t="str">
        <f ca="1">B35</f>
        <v>IntelMKL</v>
      </c>
      <c r="C59" s="40">
        <f ca="1">C35</f>
        <v>10005</v>
      </c>
      <c r="D59" s="42">
        <f t="shared" ca="1" si="7"/>
        <v>7.6324865693943851E-4</v>
      </c>
      <c r="E59" s="30">
        <f t="shared" ca="1" si="8"/>
        <v>1.2498001311694064E-3</v>
      </c>
      <c r="F59" s="5">
        <f t="shared" ca="1" si="9"/>
        <v>3.0394084054628488E-2</v>
      </c>
      <c r="G59" s="49">
        <f t="shared" ca="1" si="10"/>
        <v>27.106200000000001</v>
      </c>
      <c r="H59" s="31">
        <f t="shared" ca="1" si="11"/>
        <v>397.35709399999985</v>
      </c>
      <c r="I59" s="35">
        <f t="shared" ca="1" si="12"/>
        <v>444.70576599999987</v>
      </c>
      <c r="N59" s="1" t="str">
        <f t="shared" ca="1" si="13"/>
        <v>IntelMKL010005001</v>
      </c>
      <c r="O59" s="1" t="str">
        <f t="shared" ca="1" si="14"/>
        <v>IntelMKL010005019</v>
      </c>
      <c r="P59" s="1" t="str">
        <f t="shared" ca="1" si="15"/>
        <v>IntelMKL010005020</v>
      </c>
    </row>
    <row r="60" spans="2:16" ht="14" thickBot="1" x14ac:dyDescent="0.2">
      <c r="B60" s="6" t="str">
        <f ca="1">B38</f>
        <v>IntelMKL</v>
      </c>
      <c r="C60" s="44">
        <f ca="1">C38</f>
        <v>10010</v>
      </c>
      <c r="D60" s="43">
        <f t="shared" ca="1" si="7"/>
        <v>5.4871290741595707E-4</v>
      </c>
      <c r="E60" s="36">
        <f t="shared" ca="1" si="8"/>
        <v>8.5653768704641361E-3</v>
      </c>
      <c r="F60" s="8">
        <f t="shared" ca="1" si="9"/>
        <v>7.0370490522536994E-2</v>
      </c>
      <c r="G60" s="50">
        <f t="shared" ca="1" si="10"/>
        <v>27.313179999999999</v>
      </c>
      <c r="H60" s="37">
        <f t="shared" ca="1" si="11"/>
        <v>409.10019999999997</v>
      </c>
      <c r="I60" s="38">
        <f t="shared" ca="1" si="12"/>
        <v>445.77004799999997</v>
      </c>
      <c r="N60" s="1" t="str">
        <f t="shared" ca="1" si="13"/>
        <v>IntelMKL010010001</v>
      </c>
      <c r="O60" s="1" t="str">
        <f t="shared" ca="1" si="14"/>
        <v>IntelMKL010010019</v>
      </c>
      <c r="P60" s="1" t="str">
        <f t="shared" ca="1" si="15"/>
        <v>IntelMKL010010020</v>
      </c>
    </row>
    <row r="104" spans="2:4" x14ac:dyDescent="0.15">
      <c r="B104" s="25" t="s">
        <v>35</v>
      </c>
      <c r="C104" s="25"/>
      <c r="D104" s="25">
        <v>2.8</v>
      </c>
    </row>
    <row r="105" spans="2:4" x14ac:dyDescent="0.15">
      <c r="B105" s="25" t="s">
        <v>32</v>
      </c>
      <c r="C105" s="25"/>
      <c r="D105" s="25">
        <v>8</v>
      </c>
    </row>
    <row r="106" spans="2:4" x14ac:dyDescent="0.15">
      <c r="B106" s="25" t="s">
        <v>30</v>
      </c>
      <c r="C106" s="25"/>
      <c r="D106" s="25">
        <v>10</v>
      </c>
    </row>
    <row r="107" spans="2:4" x14ac:dyDescent="0.15">
      <c r="B107" s="25" t="s">
        <v>31</v>
      </c>
      <c r="C107" s="25"/>
      <c r="D107" s="25">
        <v>2</v>
      </c>
    </row>
    <row r="109" spans="2:4" x14ac:dyDescent="0.15">
      <c r="B109" t="s">
        <v>33</v>
      </c>
      <c r="D109">
        <f>D104*D105</f>
        <v>22.4</v>
      </c>
    </row>
    <row r="110" spans="2:4" x14ac:dyDescent="0.15">
      <c r="B110" s="25" t="s">
        <v>34</v>
      </c>
      <c r="C110" s="25"/>
      <c r="D110" s="25">
        <f>PRODUCT(D104:D107)</f>
        <v>448</v>
      </c>
    </row>
    <row r="113" spans="2:16" x14ac:dyDescent="0.15">
      <c r="B113" t="s">
        <v>36</v>
      </c>
    </row>
    <row r="114" spans="2:16" ht="14" thickBot="1" x14ac:dyDescent="0.2"/>
    <row r="115" spans="2:16" ht="14" thickBot="1" x14ac:dyDescent="0.2">
      <c r="B115" s="60"/>
      <c r="C115" s="60"/>
      <c r="D115" s="65" t="s">
        <v>26</v>
      </c>
      <c r="E115" s="66"/>
      <c r="F115" s="67"/>
      <c r="G115" s="68" t="s">
        <v>7</v>
      </c>
      <c r="H115" s="66"/>
      <c r="I115" s="67"/>
      <c r="J115" s="65" t="s">
        <v>37</v>
      </c>
      <c r="K115" s="66"/>
      <c r="L115" s="67"/>
    </row>
    <row r="116" spans="2:16" ht="14" thickBot="1" x14ac:dyDescent="0.2">
      <c r="B116" s="12" t="s">
        <v>28</v>
      </c>
      <c r="C116" s="14" t="s">
        <v>29</v>
      </c>
      <c r="D116" s="56">
        <f ca="1">D$5</f>
        <v>1</v>
      </c>
      <c r="E116" s="57">
        <f ca="1">D$6</f>
        <v>19</v>
      </c>
      <c r="F116" s="58">
        <f ca="1">D$7</f>
        <v>20</v>
      </c>
      <c r="G116" s="59">
        <f t="shared" ref="G116:L116" ca="1" si="16">D116</f>
        <v>1</v>
      </c>
      <c r="H116" s="57">
        <f t="shared" ca="1" si="16"/>
        <v>19</v>
      </c>
      <c r="I116" s="58">
        <f t="shared" ca="1" si="16"/>
        <v>20</v>
      </c>
      <c r="J116" s="56">
        <f t="shared" ca="1" si="16"/>
        <v>1</v>
      </c>
      <c r="K116" s="57">
        <f t="shared" ca="1" si="16"/>
        <v>19</v>
      </c>
      <c r="L116" s="58">
        <f t="shared" ca="1" si="16"/>
        <v>20</v>
      </c>
    </row>
    <row r="117" spans="2:16" x14ac:dyDescent="0.15">
      <c r="B117" s="11" t="str">
        <f ca="1">B$5</f>
        <v>OpenBLAS</v>
      </c>
      <c r="C117" s="23">
        <f ca="1">C$5</f>
        <v>2500</v>
      </c>
      <c r="D117" s="69">
        <f t="shared" ref="D117:D128" ca="1" si="17">VLOOKUP(N117,datatable,8,FALSE)</f>
        <v>2.6870536023853066E-3</v>
      </c>
      <c r="E117" s="32">
        <f t="shared" ref="E117:E128" ca="1" si="18">VLOOKUP(O117,datatable,8,FALSE)</f>
        <v>9.8277683594998784E-3</v>
      </c>
      <c r="F117" s="24">
        <f t="shared" ref="F117:F128" ca="1" si="19">VLOOKUP(P117,datatable,8,FALSE)</f>
        <v>0.11846545905365397</v>
      </c>
      <c r="G117" s="48">
        <f t="shared" ref="G117:G128" ca="1" si="20">VLOOKUP(N117,datatable,9,FALSE)</f>
        <v>27.087</v>
      </c>
      <c r="H117" s="33">
        <f t="shared" ref="H117:H128" ca="1" si="21">VLOOKUP(O117,datatable,9,FALSE)</f>
        <v>383.90784799999994</v>
      </c>
      <c r="I117" s="34">
        <f t="shared" ref="I117:I128" ca="1" si="22">VLOOKUP(P117,datatable,9,FALSE)</f>
        <v>215.46498600000007</v>
      </c>
      <c r="J117" s="41">
        <f t="shared" ref="J117:J128" ca="1" si="23">G117/(J$116*$D$109)</f>
        <v>1.2092410714285715</v>
      </c>
      <c r="K117" s="32">
        <f t="shared" ref="K117:K128" ca="1" si="24">H117/(K$116*$D$109)</f>
        <v>0.90203911654135338</v>
      </c>
      <c r="L117" s="24">
        <f t="shared" ref="L117:L128" ca="1" si="25">I117/(L$116*$D$109)</f>
        <v>0.48094862946428585</v>
      </c>
      <c r="N117" s="60" t="str">
        <f t="shared" ref="N117:N128" ca="1" si="26">$B117 &amp; TEXT($C117,"000000") &amp; TEXT(G$116,"000")</f>
        <v>OpenBLAS002500001</v>
      </c>
      <c r="O117" s="60" t="str">
        <f t="shared" ref="O117:O128" ca="1" si="27">$B117 &amp; TEXT($C117,"000000") &amp; TEXT(H$116,"000")</f>
        <v>OpenBLAS002500019</v>
      </c>
      <c r="P117" s="60" t="str">
        <f t="shared" ref="P117:P128" ca="1" si="28">$B117 &amp; TEXT($C117,"000000") &amp; TEXT(I$116,"000")</f>
        <v>OpenBLAS002500020</v>
      </c>
    </row>
    <row r="118" spans="2:16" x14ac:dyDescent="0.15">
      <c r="B118" s="4" t="str">
        <f ca="1">B$8</f>
        <v>OpenBLAS</v>
      </c>
      <c r="C118" s="9">
        <f ca="1">C$8</f>
        <v>2505</v>
      </c>
      <c r="D118" s="70">
        <f t="shared" ca="1" si="17"/>
        <v>4.9443336231736034E-3</v>
      </c>
      <c r="E118" s="30">
        <f t="shared" ca="1" si="18"/>
        <v>1.8340547281930911E-2</v>
      </c>
      <c r="F118" s="5">
        <f t="shared" ca="1" si="19"/>
        <v>0.54280018929887708</v>
      </c>
      <c r="G118" s="49">
        <f t="shared" ca="1" si="20"/>
        <v>26.800339999999998</v>
      </c>
      <c r="H118" s="31">
        <f t="shared" ca="1" si="21"/>
        <v>384.37296800000013</v>
      </c>
      <c r="I118" s="35">
        <f t="shared" ca="1" si="22"/>
        <v>239.42032399999999</v>
      </c>
      <c r="J118" s="42">
        <f t="shared" ca="1" si="23"/>
        <v>1.19644375</v>
      </c>
      <c r="K118" s="30">
        <f t="shared" ca="1" si="24"/>
        <v>0.90313197368421094</v>
      </c>
      <c r="L118" s="5">
        <f t="shared" ca="1" si="25"/>
        <v>0.53442036607142851</v>
      </c>
      <c r="N118" s="60" t="str">
        <f t="shared" ca="1" si="26"/>
        <v>OpenBLAS002505001</v>
      </c>
      <c r="O118" s="60" t="str">
        <f t="shared" ca="1" si="27"/>
        <v>OpenBLAS002505019</v>
      </c>
      <c r="P118" s="60" t="str">
        <f t="shared" ca="1" si="28"/>
        <v>OpenBLAS002505020</v>
      </c>
    </row>
    <row r="119" spans="2:16" x14ac:dyDescent="0.15">
      <c r="B119" s="4" t="str">
        <f ca="1">B$11</f>
        <v>OpenBLAS</v>
      </c>
      <c r="C119" s="9">
        <f ca="1">C$11</f>
        <v>2510</v>
      </c>
      <c r="D119" s="70">
        <f t="shared" ca="1" si="17"/>
        <v>5.9019758788811114E-3</v>
      </c>
      <c r="E119" s="30">
        <f t="shared" ca="1" si="18"/>
        <v>9.6634696687845148E-3</v>
      </c>
      <c r="F119" s="5">
        <f t="shared" ca="1" si="19"/>
        <v>0.13569604086845469</v>
      </c>
      <c r="G119" s="49">
        <f t="shared" ca="1" si="20"/>
        <v>27.052019999999999</v>
      </c>
      <c r="H119" s="31">
        <f t="shared" ca="1" si="21"/>
        <v>382.00583799999993</v>
      </c>
      <c r="I119" s="35">
        <f t="shared" ca="1" si="22"/>
        <v>210.50942200000006</v>
      </c>
      <c r="J119" s="42">
        <f t="shared" ca="1" si="23"/>
        <v>1.2076794642857143</v>
      </c>
      <c r="K119" s="30">
        <f t="shared" ca="1" si="24"/>
        <v>0.89757010808270665</v>
      </c>
      <c r="L119" s="5">
        <f t="shared" ca="1" si="25"/>
        <v>0.46988710267857153</v>
      </c>
      <c r="N119" s="60" t="str">
        <f t="shared" ca="1" si="26"/>
        <v>OpenBLAS002510001</v>
      </c>
      <c r="O119" s="60" t="str">
        <f t="shared" ca="1" si="27"/>
        <v>OpenBLAS002510019</v>
      </c>
      <c r="P119" s="60" t="str">
        <f t="shared" ca="1" si="28"/>
        <v>OpenBLAS002510020</v>
      </c>
    </row>
    <row r="120" spans="2:16" x14ac:dyDescent="0.15">
      <c r="B120" s="4" t="str">
        <f ca="1">B$14</f>
        <v>OpenBLAS</v>
      </c>
      <c r="C120" s="9">
        <f ca="1">C$14</f>
        <v>10000</v>
      </c>
      <c r="D120" s="70">
        <f t="shared" ca="1" si="17"/>
        <v>8.538165600232916E-4</v>
      </c>
      <c r="E120" s="30">
        <f t="shared" ca="1" si="18"/>
        <v>3.7466723766519973E-2</v>
      </c>
      <c r="F120" s="5">
        <f t="shared" ca="1" si="19"/>
        <v>1.1220050357975069E-2</v>
      </c>
      <c r="G120" s="49">
        <f t="shared" ca="1" si="20"/>
        <v>27.148379999999996</v>
      </c>
      <c r="H120" s="31">
        <f t="shared" ca="1" si="21"/>
        <v>404.42149599999999</v>
      </c>
      <c r="I120" s="35">
        <f t="shared" ca="1" si="22"/>
        <v>426.61924000000005</v>
      </c>
      <c r="J120" s="42">
        <f t="shared" ca="1" si="23"/>
        <v>1.2119812499999998</v>
      </c>
      <c r="K120" s="30">
        <f t="shared" ca="1" si="24"/>
        <v>0.95023847744360912</v>
      </c>
      <c r="L120" s="5">
        <f t="shared" ca="1" si="25"/>
        <v>0.95227508928571436</v>
      </c>
      <c r="N120" s="60" t="str">
        <f t="shared" ca="1" si="26"/>
        <v>OpenBLAS010000001</v>
      </c>
      <c r="O120" s="60" t="str">
        <f t="shared" ca="1" si="27"/>
        <v>OpenBLAS010000019</v>
      </c>
      <c r="P120" s="60" t="str">
        <f t="shared" ca="1" si="28"/>
        <v>OpenBLAS010000020</v>
      </c>
    </row>
    <row r="121" spans="2:16" x14ac:dyDescent="0.15">
      <c r="B121" s="4" t="str">
        <f ca="1">B$17</f>
        <v>OpenBLAS</v>
      </c>
      <c r="C121" s="9">
        <f ca="1">C$17</f>
        <v>10005</v>
      </c>
      <c r="D121" s="70">
        <f t="shared" ca="1" si="17"/>
        <v>1.4234566807252492E-3</v>
      </c>
      <c r="E121" s="30">
        <f t="shared" ca="1" si="18"/>
        <v>5.7154750024221435E-2</v>
      </c>
      <c r="F121" s="5">
        <f t="shared" ca="1" si="19"/>
        <v>6.4930684386278878E-3</v>
      </c>
      <c r="G121" s="49">
        <f t="shared" ca="1" si="20"/>
        <v>26.974319999999999</v>
      </c>
      <c r="H121" s="31">
        <f t="shared" ca="1" si="21"/>
        <v>399.371216</v>
      </c>
      <c r="I121" s="35">
        <f t="shared" ca="1" si="22"/>
        <v>422.26137399999999</v>
      </c>
      <c r="J121" s="42">
        <f t="shared" ca="1" si="23"/>
        <v>1.2042107142857144</v>
      </c>
      <c r="K121" s="30">
        <f t="shared" ca="1" si="24"/>
        <v>0.93837221804511284</v>
      </c>
      <c r="L121" s="5">
        <f t="shared" ca="1" si="25"/>
        <v>0.94254770982142855</v>
      </c>
      <c r="N121" s="60" t="str">
        <f t="shared" ca="1" si="26"/>
        <v>OpenBLAS010005001</v>
      </c>
      <c r="O121" s="60" t="str">
        <f t="shared" ca="1" si="27"/>
        <v>OpenBLAS010005019</v>
      </c>
      <c r="P121" s="60" t="str">
        <f t="shared" ca="1" si="28"/>
        <v>OpenBLAS010005020</v>
      </c>
    </row>
    <row r="122" spans="2:16" ht="14" thickBot="1" x14ac:dyDescent="0.2">
      <c r="B122" s="6" t="str">
        <f ca="1">B$20</f>
        <v>OpenBLAS</v>
      </c>
      <c r="C122" s="10">
        <f ca="1">C$20</f>
        <v>10010</v>
      </c>
      <c r="D122" s="71">
        <f t="shared" ca="1" si="17"/>
        <v>1.0534123619437398E-3</v>
      </c>
      <c r="E122" s="36">
        <f t="shared" ca="1" si="18"/>
        <v>5.1226912705963225E-2</v>
      </c>
      <c r="F122" s="8">
        <f t="shared" ca="1" si="19"/>
        <v>1.0618765177219014E-2</v>
      </c>
      <c r="G122" s="50">
        <f t="shared" ca="1" si="20"/>
        <v>27.30172</v>
      </c>
      <c r="H122" s="37">
        <f t="shared" ca="1" si="21"/>
        <v>403.37099999999998</v>
      </c>
      <c r="I122" s="38">
        <f t="shared" ca="1" si="22"/>
        <v>424.33027800000013</v>
      </c>
      <c r="J122" s="43">
        <f t="shared" ca="1" si="23"/>
        <v>1.2188267857142858</v>
      </c>
      <c r="K122" s="36">
        <f t="shared" ca="1" si="24"/>
        <v>0.94777020676691737</v>
      </c>
      <c r="L122" s="8">
        <f t="shared" ca="1" si="25"/>
        <v>0.94716579910714316</v>
      </c>
      <c r="N122" s="60" t="str">
        <f t="shared" ca="1" si="26"/>
        <v>OpenBLAS010010001</v>
      </c>
      <c r="O122" s="60" t="str">
        <f t="shared" ca="1" si="27"/>
        <v>OpenBLAS010010019</v>
      </c>
      <c r="P122" s="60" t="str">
        <f t="shared" ca="1" si="28"/>
        <v>OpenBLAS010010020</v>
      </c>
    </row>
    <row r="123" spans="2:16" x14ac:dyDescent="0.15">
      <c r="B123" s="18" t="str">
        <f ca="1">B$23</f>
        <v>IntelMKL</v>
      </c>
      <c r="C123" s="20">
        <f ca="1">C$23</f>
        <v>2500</v>
      </c>
      <c r="D123" s="72">
        <f t="shared" ca="1" si="17"/>
        <v>8.4221381918185203E-3</v>
      </c>
      <c r="E123" s="52">
        <f t="shared" ca="1" si="18"/>
        <v>4.6308087707517863E-3</v>
      </c>
      <c r="F123" s="21">
        <f t="shared" ca="1" si="19"/>
        <v>9.3610737547134948E-2</v>
      </c>
      <c r="G123" s="53">
        <f t="shared" ca="1" si="20"/>
        <v>26.856219999999997</v>
      </c>
      <c r="H123" s="54">
        <f t="shared" ca="1" si="21"/>
        <v>361.78532799999999</v>
      </c>
      <c r="I123" s="55">
        <f t="shared" ca="1" si="22"/>
        <v>412.05482800000004</v>
      </c>
      <c r="J123" s="51">
        <f t="shared" ca="1" si="23"/>
        <v>1.1989383928571429</v>
      </c>
      <c r="K123" s="52">
        <f t="shared" ca="1" si="24"/>
        <v>0.85005951127819557</v>
      </c>
      <c r="L123" s="21">
        <f t="shared" ca="1" si="25"/>
        <v>0.91976524107142865</v>
      </c>
      <c r="N123" s="60" t="str">
        <f t="shared" ca="1" si="26"/>
        <v>IntelMKL002500001</v>
      </c>
      <c r="O123" s="60" t="str">
        <f t="shared" ca="1" si="27"/>
        <v>IntelMKL002500019</v>
      </c>
      <c r="P123" s="60" t="str">
        <f t="shared" ca="1" si="28"/>
        <v>IntelMKL002500020</v>
      </c>
    </row>
    <row r="124" spans="2:16" x14ac:dyDescent="0.15">
      <c r="B124" s="4" t="str">
        <f ca="1">B$26</f>
        <v>IntelMKL</v>
      </c>
      <c r="C124" s="9">
        <f ca="1">C$26</f>
        <v>2505</v>
      </c>
      <c r="D124" s="70">
        <f t="shared" ca="1" si="17"/>
        <v>1.9529591576802161E-2</v>
      </c>
      <c r="E124" s="30">
        <f t="shared" ca="1" si="18"/>
        <v>2.3247704289200495E-3</v>
      </c>
      <c r="F124" s="5">
        <f t="shared" ca="1" si="19"/>
        <v>0.10117518873064039</v>
      </c>
      <c r="G124" s="49">
        <f t="shared" ca="1" si="20"/>
        <v>26.695780000000003</v>
      </c>
      <c r="H124" s="31">
        <f t="shared" ca="1" si="21"/>
        <v>365.44144800000004</v>
      </c>
      <c r="I124" s="35">
        <f t="shared" ca="1" si="22"/>
        <v>407.90464799999995</v>
      </c>
      <c r="J124" s="42">
        <f t="shared" ca="1" si="23"/>
        <v>1.1917758928571431</v>
      </c>
      <c r="K124" s="30">
        <f t="shared" ca="1" si="24"/>
        <v>0.85865001879699265</v>
      </c>
      <c r="L124" s="5">
        <f t="shared" ca="1" si="25"/>
        <v>0.91050144642857134</v>
      </c>
      <c r="N124" s="60" t="str">
        <f t="shared" ca="1" si="26"/>
        <v>IntelMKL002505001</v>
      </c>
      <c r="O124" s="60" t="str">
        <f t="shared" ca="1" si="27"/>
        <v>IntelMKL002505019</v>
      </c>
      <c r="P124" s="60" t="str">
        <f t="shared" ca="1" si="28"/>
        <v>IntelMKL002505020</v>
      </c>
    </row>
    <row r="125" spans="2:16" x14ac:dyDescent="0.15">
      <c r="B125" s="4" t="str">
        <f ca="1">B$29</f>
        <v>IntelMKL</v>
      </c>
      <c r="C125" s="9">
        <f ca="1">C$29</f>
        <v>2510</v>
      </c>
      <c r="D125" s="70">
        <f t="shared" ca="1" si="17"/>
        <v>1.1091203822200144E-3</v>
      </c>
      <c r="E125" s="30">
        <f t="shared" ca="1" si="18"/>
        <v>6.881365262868186E-3</v>
      </c>
      <c r="F125" s="5">
        <f t="shared" ca="1" si="19"/>
        <v>0.11033608116677238</v>
      </c>
      <c r="G125" s="49">
        <f t="shared" ca="1" si="20"/>
        <v>26.98272</v>
      </c>
      <c r="H125" s="31">
        <f t="shared" ca="1" si="21"/>
        <v>362.72093000000001</v>
      </c>
      <c r="I125" s="35">
        <f t="shared" ca="1" si="22"/>
        <v>401.27269400000006</v>
      </c>
      <c r="J125" s="42">
        <f t="shared" ca="1" si="23"/>
        <v>1.2045857142857144</v>
      </c>
      <c r="K125" s="30">
        <f t="shared" ca="1" si="24"/>
        <v>0.85225782424812035</v>
      </c>
      <c r="L125" s="5">
        <f t="shared" ca="1" si="25"/>
        <v>0.89569797767857151</v>
      </c>
      <c r="N125" s="60" t="str">
        <f t="shared" ca="1" si="26"/>
        <v>IntelMKL002510001</v>
      </c>
      <c r="O125" s="60" t="str">
        <f t="shared" ca="1" si="27"/>
        <v>IntelMKL002510019</v>
      </c>
      <c r="P125" s="60" t="str">
        <f t="shared" ca="1" si="28"/>
        <v>IntelMKL002510020</v>
      </c>
    </row>
    <row r="126" spans="2:16" x14ac:dyDescent="0.15">
      <c r="B126" s="4" t="str">
        <f ca="1">B$32</f>
        <v>IntelMKL</v>
      </c>
      <c r="C126" s="9">
        <f ca="1">C$32</f>
        <v>10000</v>
      </c>
      <c r="D126" s="70">
        <f t="shared" ca="1" si="17"/>
        <v>7.4752235146280572E-4</v>
      </c>
      <c r="E126" s="30">
        <f t="shared" ca="1" si="18"/>
        <v>2.1673186014535047E-3</v>
      </c>
      <c r="F126" s="5">
        <f t="shared" ca="1" si="19"/>
        <v>2.9346616945155259E-2</v>
      </c>
      <c r="G126" s="49">
        <f t="shared" ca="1" si="20"/>
        <v>27.232119999999998</v>
      </c>
      <c r="H126" s="31">
        <f t="shared" ca="1" si="21"/>
        <v>401.35503800000004</v>
      </c>
      <c r="I126" s="35">
        <f t="shared" ca="1" si="22"/>
        <v>445.3273299999999</v>
      </c>
      <c r="J126" s="42">
        <f t="shared" ca="1" si="23"/>
        <v>1.2157196428571428</v>
      </c>
      <c r="K126" s="30">
        <f t="shared" ca="1" si="24"/>
        <v>0.94303345394736859</v>
      </c>
      <c r="L126" s="5">
        <f t="shared" ca="1" si="25"/>
        <v>0.99403421874999975</v>
      </c>
      <c r="N126" s="60" t="str">
        <f t="shared" ca="1" si="26"/>
        <v>IntelMKL010000001</v>
      </c>
      <c r="O126" s="60" t="str">
        <f t="shared" ca="1" si="27"/>
        <v>IntelMKL010000019</v>
      </c>
      <c r="P126" s="60" t="str">
        <f t="shared" ca="1" si="28"/>
        <v>IntelMKL010000020</v>
      </c>
    </row>
    <row r="127" spans="2:16" x14ac:dyDescent="0.15">
      <c r="B127" s="4" t="str">
        <f ca="1">B$35</f>
        <v>IntelMKL</v>
      </c>
      <c r="C127" s="9">
        <f ca="1">C$35</f>
        <v>10005</v>
      </c>
      <c r="D127" s="70">
        <f t="shared" ca="1" si="17"/>
        <v>7.6324865693943851E-4</v>
      </c>
      <c r="E127" s="30">
        <f t="shared" ca="1" si="18"/>
        <v>1.2498001311694064E-3</v>
      </c>
      <c r="F127" s="5">
        <f t="shared" ca="1" si="19"/>
        <v>3.0394084054628488E-2</v>
      </c>
      <c r="G127" s="49">
        <f t="shared" ca="1" si="20"/>
        <v>27.106200000000001</v>
      </c>
      <c r="H127" s="31">
        <f t="shared" ca="1" si="21"/>
        <v>397.35709399999985</v>
      </c>
      <c r="I127" s="35">
        <f t="shared" ca="1" si="22"/>
        <v>444.70576599999987</v>
      </c>
      <c r="J127" s="42">
        <f t="shared" ca="1" si="23"/>
        <v>1.2100982142857144</v>
      </c>
      <c r="K127" s="30">
        <f t="shared" ca="1" si="24"/>
        <v>0.93363978853383434</v>
      </c>
      <c r="L127" s="5">
        <f t="shared" ca="1" si="25"/>
        <v>0.9926467991071426</v>
      </c>
      <c r="N127" s="60" t="str">
        <f t="shared" ca="1" si="26"/>
        <v>IntelMKL010005001</v>
      </c>
      <c r="O127" s="60" t="str">
        <f t="shared" ca="1" si="27"/>
        <v>IntelMKL010005019</v>
      </c>
      <c r="P127" s="60" t="str">
        <f t="shared" ca="1" si="28"/>
        <v>IntelMKL010005020</v>
      </c>
    </row>
    <row r="128" spans="2:16" ht="14" thickBot="1" x14ac:dyDescent="0.2">
      <c r="B128" s="6" t="str">
        <f ca="1">B$38</f>
        <v>IntelMKL</v>
      </c>
      <c r="C128" s="10">
        <f ca="1">C$38</f>
        <v>10010</v>
      </c>
      <c r="D128" s="71">
        <f t="shared" ca="1" si="17"/>
        <v>5.4871290741595707E-4</v>
      </c>
      <c r="E128" s="36">
        <f t="shared" ca="1" si="18"/>
        <v>8.5653768704641361E-3</v>
      </c>
      <c r="F128" s="8">
        <f t="shared" ca="1" si="19"/>
        <v>7.0370490522536994E-2</v>
      </c>
      <c r="G128" s="50">
        <f t="shared" ca="1" si="20"/>
        <v>27.313179999999999</v>
      </c>
      <c r="H128" s="37">
        <f t="shared" ca="1" si="21"/>
        <v>409.10019999999997</v>
      </c>
      <c r="I128" s="38">
        <f t="shared" ca="1" si="22"/>
        <v>445.77004799999997</v>
      </c>
      <c r="J128" s="43">
        <f t="shared" ca="1" si="23"/>
        <v>1.2193383928571428</v>
      </c>
      <c r="K128" s="36">
        <f t="shared" ca="1" si="24"/>
        <v>0.96123167293233081</v>
      </c>
      <c r="L128" s="8">
        <f t="shared" ca="1" si="25"/>
        <v>0.99502242857142853</v>
      </c>
      <c r="N128" s="60" t="str">
        <f t="shared" ca="1" si="26"/>
        <v>IntelMKL010010001</v>
      </c>
      <c r="O128" s="60" t="str">
        <f t="shared" ca="1" si="27"/>
        <v>IntelMKL010010019</v>
      </c>
      <c r="P128" s="60" t="str">
        <f t="shared" ca="1" si="28"/>
        <v>IntelMKL010010020</v>
      </c>
    </row>
  </sheetData>
  <mergeCells count="7">
    <mergeCell ref="E3:H3"/>
    <mergeCell ref="I3:K3"/>
    <mergeCell ref="D47:F47"/>
    <mergeCell ref="G47:I47"/>
    <mergeCell ref="D115:F115"/>
    <mergeCell ref="G115:I115"/>
    <mergeCell ref="J115:L11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verwerking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created xsi:type="dcterms:W3CDTF">2016-02-19T11:59:50Z</dcterms:created>
  <dcterms:modified xsi:type="dcterms:W3CDTF">2016-02-19T14:22:52Z</dcterms:modified>
  <dc:language>nl-NL</dc:language>
</cp:coreProperties>
</file>