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7820" yWindow="760" windowWidth="38640" windowHeight="24080" tabRatio="987" activeTab="1"/>
  </bookViews>
  <sheets>
    <sheet name="data" sheetId="1" r:id="rId1"/>
    <sheet name="verwerking" sheetId="2" r:id="rId2"/>
  </sheets>
  <definedNames>
    <definedName name="datatable">verwerking!$A$5:$K$40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7" i="2" l="1"/>
  <c r="D7" i="2"/>
  <c r="F116" i="2"/>
  <c r="I116" i="2"/>
  <c r="P6" i="2"/>
  <c r="D6" i="2"/>
  <c r="E116" i="2"/>
  <c r="H116" i="2"/>
  <c r="P5" i="2"/>
  <c r="D5" i="2"/>
  <c r="D116" i="2"/>
  <c r="G116" i="2"/>
  <c r="N38" i="2"/>
  <c r="B38" i="2"/>
  <c r="B128" i="2"/>
  <c r="O38" i="2"/>
  <c r="C38" i="2"/>
  <c r="C128" i="2"/>
  <c r="P128" i="2"/>
  <c r="N5" i="2"/>
  <c r="O5" i="2"/>
  <c r="A5" i="2"/>
  <c r="N6" i="2"/>
  <c r="O6" i="2"/>
  <c r="A6" i="2"/>
  <c r="N7" i="2"/>
  <c r="O7" i="2"/>
  <c r="A7" i="2"/>
  <c r="B5" i="2"/>
  <c r="C5" i="2"/>
  <c r="E5" i="2"/>
  <c r="F5" i="2"/>
  <c r="G5" i="2"/>
  <c r="H5" i="2"/>
  <c r="I5" i="2"/>
  <c r="J5" i="2"/>
  <c r="K5" i="2"/>
  <c r="B6" i="2"/>
  <c r="C6" i="2"/>
  <c r="E6" i="2"/>
  <c r="F6" i="2"/>
  <c r="G6" i="2"/>
  <c r="H6" i="2"/>
  <c r="I6" i="2"/>
  <c r="J6" i="2"/>
  <c r="K6" i="2"/>
  <c r="B7" i="2"/>
  <c r="C7" i="2"/>
  <c r="E7" i="2"/>
  <c r="F7" i="2"/>
  <c r="G7" i="2"/>
  <c r="H7" i="2"/>
  <c r="I7" i="2"/>
  <c r="J7" i="2"/>
  <c r="K7" i="2"/>
  <c r="N8" i="2"/>
  <c r="O8" i="2"/>
  <c r="P8" i="2"/>
  <c r="A8" i="2"/>
  <c r="B8" i="2"/>
  <c r="C8" i="2"/>
  <c r="D8" i="2"/>
  <c r="E8" i="2"/>
  <c r="F8" i="2"/>
  <c r="G8" i="2"/>
  <c r="H8" i="2"/>
  <c r="I8" i="2"/>
  <c r="J8" i="2"/>
  <c r="K8" i="2"/>
  <c r="N9" i="2"/>
  <c r="O9" i="2"/>
  <c r="P9" i="2"/>
  <c r="A9" i="2"/>
  <c r="B9" i="2"/>
  <c r="C9" i="2"/>
  <c r="D9" i="2"/>
  <c r="E9" i="2"/>
  <c r="F9" i="2"/>
  <c r="G9" i="2"/>
  <c r="H9" i="2"/>
  <c r="I9" i="2"/>
  <c r="J9" i="2"/>
  <c r="K9" i="2"/>
  <c r="N10" i="2"/>
  <c r="O10" i="2"/>
  <c r="P10" i="2"/>
  <c r="A10" i="2"/>
  <c r="B10" i="2"/>
  <c r="C10" i="2"/>
  <c r="D10" i="2"/>
  <c r="E10" i="2"/>
  <c r="F10" i="2"/>
  <c r="G10" i="2"/>
  <c r="H10" i="2"/>
  <c r="I10" i="2"/>
  <c r="J10" i="2"/>
  <c r="K10" i="2"/>
  <c r="N11" i="2"/>
  <c r="O11" i="2"/>
  <c r="P11" i="2"/>
  <c r="A11" i="2"/>
  <c r="B11" i="2"/>
  <c r="C11" i="2"/>
  <c r="D11" i="2"/>
  <c r="E11" i="2"/>
  <c r="F11" i="2"/>
  <c r="G11" i="2"/>
  <c r="H11" i="2"/>
  <c r="I11" i="2"/>
  <c r="J11" i="2"/>
  <c r="K11" i="2"/>
  <c r="N12" i="2"/>
  <c r="O12" i="2"/>
  <c r="P12" i="2"/>
  <c r="A12" i="2"/>
  <c r="B12" i="2"/>
  <c r="C12" i="2"/>
  <c r="D12" i="2"/>
  <c r="E12" i="2"/>
  <c r="F12" i="2"/>
  <c r="G12" i="2"/>
  <c r="H12" i="2"/>
  <c r="I12" i="2"/>
  <c r="J12" i="2"/>
  <c r="K12" i="2"/>
  <c r="N13" i="2"/>
  <c r="O13" i="2"/>
  <c r="P13" i="2"/>
  <c r="A13" i="2"/>
  <c r="B13" i="2"/>
  <c r="C13" i="2"/>
  <c r="D13" i="2"/>
  <c r="E13" i="2"/>
  <c r="F13" i="2"/>
  <c r="G13" i="2"/>
  <c r="H13" i="2"/>
  <c r="I13" i="2"/>
  <c r="J13" i="2"/>
  <c r="K13" i="2"/>
  <c r="N14" i="2"/>
  <c r="O14" i="2"/>
  <c r="P14" i="2"/>
  <c r="A14" i="2"/>
  <c r="B14" i="2"/>
  <c r="C14" i="2"/>
  <c r="D14" i="2"/>
  <c r="E14" i="2"/>
  <c r="F14" i="2"/>
  <c r="G14" i="2"/>
  <c r="H14" i="2"/>
  <c r="I14" i="2"/>
  <c r="J14" i="2"/>
  <c r="K14" i="2"/>
  <c r="N15" i="2"/>
  <c r="O15" i="2"/>
  <c r="P15" i="2"/>
  <c r="A15" i="2"/>
  <c r="B15" i="2"/>
  <c r="C15" i="2"/>
  <c r="D15" i="2"/>
  <c r="E15" i="2"/>
  <c r="F15" i="2"/>
  <c r="G15" i="2"/>
  <c r="H15" i="2"/>
  <c r="I15" i="2"/>
  <c r="J15" i="2"/>
  <c r="K15" i="2"/>
  <c r="N16" i="2"/>
  <c r="O16" i="2"/>
  <c r="P16" i="2"/>
  <c r="A16" i="2"/>
  <c r="B16" i="2"/>
  <c r="C16" i="2"/>
  <c r="D16" i="2"/>
  <c r="E16" i="2"/>
  <c r="F16" i="2"/>
  <c r="G16" i="2"/>
  <c r="H16" i="2"/>
  <c r="I16" i="2"/>
  <c r="J16" i="2"/>
  <c r="K16" i="2"/>
  <c r="N17" i="2"/>
  <c r="O17" i="2"/>
  <c r="P17" i="2"/>
  <c r="A17" i="2"/>
  <c r="B17" i="2"/>
  <c r="C17" i="2"/>
  <c r="D17" i="2"/>
  <c r="E17" i="2"/>
  <c r="F17" i="2"/>
  <c r="G17" i="2"/>
  <c r="H17" i="2"/>
  <c r="I17" i="2"/>
  <c r="J17" i="2"/>
  <c r="K17" i="2"/>
  <c r="N18" i="2"/>
  <c r="O18" i="2"/>
  <c r="P18" i="2"/>
  <c r="A18" i="2"/>
  <c r="B18" i="2"/>
  <c r="C18" i="2"/>
  <c r="D18" i="2"/>
  <c r="E18" i="2"/>
  <c r="F18" i="2"/>
  <c r="G18" i="2"/>
  <c r="H18" i="2"/>
  <c r="I18" i="2"/>
  <c r="J18" i="2"/>
  <c r="K18" i="2"/>
  <c r="N19" i="2"/>
  <c r="O19" i="2"/>
  <c r="P19" i="2"/>
  <c r="A19" i="2"/>
  <c r="B19" i="2"/>
  <c r="C19" i="2"/>
  <c r="D19" i="2"/>
  <c r="E19" i="2"/>
  <c r="F19" i="2"/>
  <c r="G19" i="2"/>
  <c r="H19" i="2"/>
  <c r="I19" i="2"/>
  <c r="J19" i="2"/>
  <c r="K19" i="2"/>
  <c r="N20" i="2"/>
  <c r="O20" i="2"/>
  <c r="P20" i="2"/>
  <c r="A20" i="2"/>
  <c r="B20" i="2"/>
  <c r="C20" i="2"/>
  <c r="D20" i="2"/>
  <c r="E20" i="2"/>
  <c r="F20" i="2"/>
  <c r="G20" i="2"/>
  <c r="H20" i="2"/>
  <c r="I20" i="2"/>
  <c r="J20" i="2"/>
  <c r="K20" i="2"/>
  <c r="N21" i="2"/>
  <c r="O21" i="2"/>
  <c r="P21" i="2"/>
  <c r="A21" i="2"/>
  <c r="B21" i="2"/>
  <c r="C21" i="2"/>
  <c r="D21" i="2"/>
  <c r="E21" i="2"/>
  <c r="F21" i="2"/>
  <c r="G21" i="2"/>
  <c r="H21" i="2"/>
  <c r="I21" i="2"/>
  <c r="J21" i="2"/>
  <c r="K21" i="2"/>
  <c r="N22" i="2"/>
  <c r="O22" i="2"/>
  <c r="P22" i="2"/>
  <c r="A22" i="2"/>
  <c r="B22" i="2"/>
  <c r="C22" i="2"/>
  <c r="D22" i="2"/>
  <c r="E22" i="2"/>
  <c r="F22" i="2"/>
  <c r="G22" i="2"/>
  <c r="H22" i="2"/>
  <c r="I22" i="2"/>
  <c r="J22" i="2"/>
  <c r="K22" i="2"/>
  <c r="N23" i="2"/>
  <c r="O23" i="2"/>
  <c r="P23" i="2"/>
  <c r="A23" i="2"/>
  <c r="B23" i="2"/>
  <c r="C23" i="2"/>
  <c r="D23" i="2"/>
  <c r="E23" i="2"/>
  <c r="F23" i="2"/>
  <c r="G23" i="2"/>
  <c r="H23" i="2"/>
  <c r="I23" i="2"/>
  <c r="J23" i="2"/>
  <c r="K23" i="2"/>
  <c r="N24" i="2"/>
  <c r="O24" i="2"/>
  <c r="P24" i="2"/>
  <c r="A24" i="2"/>
  <c r="B24" i="2"/>
  <c r="C24" i="2"/>
  <c r="D24" i="2"/>
  <c r="E24" i="2"/>
  <c r="F24" i="2"/>
  <c r="G24" i="2"/>
  <c r="H24" i="2"/>
  <c r="I24" i="2"/>
  <c r="J24" i="2"/>
  <c r="K24" i="2"/>
  <c r="N25" i="2"/>
  <c r="O25" i="2"/>
  <c r="P25" i="2"/>
  <c r="A25" i="2"/>
  <c r="B25" i="2"/>
  <c r="C25" i="2"/>
  <c r="D25" i="2"/>
  <c r="E25" i="2"/>
  <c r="F25" i="2"/>
  <c r="G25" i="2"/>
  <c r="H25" i="2"/>
  <c r="I25" i="2"/>
  <c r="J25" i="2"/>
  <c r="K25" i="2"/>
  <c r="N26" i="2"/>
  <c r="O26" i="2"/>
  <c r="P26" i="2"/>
  <c r="A26" i="2"/>
  <c r="B26" i="2"/>
  <c r="C26" i="2"/>
  <c r="D26" i="2"/>
  <c r="E26" i="2"/>
  <c r="F26" i="2"/>
  <c r="G26" i="2"/>
  <c r="H26" i="2"/>
  <c r="I26" i="2"/>
  <c r="J26" i="2"/>
  <c r="K26" i="2"/>
  <c r="N27" i="2"/>
  <c r="O27" i="2"/>
  <c r="P27" i="2"/>
  <c r="A27" i="2"/>
  <c r="B27" i="2"/>
  <c r="C27" i="2"/>
  <c r="D27" i="2"/>
  <c r="E27" i="2"/>
  <c r="F27" i="2"/>
  <c r="G27" i="2"/>
  <c r="H27" i="2"/>
  <c r="I27" i="2"/>
  <c r="J27" i="2"/>
  <c r="K27" i="2"/>
  <c r="N28" i="2"/>
  <c r="O28" i="2"/>
  <c r="P28" i="2"/>
  <c r="A28" i="2"/>
  <c r="B28" i="2"/>
  <c r="C28" i="2"/>
  <c r="D28" i="2"/>
  <c r="E28" i="2"/>
  <c r="F28" i="2"/>
  <c r="G28" i="2"/>
  <c r="H28" i="2"/>
  <c r="I28" i="2"/>
  <c r="J28" i="2"/>
  <c r="K28" i="2"/>
  <c r="N29" i="2"/>
  <c r="O29" i="2"/>
  <c r="P29" i="2"/>
  <c r="A29" i="2"/>
  <c r="B29" i="2"/>
  <c r="C29" i="2"/>
  <c r="D29" i="2"/>
  <c r="E29" i="2"/>
  <c r="F29" i="2"/>
  <c r="G29" i="2"/>
  <c r="H29" i="2"/>
  <c r="I29" i="2"/>
  <c r="J29" i="2"/>
  <c r="K29" i="2"/>
  <c r="N30" i="2"/>
  <c r="O30" i="2"/>
  <c r="P30" i="2"/>
  <c r="A30" i="2"/>
  <c r="B30" i="2"/>
  <c r="C30" i="2"/>
  <c r="D30" i="2"/>
  <c r="E30" i="2"/>
  <c r="F30" i="2"/>
  <c r="G30" i="2"/>
  <c r="H30" i="2"/>
  <c r="I30" i="2"/>
  <c r="J30" i="2"/>
  <c r="K30" i="2"/>
  <c r="N31" i="2"/>
  <c r="O31" i="2"/>
  <c r="P31" i="2"/>
  <c r="A31" i="2"/>
  <c r="B31" i="2"/>
  <c r="C31" i="2"/>
  <c r="D31" i="2"/>
  <c r="E31" i="2"/>
  <c r="F31" i="2"/>
  <c r="G31" i="2"/>
  <c r="H31" i="2"/>
  <c r="I31" i="2"/>
  <c r="J31" i="2"/>
  <c r="K31" i="2"/>
  <c r="N32" i="2"/>
  <c r="O32" i="2"/>
  <c r="P32" i="2"/>
  <c r="A32" i="2"/>
  <c r="B32" i="2"/>
  <c r="C32" i="2"/>
  <c r="D32" i="2"/>
  <c r="E32" i="2"/>
  <c r="F32" i="2"/>
  <c r="G32" i="2"/>
  <c r="H32" i="2"/>
  <c r="I32" i="2"/>
  <c r="J32" i="2"/>
  <c r="K32" i="2"/>
  <c r="N33" i="2"/>
  <c r="O33" i="2"/>
  <c r="P33" i="2"/>
  <c r="A33" i="2"/>
  <c r="B33" i="2"/>
  <c r="C33" i="2"/>
  <c r="D33" i="2"/>
  <c r="E33" i="2"/>
  <c r="F33" i="2"/>
  <c r="G33" i="2"/>
  <c r="H33" i="2"/>
  <c r="I33" i="2"/>
  <c r="J33" i="2"/>
  <c r="K33" i="2"/>
  <c r="N34" i="2"/>
  <c r="O34" i="2"/>
  <c r="P34" i="2"/>
  <c r="A34" i="2"/>
  <c r="B34" i="2"/>
  <c r="C34" i="2"/>
  <c r="D34" i="2"/>
  <c r="E34" i="2"/>
  <c r="F34" i="2"/>
  <c r="G34" i="2"/>
  <c r="H34" i="2"/>
  <c r="I34" i="2"/>
  <c r="J34" i="2"/>
  <c r="K34" i="2"/>
  <c r="N35" i="2"/>
  <c r="O35" i="2"/>
  <c r="P35" i="2"/>
  <c r="A35" i="2"/>
  <c r="B35" i="2"/>
  <c r="C35" i="2"/>
  <c r="D35" i="2"/>
  <c r="E35" i="2"/>
  <c r="F35" i="2"/>
  <c r="G35" i="2"/>
  <c r="H35" i="2"/>
  <c r="I35" i="2"/>
  <c r="J35" i="2"/>
  <c r="K35" i="2"/>
  <c r="N36" i="2"/>
  <c r="O36" i="2"/>
  <c r="P36" i="2"/>
  <c r="A36" i="2"/>
  <c r="B36" i="2"/>
  <c r="C36" i="2"/>
  <c r="D36" i="2"/>
  <c r="E36" i="2"/>
  <c r="F36" i="2"/>
  <c r="G36" i="2"/>
  <c r="H36" i="2"/>
  <c r="I36" i="2"/>
  <c r="J36" i="2"/>
  <c r="K36" i="2"/>
  <c r="N37" i="2"/>
  <c r="O37" i="2"/>
  <c r="P37" i="2"/>
  <c r="A37" i="2"/>
  <c r="B37" i="2"/>
  <c r="C37" i="2"/>
  <c r="D37" i="2"/>
  <c r="E37" i="2"/>
  <c r="F37" i="2"/>
  <c r="G37" i="2"/>
  <c r="H37" i="2"/>
  <c r="I37" i="2"/>
  <c r="J37" i="2"/>
  <c r="K37" i="2"/>
  <c r="P38" i="2"/>
  <c r="A38" i="2"/>
  <c r="D38" i="2"/>
  <c r="E38" i="2"/>
  <c r="F38" i="2"/>
  <c r="G38" i="2"/>
  <c r="H38" i="2"/>
  <c r="I38" i="2"/>
  <c r="J38" i="2"/>
  <c r="K38" i="2"/>
  <c r="N39" i="2"/>
  <c r="O39" i="2"/>
  <c r="P39" i="2"/>
  <c r="A39" i="2"/>
  <c r="B39" i="2"/>
  <c r="C39" i="2"/>
  <c r="D39" i="2"/>
  <c r="E39" i="2"/>
  <c r="F39" i="2"/>
  <c r="G39" i="2"/>
  <c r="H39" i="2"/>
  <c r="I39" i="2"/>
  <c r="J39" i="2"/>
  <c r="K39" i="2"/>
  <c r="N40" i="2"/>
  <c r="O40" i="2"/>
  <c r="P40" i="2"/>
  <c r="A40" i="2"/>
  <c r="B40" i="2"/>
  <c r="C40" i="2"/>
  <c r="D40" i="2"/>
  <c r="E40" i="2"/>
  <c r="F40" i="2"/>
  <c r="G40" i="2"/>
  <c r="H40" i="2"/>
  <c r="I40" i="2"/>
  <c r="J40" i="2"/>
  <c r="K40" i="2"/>
  <c r="F128" i="2"/>
  <c r="O128" i="2"/>
  <c r="E128" i="2"/>
  <c r="N128" i="2"/>
  <c r="D128" i="2"/>
  <c r="B127" i="2"/>
  <c r="C127" i="2"/>
  <c r="P127" i="2"/>
  <c r="F127" i="2"/>
  <c r="O127" i="2"/>
  <c r="E127" i="2"/>
  <c r="N127" i="2"/>
  <c r="D127" i="2"/>
  <c r="B126" i="2"/>
  <c r="C126" i="2"/>
  <c r="P126" i="2"/>
  <c r="F126" i="2"/>
  <c r="O126" i="2"/>
  <c r="E126" i="2"/>
  <c r="N126" i="2"/>
  <c r="D126" i="2"/>
  <c r="B125" i="2"/>
  <c r="C125" i="2"/>
  <c r="P125" i="2"/>
  <c r="F125" i="2"/>
  <c r="O125" i="2"/>
  <c r="E125" i="2"/>
  <c r="N125" i="2"/>
  <c r="D125" i="2"/>
  <c r="B124" i="2"/>
  <c r="C124" i="2"/>
  <c r="P124" i="2"/>
  <c r="F124" i="2"/>
  <c r="O124" i="2"/>
  <c r="E124" i="2"/>
  <c r="N124" i="2"/>
  <c r="D124" i="2"/>
  <c r="B123" i="2"/>
  <c r="C123" i="2"/>
  <c r="P123" i="2"/>
  <c r="F123" i="2"/>
  <c r="O123" i="2"/>
  <c r="E123" i="2"/>
  <c r="N123" i="2"/>
  <c r="D123" i="2"/>
  <c r="B122" i="2"/>
  <c r="C122" i="2"/>
  <c r="P122" i="2"/>
  <c r="F122" i="2"/>
  <c r="O122" i="2"/>
  <c r="E122" i="2"/>
  <c r="N122" i="2"/>
  <c r="D122" i="2"/>
  <c r="B121" i="2"/>
  <c r="C121" i="2"/>
  <c r="P121" i="2"/>
  <c r="F121" i="2"/>
  <c r="O121" i="2"/>
  <c r="E121" i="2"/>
  <c r="N121" i="2"/>
  <c r="D121" i="2"/>
  <c r="B120" i="2"/>
  <c r="C120" i="2"/>
  <c r="P120" i="2"/>
  <c r="F120" i="2"/>
  <c r="O120" i="2"/>
  <c r="E120" i="2"/>
  <c r="N120" i="2"/>
  <c r="D120" i="2"/>
  <c r="B119" i="2"/>
  <c r="C119" i="2"/>
  <c r="P119" i="2"/>
  <c r="F119" i="2"/>
  <c r="O119" i="2"/>
  <c r="E119" i="2"/>
  <c r="N119" i="2"/>
  <c r="D119" i="2"/>
  <c r="B118" i="2"/>
  <c r="C118" i="2"/>
  <c r="P118" i="2"/>
  <c r="F118" i="2"/>
  <c r="O118" i="2"/>
  <c r="E118" i="2"/>
  <c r="N118" i="2"/>
  <c r="D118" i="2"/>
  <c r="B117" i="2"/>
  <c r="C117" i="2"/>
  <c r="P117" i="2"/>
  <c r="F117" i="2"/>
  <c r="O117" i="2"/>
  <c r="E117" i="2"/>
  <c r="N117" i="2"/>
  <c r="D117" i="2"/>
  <c r="I128" i="2"/>
  <c r="L116" i="2"/>
  <c r="L128" i="2"/>
  <c r="H128" i="2"/>
  <c r="K116" i="2"/>
  <c r="K128" i="2"/>
  <c r="G128" i="2"/>
  <c r="J116" i="2"/>
  <c r="J128" i="2"/>
  <c r="I127" i="2"/>
  <c r="L127" i="2"/>
  <c r="H127" i="2"/>
  <c r="K127" i="2"/>
  <c r="G127" i="2"/>
  <c r="J127" i="2"/>
  <c r="I126" i="2"/>
  <c r="L126" i="2"/>
  <c r="H126" i="2"/>
  <c r="K126" i="2"/>
  <c r="G126" i="2"/>
  <c r="J126" i="2"/>
  <c r="I125" i="2"/>
  <c r="L125" i="2"/>
  <c r="H125" i="2"/>
  <c r="K125" i="2"/>
  <c r="G125" i="2"/>
  <c r="J125" i="2"/>
  <c r="I124" i="2"/>
  <c r="L124" i="2"/>
  <c r="H124" i="2"/>
  <c r="K124" i="2"/>
  <c r="G124" i="2"/>
  <c r="J124" i="2"/>
  <c r="I123" i="2"/>
  <c r="L123" i="2"/>
  <c r="H123" i="2"/>
  <c r="K123" i="2"/>
  <c r="G123" i="2"/>
  <c r="J123" i="2"/>
  <c r="I122" i="2"/>
  <c r="L122" i="2"/>
  <c r="H122" i="2"/>
  <c r="K122" i="2"/>
  <c r="G122" i="2"/>
  <c r="J122" i="2"/>
  <c r="I121" i="2"/>
  <c r="L121" i="2"/>
  <c r="H121" i="2"/>
  <c r="K121" i="2"/>
  <c r="G121" i="2"/>
  <c r="J121" i="2"/>
  <c r="I120" i="2"/>
  <c r="L120" i="2"/>
  <c r="H120" i="2"/>
  <c r="K120" i="2"/>
  <c r="G120" i="2"/>
  <c r="J120" i="2"/>
  <c r="I119" i="2"/>
  <c r="L119" i="2"/>
  <c r="H119" i="2"/>
  <c r="K119" i="2"/>
  <c r="G119" i="2"/>
  <c r="J119" i="2"/>
  <c r="I118" i="2"/>
  <c r="L118" i="2"/>
  <c r="H118" i="2"/>
  <c r="K118" i="2"/>
  <c r="G118" i="2"/>
  <c r="J118" i="2"/>
  <c r="I117" i="2"/>
  <c r="L117" i="2"/>
  <c r="H117" i="2"/>
  <c r="K117" i="2"/>
  <c r="G117" i="2"/>
  <c r="J117" i="2"/>
  <c r="F48" i="2"/>
  <c r="E48" i="2"/>
  <c r="D48" i="2"/>
  <c r="D109" i="2"/>
  <c r="D110" i="2"/>
  <c r="B60" i="2"/>
  <c r="C60" i="2"/>
  <c r="P60" i="2"/>
  <c r="O60" i="2"/>
  <c r="N60" i="2"/>
  <c r="B59" i="2"/>
  <c r="C59" i="2"/>
  <c r="P59" i="2"/>
  <c r="O59" i="2"/>
  <c r="N59" i="2"/>
  <c r="B58" i="2"/>
  <c r="C58" i="2"/>
  <c r="P58" i="2"/>
  <c r="O58" i="2"/>
  <c r="N58" i="2"/>
  <c r="B57" i="2"/>
  <c r="C57" i="2"/>
  <c r="P57" i="2"/>
  <c r="O57" i="2"/>
  <c r="N57" i="2"/>
  <c r="B56" i="2"/>
  <c r="C56" i="2"/>
  <c r="P56" i="2"/>
  <c r="O56" i="2"/>
  <c r="N56" i="2"/>
  <c r="B55" i="2"/>
  <c r="C55" i="2"/>
  <c r="P55" i="2"/>
  <c r="O55" i="2"/>
  <c r="N55" i="2"/>
  <c r="B54" i="2"/>
  <c r="C54" i="2"/>
  <c r="P54" i="2"/>
  <c r="O54" i="2"/>
  <c r="N54" i="2"/>
  <c r="B53" i="2"/>
  <c r="C53" i="2"/>
  <c r="P53" i="2"/>
  <c r="O53" i="2"/>
  <c r="N53" i="2"/>
  <c r="B52" i="2"/>
  <c r="C52" i="2"/>
  <c r="P52" i="2"/>
  <c r="O52" i="2"/>
  <c r="N52" i="2"/>
  <c r="B51" i="2"/>
  <c r="C51" i="2"/>
  <c r="P51" i="2"/>
  <c r="O51" i="2"/>
  <c r="N51" i="2"/>
  <c r="B50" i="2"/>
  <c r="C50" i="2"/>
  <c r="P50" i="2"/>
  <c r="O50" i="2"/>
  <c r="N50" i="2"/>
  <c r="B49" i="2"/>
  <c r="C49" i="2"/>
  <c r="P49" i="2"/>
  <c r="O49" i="2"/>
  <c r="N49" i="2"/>
  <c r="D49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1" i="2"/>
  <c r="Q22" i="2"/>
  <c r="I48" i="2"/>
  <c r="H48" i="2"/>
  <c r="G48" i="2"/>
  <c r="D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</calcChain>
</file>

<file path=xl/sharedStrings.xml><?xml version="1.0" encoding="utf-8"?>
<sst xmlns="http://schemas.openxmlformats.org/spreadsheetml/2006/main" count="1355" uniqueCount="40">
  <si>
    <t>hostname:</t>
  </si>
  <si>
    <t>r5c6cn02.hopper.antwerpen.vsc</t>
  </si>
  <si>
    <t>jobid:</t>
  </si>
  <si>
    <t>222465.mn.hopper.antwerpen.vsc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</si>
  <si>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</si>
  <si>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</si>
  <si>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</si>
  <si>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</si>
  <si>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</si>
  <si>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</si>
  <si>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</si>
  <si>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</si>
  <si>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</si>
  <si>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</si>
  <si>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</si>
  <si>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</si>
  <si>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</si>
  <si>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</si>
  <si>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</si>
  <si>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</si>
  <si>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</si>
  <si>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</si>
  <si>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</si>
  <si>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</si>
  <si>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</si>
  <si>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</si>
  <si>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</si>
  <si>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</si>
  <si>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</si>
  <si>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</si>
  <si>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</si>
  <si>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</si>
  <si>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Cores/socket</t>
  </si>
  <si>
    <t>Sockets/node</t>
  </si>
  <si>
    <t>Flops/clock/core</t>
  </si>
  <si>
    <t>Gflops/core</t>
  </si>
  <si>
    <t>Gflops/node</t>
  </si>
  <si>
    <t>Clock (GHz)</t>
  </si>
  <si>
    <t>Efficiëntie berekend op basis van de nominale kloksnelheid</t>
  </si>
  <si>
    <t>Efficientie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</si>
</sst>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10" fontId="0" fillId="0" borderId="10" xfId="0" applyNumberFormat="1" applyBorder="1"/>
    <xf numFmtId="10" fontId="0" fillId="0" borderId="5" xfId="0" applyNumberFormat="1" applyBorder="1"/>
    <xf numFmtId="10" fontId="0" fillId="0" borderId="7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right"/>
    </xf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2" fontId="0" fillId="0" borderId="3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0" xfId="0"/>
    <xf numFmtId="0" fontId="0" fillId="0" borderId="0" xfId="0"/>
    <xf numFmtId="10" fontId="0" fillId="0" borderId="29" xfId="0" applyNumberFormat="1" applyBorder="1"/>
    <xf numFmtId="10" fontId="0" fillId="0" borderId="30" xfId="0" applyNumberFormat="1" applyBorder="1"/>
    <xf numFmtId="10" fontId="0" fillId="0" borderId="31" xfId="0" applyNumberFormat="1" applyBorder="1"/>
    <xf numFmtId="10" fontId="0" fillId="0" borderId="32" xfId="0" applyNumberFormat="1" applyBorder="1"/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verwerking!$D$49:$D$54</c:f>
              <c:numCache>
                <c:formatCode>0.00%</c:formatCode>
                <c:ptCount val="6"/>
                <c:pt idx="0">
                  <c:v>0.00142342000379581</c:v>
                </c:pt>
                <c:pt idx="1">
                  <c:v>0.000702411613205434</c:v>
                </c:pt>
                <c:pt idx="2">
                  <c:v>0.00281540338474055</c:v>
                </c:pt>
                <c:pt idx="3">
                  <c:v>0.000536428459317847</c:v>
                </c:pt>
                <c:pt idx="4">
                  <c:v>0.00015544321424975</c:v>
                </c:pt>
                <c:pt idx="5">
                  <c:v>0.000164148316460018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verwerking!$E$49:$E$54</c:f>
              <c:numCache>
                <c:formatCode>0.00%</c:formatCode>
                <c:ptCount val="6"/>
                <c:pt idx="0">
                  <c:v>0.107199415275917</c:v>
                </c:pt>
                <c:pt idx="1">
                  <c:v>0.0443113772455091</c:v>
                </c:pt>
                <c:pt idx="2">
                  <c:v>0.132002112033792</c:v>
                </c:pt>
                <c:pt idx="3">
                  <c:v>0.0481310498883097</c:v>
                </c:pt>
                <c:pt idx="4">
                  <c:v>0.0824471913872061</c:v>
                </c:pt>
                <c:pt idx="5">
                  <c:v>0.0751147156787742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verwerking!$F$49:$F$54</c:f>
              <c:numCache>
                <c:formatCode>0.00%</c:formatCode>
                <c:ptCount val="6"/>
                <c:pt idx="0">
                  <c:v>0.743567550554725</c:v>
                </c:pt>
                <c:pt idx="1">
                  <c:v>0.069524609088047</c:v>
                </c:pt>
                <c:pt idx="2">
                  <c:v>0.601236551287668</c:v>
                </c:pt>
                <c:pt idx="3">
                  <c:v>0.461442112919349</c:v>
                </c:pt>
                <c:pt idx="4">
                  <c:v>0.00404576702430158</c:v>
                </c:pt>
                <c:pt idx="5">
                  <c:v>0.00253171748008892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3092624"/>
        <c:axId val="-2097216688"/>
      </c:barChart>
      <c:catAx>
        <c:axId val="-20930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97216688"/>
        <c:crosses val="autoZero"/>
        <c:auto val="1"/>
        <c:lblAlgn val="ctr"/>
        <c:lblOffset val="100"/>
        <c:noMultiLvlLbl val="0"/>
      </c:catAx>
      <c:valAx>
        <c:axId val="-20972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9309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verwerking!$D$55:$D$60</c:f>
              <c:numCache>
                <c:formatCode>0.00%</c:formatCode>
                <c:ptCount val="6"/>
                <c:pt idx="0">
                  <c:v>0.000782815631262612</c:v>
                </c:pt>
                <c:pt idx="1">
                  <c:v>0.00116604477611927</c:v>
                </c:pt>
                <c:pt idx="2">
                  <c:v>0.000857205199339251</c:v>
                </c:pt>
                <c:pt idx="3">
                  <c:v>0.000597603572402159</c:v>
                </c:pt>
                <c:pt idx="4">
                  <c:v>0.000164437650435735</c:v>
                </c:pt>
                <c:pt idx="5">
                  <c:v>0.000267253713272677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verwerking!$E$55:$E$60</c:f>
              <c:numCache>
                <c:formatCode>0.00%</c:formatCode>
                <c:ptCount val="6"/>
                <c:pt idx="0">
                  <c:v>0.127460211744712</c:v>
                </c:pt>
                <c:pt idx="1">
                  <c:v>0.0146720238363956</c:v>
                </c:pt>
                <c:pt idx="2">
                  <c:v>0.00801557311347768</c:v>
                </c:pt>
                <c:pt idx="3">
                  <c:v>0.0184776763611295</c:v>
                </c:pt>
                <c:pt idx="4">
                  <c:v>0.0171153027628598</c:v>
                </c:pt>
                <c:pt idx="5">
                  <c:v>0.0193553620376297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verwerking!$F$55:$F$60</c:f>
              <c:numCache>
                <c:formatCode>0.00%</c:formatCode>
                <c:ptCount val="6"/>
                <c:pt idx="0">
                  <c:v>0.17851947845865</c:v>
                </c:pt>
                <c:pt idx="1">
                  <c:v>0.449883388105587</c:v>
                </c:pt>
                <c:pt idx="2">
                  <c:v>0.188017683825398</c:v>
                </c:pt>
                <c:pt idx="3">
                  <c:v>0.00706995287272876</c:v>
                </c:pt>
                <c:pt idx="4">
                  <c:v>0.00867323170194997</c:v>
                </c:pt>
                <c:pt idx="5">
                  <c:v>0.0078396919065871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46975792"/>
        <c:axId val="-2147374768"/>
      </c:barChart>
      <c:catAx>
        <c:axId val="-214697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7374768"/>
        <c:crosses val="autoZero"/>
        <c:auto val="1"/>
        <c:lblAlgn val="ctr"/>
        <c:lblOffset val="100"/>
        <c:noMultiLvlLbl val="0"/>
      </c:catAx>
      <c:valAx>
        <c:axId val="-214737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697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verwerking!$G$49:$G$54</c:f>
              <c:numCache>
                <c:formatCode>0.00</c:formatCode>
                <c:ptCount val="6"/>
                <c:pt idx="0">
                  <c:v>24.7122</c:v>
                </c:pt>
                <c:pt idx="1">
                  <c:v>24.53608</c:v>
                </c:pt>
                <c:pt idx="2">
                  <c:v>24.73364</c:v>
                </c:pt>
                <c:pt idx="3">
                  <c:v>24.83466</c:v>
                </c:pt>
                <c:pt idx="4">
                  <c:v>24.71054</c:v>
                </c:pt>
                <c:pt idx="5">
                  <c:v>24.94566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verwerking!$H$49:$H$54</c:f>
              <c:numCache>
                <c:formatCode>0.00</c:formatCode>
                <c:ptCount val="6"/>
                <c:pt idx="0">
                  <c:v>380.786854</c:v>
                </c:pt>
                <c:pt idx="1">
                  <c:v>376.5500039999999</c:v>
                </c:pt>
                <c:pt idx="2">
                  <c:v>379.61815</c:v>
                </c:pt>
                <c:pt idx="3">
                  <c:v>397.1712519999999</c:v>
                </c:pt>
                <c:pt idx="4">
                  <c:v>389.7771959999999</c:v>
                </c:pt>
                <c:pt idx="5">
                  <c:v>392.387384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verwerking!$I$49:$I$54</c:f>
              <c:numCache>
                <c:formatCode>0.00</c:formatCode>
                <c:ptCount val="6"/>
                <c:pt idx="0">
                  <c:v>332.6670580000001</c:v>
                </c:pt>
                <c:pt idx="1">
                  <c:v>206.266138</c:v>
                </c:pt>
                <c:pt idx="2">
                  <c:v>279.952958</c:v>
                </c:pt>
                <c:pt idx="3">
                  <c:v>388.6548280000001</c:v>
                </c:pt>
                <c:pt idx="4">
                  <c:v>409.276804</c:v>
                </c:pt>
                <c:pt idx="5">
                  <c:v>412.8972599999999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5254080"/>
        <c:axId val="-2135095920"/>
      </c:barChart>
      <c:catAx>
        <c:axId val="-21352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35095920"/>
        <c:crosses val="autoZero"/>
        <c:auto val="1"/>
        <c:lblAlgn val="ctr"/>
        <c:lblOffset val="100"/>
        <c:noMultiLvlLbl val="0"/>
      </c:catAx>
      <c:valAx>
        <c:axId val="-21350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352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verwerking!$G$55:$G$60</c:f>
              <c:numCache>
                <c:formatCode>0.00</c:formatCode>
                <c:ptCount val="6"/>
                <c:pt idx="0">
                  <c:v>24.4631</c:v>
                </c:pt>
                <c:pt idx="1">
                  <c:v>24.4384</c:v>
                </c:pt>
                <c:pt idx="2">
                  <c:v>24.64612</c:v>
                </c:pt>
                <c:pt idx="3">
                  <c:v>24.84838</c:v>
                </c:pt>
                <c:pt idx="4">
                  <c:v>24.7646</c:v>
                </c:pt>
                <c:pt idx="5">
                  <c:v>24.93548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19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verwerking!$H$55:$H$60</c:f>
              <c:numCache>
                <c:formatCode>0.00</c:formatCode>
                <c:ptCount val="6"/>
                <c:pt idx="0">
                  <c:v>358.9489419999999</c:v>
                </c:pt>
                <c:pt idx="1">
                  <c:v>354.818798</c:v>
                </c:pt>
                <c:pt idx="2">
                  <c:v>362.1741559999999</c:v>
                </c:pt>
                <c:pt idx="3">
                  <c:v>394.8360680000001</c:v>
                </c:pt>
                <c:pt idx="4">
                  <c:v>391.805568</c:v>
                </c:pt>
                <c:pt idx="5">
                  <c:v>402.7865760000001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20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verwerking!$I$55:$I$60</c:f>
              <c:numCache>
                <c:formatCode>0.00</c:formatCode>
                <c:ptCount val="6"/>
                <c:pt idx="0">
                  <c:v>413.441972</c:v>
                </c:pt>
                <c:pt idx="1">
                  <c:v>209.88474</c:v>
                </c:pt>
                <c:pt idx="2">
                  <c:v>402.063278</c:v>
                </c:pt>
                <c:pt idx="3">
                  <c:v>431.095636</c:v>
                </c:pt>
                <c:pt idx="4">
                  <c:v>430.0122759999999</c:v>
                </c:pt>
                <c:pt idx="5">
                  <c:v>433.2365760000001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8709072"/>
        <c:axId val="-2098977232"/>
      </c:barChart>
      <c:catAx>
        <c:axId val="-20987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98977232"/>
        <c:crosses val="autoZero"/>
        <c:auto val="1"/>
        <c:lblAlgn val="ctr"/>
        <c:lblOffset val="100"/>
        <c:noMultiLvlLbl val="0"/>
      </c:catAx>
      <c:valAx>
        <c:axId val="-20989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987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64</xdr:row>
      <xdr:rowOff>978</xdr:rowOff>
    </xdr:from>
    <xdr:to>
      <xdr:col>7</xdr:col>
      <xdr:colOff>83039</xdr:colOff>
      <xdr:row>80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117231</xdr:colOff>
      <xdr:row>99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12</xdr:col>
      <xdr:colOff>1250462</xdr:colOff>
      <xdr:row>80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1250462</xdr:colOff>
      <xdr:row>99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topLeftCell="A238" zoomScale="130" zoomScaleNormal="130" zoomScalePageLayoutView="130" workbookViewId="0">
      <selection activeCell="A4" sqref="A4:XFD4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t="s">
        <v>0</v>
      </c>
      <c r="C1" s="66" t="s">
        <v>1</v>
      </c>
      <c r="D1" s="66"/>
      <c r="E1" s="66"/>
      <c r="F1" s="66"/>
      <c r="G1" s="66"/>
      <c r="H1" s="66"/>
    </row>
    <row r="2" spans="1:8" x14ac:dyDescent="0.15">
      <c r="A2" t="s">
        <v>2</v>
      </c>
      <c r="C2" s="66" t="s">
        <v>3</v>
      </c>
      <c r="D2" s="66"/>
      <c r="E2" s="66"/>
      <c r="F2" s="66"/>
      <c r="G2" s="66"/>
      <c r="H2" s="66"/>
    </row>
    <row r="4" spans="1:8" x14ac:dyDescent="0.15">
      <c r="A4" s="66" t="s">
        <v>4</v>
      </c>
      <c r="B4" s="66"/>
      <c r="C4" s="66"/>
      <c r="D4" s="66"/>
      <c r="E4" s="66"/>
      <c r="F4" s="66"/>
      <c r="G4" s="66"/>
      <c r="H4" s="66"/>
    </row>
    <row r="6" spans="1:8" x14ac:dyDescent="0.15">
      <c r="A6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</row>
    <row r="7" spans="1:8" x14ac:dyDescent="0.15">
      <c r="A7" t="s">
        <v>13</v>
      </c>
      <c r="B7">
        <v>2500</v>
      </c>
      <c r="C7">
        <v>1</v>
      </c>
      <c r="D7">
        <v>1.2779</v>
      </c>
      <c r="E7">
        <v>24.4541</v>
      </c>
      <c r="F7">
        <v>1</v>
      </c>
      <c r="G7">
        <v>100</v>
      </c>
      <c r="H7">
        <v>1.2787999999999999</v>
      </c>
    </row>
    <row r="8" spans="1:8" x14ac:dyDescent="0.15">
      <c r="A8" t="s">
        <v>13</v>
      </c>
      <c r="B8">
        <v>2500</v>
      </c>
      <c r="C8">
        <v>1</v>
      </c>
      <c r="D8">
        <v>1.2641</v>
      </c>
      <c r="E8">
        <v>24.721699999999998</v>
      </c>
      <c r="F8">
        <v>1.0109999999999999</v>
      </c>
      <c r="G8">
        <v>101.09439999999999</v>
      </c>
      <c r="H8">
        <v>1.2647999999999999</v>
      </c>
    </row>
    <row r="9" spans="1:8" x14ac:dyDescent="0.15">
      <c r="A9" t="s">
        <v>13</v>
      </c>
      <c r="B9">
        <v>2500</v>
      </c>
      <c r="C9">
        <v>1</v>
      </c>
      <c r="D9">
        <v>1.264</v>
      </c>
      <c r="E9">
        <v>24.722999999999999</v>
      </c>
      <c r="F9">
        <v>1.0109999999999999</v>
      </c>
      <c r="G9">
        <v>101.09950000000001</v>
      </c>
      <c r="H9">
        <v>1.2658</v>
      </c>
    </row>
    <row r="10" spans="1:8" x14ac:dyDescent="0.15">
      <c r="A10" t="s">
        <v>13</v>
      </c>
      <c r="B10">
        <v>2500</v>
      </c>
      <c r="C10">
        <v>1</v>
      </c>
      <c r="D10">
        <v>1.264</v>
      </c>
      <c r="E10">
        <v>24.7225</v>
      </c>
      <c r="F10">
        <v>1.0109999999999999</v>
      </c>
      <c r="G10">
        <v>101.0977</v>
      </c>
      <c r="H10">
        <v>1.2647999999999999</v>
      </c>
    </row>
    <row r="11" spans="1:8" x14ac:dyDescent="0.15">
      <c r="A11" t="s">
        <v>13</v>
      </c>
      <c r="B11">
        <v>2500</v>
      </c>
      <c r="C11">
        <v>1</v>
      </c>
      <c r="D11">
        <v>1.2658</v>
      </c>
      <c r="E11">
        <v>24.688800000000001</v>
      </c>
      <c r="F11">
        <v>1.01</v>
      </c>
      <c r="G11">
        <v>100.9599</v>
      </c>
      <c r="H11">
        <v>1.2667999999999999</v>
      </c>
    </row>
    <row r="12" spans="1:8" x14ac:dyDescent="0.15">
      <c r="A12" t="s">
        <v>13</v>
      </c>
      <c r="B12">
        <v>2500</v>
      </c>
      <c r="C12">
        <v>1</v>
      </c>
      <c r="D12">
        <v>1.2648999999999999</v>
      </c>
      <c r="E12">
        <v>24.704999999999998</v>
      </c>
      <c r="F12">
        <v>1.01</v>
      </c>
      <c r="G12">
        <v>101.0262</v>
      </c>
      <c r="H12">
        <v>1.2667999999999999</v>
      </c>
    </row>
    <row r="13" spans="1:8" x14ac:dyDescent="0.15">
      <c r="A13" t="s">
        <v>13</v>
      </c>
      <c r="B13">
        <v>2500</v>
      </c>
      <c r="C13">
        <v>19</v>
      </c>
      <c r="D13">
        <v>8.4199999999999997E-2</v>
      </c>
      <c r="E13">
        <v>370.9323</v>
      </c>
      <c r="F13">
        <v>15.169</v>
      </c>
      <c r="G13">
        <v>79.834199999999996</v>
      </c>
      <c r="H13">
        <v>1.5998000000000001</v>
      </c>
    </row>
    <row r="14" spans="1:8" x14ac:dyDescent="0.15">
      <c r="A14" t="s">
        <v>13</v>
      </c>
      <c r="B14">
        <v>2500</v>
      </c>
      <c r="C14">
        <v>19</v>
      </c>
      <c r="D14">
        <v>8.1799999999999998E-2</v>
      </c>
      <c r="E14">
        <v>382.06439999999998</v>
      </c>
      <c r="F14">
        <v>15.624000000000001</v>
      </c>
      <c r="G14">
        <v>82.230199999999996</v>
      </c>
      <c r="H14">
        <v>1.5558000000000001</v>
      </c>
    </row>
    <row r="15" spans="1:8" x14ac:dyDescent="0.15">
      <c r="A15" t="s">
        <v>13</v>
      </c>
      <c r="B15">
        <v>2500</v>
      </c>
      <c r="C15">
        <v>19</v>
      </c>
      <c r="D15">
        <v>8.2000000000000003E-2</v>
      </c>
      <c r="E15">
        <v>381.19929999999999</v>
      </c>
      <c r="F15">
        <v>15.587999999999999</v>
      </c>
      <c r="G15">
        <v>82.043999999999997</v>
      </c>
      <c r="H15">
        <v>1.5588</v>
      </c>
    </row>
    <row r="16" spans="1:8" x14ac:dyDescent="0.15">
      <c r="A16" t="s">
        <v>13</v>
      </c>
      <c r="B16">
        <v>2500</v>
      </c>
      <c r="C16">
        <v>19</v>
      </c>
      <c r="D16">
        <v>8.2000000000000003E-2</v>
      </c>
      <c r="E16">
        <v>381.19990000000001</v>
      </c>
      <c r="F16">
        <v>15.587999999999999</v>
      </c>
      <c r="G16">
        <v>82.0441</v>
      </c>
      <c r="H16">
        <v>1.5598000000000001</v>
      </c>
    </row>
    <row r="17" spans="1:8" x14ac:dyDescent="0.15">
      <c r="A17" t="s">
        <v>13</v>
      </c>
      <c r="B17">
        <v>2500</v>
      </c>
      <c r="C17">
        <v>19</v>
      </c>
      <c r="D17">
        <v>8.1699999999999995E-2</v>
      </c>
      <c r="E17">
        <v>382.59350000000001</v>
      </c>
      <c r="F17">
        <v>15.645</v>
      </c>
      <c r="G17">
        <v>82.343999999999994</v>
      </c>
      <c r="H17">
        <v>1.5528</v>
      </c>
    </row>
    <row r="18" spans="1:8" x14ac:dyDescent="0.15">
      <c r="A18" t="s">
        <v>13</v>
      </c>
      <c r="B18">
        <v>2500</v>
      </c>
      <c r="C18">
        <v>19</v>
      </c>
      <c r="D18">
        <v>8.2000000000000003E-2</v>
      </c>
      <c r="E18">
        <v>380.92520000000002</v>
      </c>
      <c r="F18">
        <v>15.577</v>
      </c>
      <c r="G18">
        <v>81.984999999999999</v>
      </c>
      <c r="H18">
        <v>1.5598000000000001</v>
      </c>
    </row>
    <row r="19" spans="1:8" x14ac:dyDescent="0.15">
      <c r="A19" t="s">
        <v>13</v>
      </c>
      <c r="B19">
        <v>2500</v>
      </c>
      <c r="C19">
        <v>19</v>
      </c>
      <c r="D19">
        <v>8.2000000000000003E-2</v>
      </c>
      <c r="E19">
        <v>381.10019999999997</v>
      </c>
      <c r="F19">
        <v>15.584</v>
      </c>
      <c r="G19">
        <v>82.022599999999997</v>
      </c>
      <c r="H19">
        <v>1.5598000000000001</v>
      </c>
    </row>
    <row r="20" spans="1:8" x14ac:dyDescent="0.15">
      <c r="A20" t="s">
        <v>13</v>
      </c>
      <c r="B20">
        <v>2500</v>
      </c>
      <c r="C20">
        <v>19</v>
      </c>
      <c r="D20">
        <v>8.1699999999999995E-2</v>
      </c>
      <c r="E20">
        <v>382.6506</v>
      </c>
      <c r="F20">
        <v>15.648</v>
      </c>
      <c r="G20">
        <v>82.356300000000005</v>
      </c>
      <c r="H20">
        <v>1.5528</v>
      </c>
    </row>
    <row r="21" spans="1:8" x14ac:dyDescent="0.15">
      <c r="A21" t="s">
        <v>13</v>
      </c>
      <c r="B21">
        <v>2500</v>
      </c>
      <c r="C21">
        <v>19</v>
      </c>
      <c r="D21">
        <v>8.2000000000000003E-2</v>
      </c>
      <c r="E21">
        <v>381.0421</v>
      </c>
      <c r="F21">
        <v>15.582000000000001</v>
      </c>
      <c r="G21">
        <v>82.010099999999994</v>
      </c>
      <c r="H21">
        <v>1.5598000000000001</v>
      </c>
    </row>
    <row r="22" spans="1:8" x14ac:dyDescent="0.15">
      <c r="A22" t="s">
        <v>13</v>
      </c>
      <c r="B22">
        <v>2500</v>
      </c>
      <c r="C22">
        <v>19</v>
      </c>
      <c r="D22">
        <v>8.2000000000000003E-2</v>
      </c>
      <c r="E22">
        <v>381.29739999999998</v>
      </c>
      <c r="F22">
        <v>15.592000000000001</v>
      </c>
      <c r="G22">
        <v>82.065100000000001</v>
      </c>
      <c r="H22">
        <v>1.5588</v>
      </c>
    </row>
    <row r="23" spans="1:8" x14ac:dyDescent="0.15">
      <c r="A23" t="s">
        <v>13</v>
      </c>
      <c r="B23">
        <v>2500</v>
      </c>
      <c r="C23">
        <v>19</v>
      </c>
      <c r="D23">
        <v>8.1699999999999995E-2</v>
      </c>
      <c r="E23">
        <v>382.39069999999998</v>
      </c>
      <c r="F23">
        <v>15.637</v>
      </c>
      <c r="G23">
        <v>82.300399999999996</v>
      </c>
      <c r="H23">
        <v>1.5538000000000001</v>
      </c>
    </row>
    <row r="24" spans="1:8" x14ac:dyDescent="0.15">
      <c r="A24" t="s">
        <v>13</v>
      </c>
      <c r="B24">
        <v>2500</v>
      </c>
      <c r="C24">
        <v>19</v>
      </c>
      <c r="D24">
        <v>8.2000000000000003E-2</v>
      </c>
      <c r="E24">
        <v>381.26</v>
      </c>
      <c r="F24">
        <v>15.590999999999999</v>
      </c>
      <c r="G24">
        <v>82.057000000000002</v>
      </c>
      <c r="H24">
        <v>1.5588</v>
      </c>
    </row>
    <row r="25" spans="1:8" x14ac:dyDescent="0.15">
      <c r="A25" t="s">
        <v>13</v>
      </c>
      <c r="B25">
        <v>2500</v>
      </c>
      <c r="C25">
        <v>19</v>
      </c>
      <c r="D25">
        <v>8.2000000000000003E-2</v>
      </c>
      <c r="E25">
        <v>381.07549999999998</v>
      </c>
      <c r="F25">
        <v>15.583</v>
      </c>
      <c r="G25">
        <v>82.017300000000006</v>
      </c>
      <c r="H25">
        <v>1.5598000000000001</v>
      </c>
    </row>
    <row r="26" spans="1:8" x14ac:dyDescent="0.15">
      <c r="A26" t="s">
        <v>13</v>
      </c>
      <c r="B26">
        <v>2500</v>
      </c>
      <c r="C26">
        <v>19</v>
      </c>
      <c r="D26">
        <v>8.1699999999999995E-2</v>
      </c>
      <c r="E26">
        <v>382.37169999999998</v>
      </c>
      <c r="F26">
        <v>15.635999999999999</v>
      </c>
      <c r="G26">
        <v>82.296300000000002</v>
      </c>
      <c r="H26">
        <v>1.5548</v>
      </c>
    </row>
    <row r="27" spans="1:8" x14ac:dyDescent="0.15">
      <c r="A27" t="s">
        <v>13</v>
      </c>
      <c r="B27">
        <v>2500</v>
      </c>
      <c r="C27">
        <v>19</v>
      </c>
      <c r="D27">
        <v>8.2000000000000003E-2</v>
      </c>
      <c r="E27">
        <v>381.19459999999998</v>
      </c>
      <c r="F27">
        <v>15.587999999999999</v>
      </c>
      <c r="G27">
        <v>82.043000000000006</v>
      </c>
      <c r="H27">
        <v>1.5588</v>
      </c>
    </row>
    <row r="28" spans="1:8" x14ac:dyDescent="0.15">
      <c r="A28" t="s">
        <v>13</v>
      </c>
      <c r="B28">
        <v>2500</v>
      </c>
      <c r="C28">
        <v>19</v>
      </c>
      <c r="D28">
        <v>8.1900000000000001E-2</v>
      </c>
      <c r="E28">
        <v>381.39760000000001</v>
      </c>
      <c r="F28">
        <v>15.596</v>
      </c>
      <c r="G28">
        <v>82.086699999999993</v>
      </c>
      <c r="H28">
        <v>1.5588</v>
      </c>
    </row>
    <row r="29" spans="1:8" x14ac:dyDescent="0.15">
      <c r="A29" t="s">
        <v>13</v>
      </c>
      <c r="B29">
        <v>2500</v>
      </c>
      <c r="C29">
        <v>19</v>
      </c>
      <c r="D29">
        <v>8.1699999999999995E-2</v>
      </c>
      <c r="E29">
        <v>382.57049999999998</v>
      </c>
      <c r="F29">
        <v>15.644</v>
      </c>
      <c r="G29">
        <v>82.339100000000002</v>
      </c>
      <c r="H29">
        <v>1.5528</v>
      </c>
    </row>
    <row r="30" spans="1:8" x14ac:dyDescent="0.15">
      <c r="A30" t="s">
        <v>13</v>
      </c>
      <c r="B30">
        <v>2500</v>
      </c>
      <c r="C30">
        <v>19</v>
      </c>
      <c r="D30">
        <v>8.2000000000000003E-2</v>
      </c>
      <c r="E30">
        <v>381.25360000000001</v>
      </c>
      <c r="F30">
        <v>15.590999999999999</v>
      </c>
      <c r="G30">
        <v>82.055599999999998</v>
      </c>
      <c r="H30">
        <v>1.5588</v>
      </c>
    </row>
    <row r="31" spans="1:8" x14ac:dyDescent="0.15">
      <c r="A31" t="s">
        <v>13</v>
      </c>
      <c r="B31">
        <v>2500</v>
      </c>
      <c r="C31">
        <v>19</v>
      </c>
      <c r="D31">
        <v>9.0399999999999994E-2</v>
      </c>
      <c r="E31">
        <v>345.8458</v>
      </c>
      <c r="F31">
        <v>14.143000000000001</v>
      </c>
      <c r="G31">
        <v>74.435000000000002</v>
      </c>
      <c r="H31">
        <v>1.7087000000000001</v>
      </c>
    </row>
    <row r="32" spans="1:8" x14ac:dyDescent="0.15">
      <c r="A32" t="s">
        <v>13</v>
      </c>
      <c r="B32">
        <v>2500</v>
      </c>
      <c r="C32">
        <v>19</v>
      </c>
      <c r="D32">
        <v>8.3099999999999993E-2</v>
      </c>
      <c r="E32">
        <v>375.97989999999999</v>
      </c>
      <c r="F32">
        <v>15.375</v>
      </c>
      <c r="G32">
        <v>80.920599999999993</v>
      </c>
      <c r="H32">
        <v>1.5778000000000001</v>
      </c>
    </row>
    <row r="33" spans="1:8" x14ac:dyDescent="0.15">
      <c r="A33" t="s">
        <v>13</v>
      </c>
      <c r="B33">
        <v>2500</v>
      </c>
      <c r="C33">
        <v>19</v>
      </c>
      <c r="D33">
        <v>8.2000000000000003E-2</v>
      </c>
      <c r="E33">
        <v>381.20030000000003</v>
      </c>
      <c r="F33">
        <v>15.587999999999999</v>
      </c>
      <c r="G33">
        <v>82.044200000000004</v>
      </c>
      <c r="H33">
        <v>1.5588</v>
      </c>
    </row>
    <row r="34" spans="1:8" x14ac:dyDescent="0.15">
      <c r="A34" t="s">
        <v>13</v>
      </c>
      <c r="B34">
        <v>2500</v>
      </c>
      <c r="C34">
        <v>19</v>
      </c>
      <c r="D34">
        <v>8.1900000000000001E-2</v>
      </c>
      <c r="E34">
        <v>381.42259999999999</v>
      </c>
      <c r="F34">
        <v>15.597</v>
      </c>
      <c r="G34">
        <v>82.091999999999999</v>
      </c>
      <c r="H34">
        <v>1.5588</v>
      </c>
    </row>
    <row r="35" spans="1:8" x14ac:dyDescent="0.15">
      <c r="A35" t="s">
        <v>13</v>
      </c>
      <c r="B35">
        <v>2500</v>
      </c>
      <c r="C35">
        <v>19</v>
      </c>
      <c r="D35">
        <v>8.1699999999999995E-2</v>
      </c>
      <c r="E35">
        <v>382.46120000000002</v>
      </c>
      <c r="F35">
        <v>15.64</v>
      </c>
      <c r="G35">
        <v>82.315600000000003</v>
      </c>
      <c r="H35">
        <v>1.5538000000000001</v>
      </c>
    </row>
    <row r="36" spans="1:8" x14ac:dyDescent="0.15">
      <c r="A36" t="s">
        <v>13</v>
      </c>
      <c r="B36">
        <v>2500</v>
      </c>
      <c r="C36">
        <v>19</v>
      </c>
      <c r="D36">
        <v>8.2100000000000006E-2</v>
      </c>
      <c r="E36">
        <v>380.78489999999999</v>
      </c>
      <c r="F36">
        <v>15.571</v>
      </c>
      <c r="G36">
        <v>81.954800000000006</v>
      </c>
      <c r="H36">
        <v>1.5598000000000001</v>
      </c>
    </row>
    <row r="37" spans="1:8" x14ac:dyDescent="0.15">
      <c r="A37" t="s">
        <v>13</v>
      </c>
      <c r="B37">
        <v>2500</v>
      </c>
      <c r="C37">
        <v>19</v>
      </c>
      <c r="D37">
        <v>8.1699999999999995E-2</v>
      </c>
      <c r="E37">
        <v>382.69290000000001</v>
      </c>
      <c r="F37">
        <v>15.648999999999999</v>
      </c>
      <c r="G37">
        <v>82.365399999999994</v>
      </c>
      <c r="H37">
        <v>1.5528</v>
      </c>
    </row>
    <row r="38" spans="1:8" x14ac:dyDescent="0.15">
      <c r="A38" t="s">
        <v>13</v>
      </c>
      <c r="B38">
        <v>2500</v>
      </c>
      <c r="C38">
        <v>19</v>
      </c>
      <c r="D38">
        <v>8.2000000000000003E-2</v>
      </c>
      <c r="E38">
        <v>381.06580000000002</v>
      </c>
      <c r="F38">
        <v>15.583</v>
      </c>
      <c r="G38">
        <v>82.015199999999993</v>
      </c>
      <c r="H38">
        <v>1.5598000000000001</v>
      </c>
    </row>
    <row r="39" spans="1:8" x14ac:dyDescent="0.15">
      <c r="A39" t="s">
        <v>13</v>
      </c>
      <c r="B39">
        <v>2500</v>
      </c>
      <c r="C39">
        <v>19</v>
      </c>
      <c r="D39">
        <v>8.2000000000000003E-2</v>
      </c>
      <c r="E39">
        <v>381.08530000000002</v>
      </c>
      <c r="F39">
        <v>15.584</v>
      </c>
      <c r="G39">
        <v>82.019400000000005</v>
      </c>
      <c r="H39">
        <v>1.5598000000000001</v>
      </c>
    </row>
    <row r="40" spans="1:8" x14ac:dyDescent="0.15">
      <c r="A40" t="s">
        <v>13</v>
      </c>
      <c r="B40">
        <v>2500</v>
      </c>
      <c r="C40">
        <v>19</v>
      </c>
      <c r="D40">
        <v>8.1699999999999995E-2</v>
      </c>
      <c r="E40">
        <v>382.3852</v>
      </c>
      <c r="F40">
        <v>15.637</v>
      </c>
      <c r="G40">
        <v>82.299199999999999</v>
      </c>
      <c r="H40">
        <v>1.5538000000000001</v>
      </c>
    </row>
    <row r="41" spans="1:8" x14ac:dyDescent="0.15">
      <c r="A41" t="s">
        <v>13</v>
      </c>
      <c r="B41">
        <v>2500</v>
      </c>
      <c r="C41">
        <v>19</v>
      </c>
      <c r="D41">
        <v>8.2000000000000003E-2</v>
      </c>
      <c r="E41">
        <v>381.17079999999999</v>
      </c>
      <c r="F41">
        <v>15.587</v>
      </c>
      <c r="G41">
        <v>82.037800000000004</v>
      </c>
      <c r="H41">
        <v>1.5598000000000001</v>
      </c>
    </row>
    <row r="42" spans="1:8" x14ac:dyDescent="0.15">
      <c r="A42" t="s">
        <v>13</v>
      </c>
      <c r="B42">
        <v>2500</v>
      </c>
      <c r="C42">
        <v>19</v>
      </c>
      <c r="D42">
        <v>8.2000000000000003E-2</v>
      </c>
      <c r="E42">
        <v>381.08339999999998</v>
      </c>
      <c r="F42">
        <v>15.584</v>
      </c>
      <c r="G42">
        <v>82.019000000000005</v>
      </c>
      <c r="H42">
        <v>1.5588</v>
      </c>
    </row>
    <row r="43" spans="1:8" x14ac:dyDescent="0.15">
      <c r="A43" t="s">
        <v>13</v>
      </c>
      <c r="B43">
        <v>2500</v>
      </c>
      <c r="C43">
        <v>19</v>
      </c>
      <c r="D43">
        <v>8.1799999999999998E-2</v>
      </c>
      <c r="E43">
        <v>382.13130000000001</v>
      </c>
      <c r="F43">
        <v>15.625999999999999</v>
      </c>
      <c r="G43">
        <v>82.244600000000005</v>
      </c>
      <c r="H43">
        <v>1.5548</v>
      </c>
    </row>
    <row r="44" spans="1:8" x14ac:dyDescent="0.15">
      <c r="A44" t="s">
        <v>13</v>
      </c>
      <c r="B44">
        <v>2500</v>
      </c>
      <c r="C44">
        <v>19</v>
      </c>
      <c r="D44">
        <v>8.2000000000000003E-2</v>
      </c>
      <c r="E44">
        <v>381.22320000000002</v>
      </c>
      <c r="F44">
        <v>15.589</v>
      </c>
      <c r="G44">
        <v>82.049099999999996</v>
      </c>
      <c r="H44">
        <v>1.5588</v>
      </c>
    </row>
    <row r="45" spans="1:8" x14ac:dyDescent="0.15">
      <c r="A45" t="s">
        <v>13</v>
      </c>
      <c r="B45">
        <v>2500</v>
      </c>
      <c r="C45">
        <v>19</v>
      </c>
      <c r="D45">
        <v>8.2000000000000003E-2</v>
      </c>
      <c r="E45">
        <v>380.98689999999999</v>
      </c>
      <c r="F45">
        <v>15.58</v>
      </c>
      <c r="G45">
        <v>81.9983</v>
      </c>
      <c r="H45">
        <v>1.5598000000000001</v>
      </c>
    </row>
    <row r="46" spans="1:8" x14ac:dyDescent="0.15">
      <c r="A46" t="s">
        <v>13</v>
      </c>
      <c r="B46">
        <v>2500</v>
      </c>
      <c r="C46">
        <v>19</v>
      </c>
      <c r="D46">
        <v>8.1699999999999995E-2</v>
      </c>
      <c r="E46">
        <v>382.44040000000001</v>
      </c>
      <c r="F46">
        <v>15.638999999999999</v>
      </c>
      <c r="G46">
        <v>82.311099999999996</v>
      </c>
      <c r="H46">
        <v>1.5548</v>
      </c>
    </row>
    <row r="47" spans="1:8" x14ac:dyDescent="0.15">
      <c r="A47" t="s">
        <v>13</v>
      </c>
      <c r="B47">
        <v>2500</v>
      </c>
      <c r="C47">
        <v>19</v>
      </c>
      <c r="D47">
        <v>8.2000000000000003E-2</v>
      </c>
      <c r="E47">
        <v>380.94630000000001</v>
      </c>
      <c r="F47">
        <v>15.577999999999999</v>
      </c>
      <c r="G47">
        <v>81.989500000000007</v>
      </c>
      <c r="H47">
        <v>1.5598000000000001</v>
      </c>
    </row>
    <row r="48" spans="1:8" x14ac:dyDescent="0.15">
      <c r="A48" t="s">
        <v>13</v>
      </c>
      <c r="B48">
        <v>2500</v>
      </c>
      <c r="C48">
        <v>19</v>
      </c>
      <c r="D48">
        <v>8.2000000000000003E-2</v>
      </c>
      <c r="E48">
        <v>381.14749999999998</v>
      </c>
      <c r="F48">
        <v>15.586</v>
      </c>
      <c r="G48">
        <v>82.032799999999995</v>
      </c>
      <c r="H48">
        <v>1.5588</v>
      </c>
    </row>
    <row r="49" spans="1:8" x14ac:dyDescent="0.15">
      <c r="A49" t="s">
        <v>13</v>
      </c>
      <c r="B49">
        <v>2500</v>
      </c>
      <c r="C49">
        <v>19</v>
      </c>
      <c r="D49">
        <v>8.1699999999999995E-2</v>
      </c>
      <c r="E49">
        <v>382.55770000000001</v>
      </c>
      <c r="F49">
        <v>15.644</v>
      </c>
      <c r="G49">
        <v>82.336299999999994</v>
      </c>
      <c r="H49">
        <v>1.5528</v>
      </c>
    </row>
    <row r="50" spans="1:8" x14ac:dyDescent="0.15">
      <c r="A50" t="s">
        <v>13</v>
      </c>
      <c r="B50">
        <v>2500</v>
      </c>
      <c r="C50">
        <v>19</v>
      </c>
      <c r="D50">
        <v>8.2000000000000003E-2</v>
      </c>
      <c r="E50">
        <v>381.18630000000002</v>
      </c>
      <c r="F50">
        <v>15.587999999999999</v>
      </c>
      <c r="G50">
        <v>82.041200000000003</v>
      </c>
      <c r="H50">
        <v>1.5598000000000001</v>
      </c>
    </row>
    <row r="51" spans="1:8" x14ac:dyDescent="0.15">
      <c r="A51" t="s">
        <v>13</v>
      </c>
      <c r="B51">
        <v>2500</v>
      </c>
      <c r="C51">
        <v>19</v>
      </c>
      <c r="D51">
        <v>8.2000000000000003E-2</v>
      </c>
      <c r="E51">
        <v>381.15269999999998</v>
      </c>
      <c r="F51">
        <v>15.586</v>
      </c>
      <c r="G51">
        <v>82.033900000000003</v>
      </c>
      <c r="H51">
        <v>1.5588</v>
      </c>
    </row>
    <row r="52" spans="1:8" x14ac:dyDescent="0.15">
      <c r="A52" t="s">
        <v>13</v>
      </c>
      <c r="B52">
        <v>2500</v>
      </c>
      <c r="C52">
        <v>19</v>
      </c>
      <c r="D52">
        <v>8.1699999999999995E-2</v>
      </c>
      <c r="E52">
        <v>382.47280000000001</v>
      </c>
      <c r="F52">
        <v>15.64</v>
      </c>
      <c r="G52">
        <v>82.318100000000001</v>
      </c>
      <c r="H52">
        <v>1.5538000000000001</v>
      </c>
    </row>
    <row r="53" spans="1:8" x14ac:dyDescent="0.15">
      <c r="A53" t="s">
        <v>13</v>
      </c>
      <c r="B53">
        <v>2500</v>
      </c>
      <c r="C53">
        <v>19</v>
      </c>
      <c r="D53">
        <v>8.2000000000000003E-2</v>
      </c>
      <c r="E53">
        <v>381.0822</v>
      </c>
      <c r="F53">
        <v>15.584</v>
      </c>
      <c r="G53">
        <v>82.018799999999999</v>
      </c>
      <c r="H53">
        <v>1.5598000000000001</v>
      </c>
    </row>
    <row r="54" spans="1:8" x14ac:dyDescent="0.15">
      <c r="A54" t="s">
        <v>13</v>
      </c>
      <c r="B54">
        <v>2500</v>
      </c>
      <c r="C54">
        <v>19</v>
      </c>
      <c r="D54">
        <v>8.2000000000000003E-2</v>
      </c>
      <c r="E54">
        <v>381.23070000000001</v>
      </c>
      <c r="F54">
        <v>15.59</v>
      </c>
      <c r="G54">
        <v>82.050700000000006</v>
      </c>
      <c r="H54">
        <v>1.5588</v>
      </c>
    </row>
    <row r="55" spans="1:8" x14ac:dyDescent="0.15">
      <c r="A55" t="s">
        <v>13</v>
      </c>
      <c r="B55">
        <v>2500</v>
      </c>
      <c r="C55">
        <v>19</v>
      </c>
      <c r="D55">
        <v>8.1699999999999995E-2</v>
      </c>
      <c r="E55">
        <v>382.6662</v>
      </c>
      <c r="F55">
        <v>15.648</v>
      </c>
      <c r="G55">
        <v>82.359700000000004</v>
      </c>
      <c r="H55">
        <v>1.5528</v>
      </c>
    </row>
    <row r="56" spans="1:8" x14ac:dyDescent="0.15">
      <c r="A56" t="s">
        <v>13</v>
      </c>
      <c r="B56">
        <v>2500</v>
      </c>
      <c r="C56">
        <v>19</v>
      </c>
      <c r="D56">
        <v>8.2000000000000003E-2</v>
      </c>
      <c r="E56">
        <v>381.20330000000001</v>
      </c>
      <c r="F56">
        <v>15.589</v>
      </c>
      <c r="G56">
        <v>82.044799999999995</v>
      </c>
      <c r="H56">
        <v>1.5598000000000001</v>
      </c>
    </row>
    <row r="57" spans="1:8" x14ac:dyDescent="0.15">
      <c r="A57" t="s">
        <v>13</v>
      </c>
      <c r="B57">
        <v>2500</v>
      </c>
      <c r="C57">
        <v>19</v>
      </c>
      <c r="D57">
        <v>8.1900000000000001E-2</v>
      </c>
      <c r="E57">
        <v>381.44260000000003</v>
      </c>
      <c r="F57">
        <v>15.598000000000001</v>
      </c>
      <c r="G57">
        <v>82.096299999999999</v>
      </c>
      <c r="H57">
        <v>1.5568</v>
      </c>
    </row>
    <row r="58" spans="1:8" x14ac:dyDescent="0.15">
      <c r="A58" t="s">
        <v>13</v>
      </c>
      <c r="B58">
        <v>2500</v>
      </c>
      <c r="C58">
        <v>19</v>
      </c>
      <c r="D58">
        <v>8.1699999999999995E-2</v>
      </c>
      <c r="E58">
        <v>382.6302</v>
      </c>
      <c r="F58">
        <v>15.647</v>
      </c>
      <c r="G58">
        <v>82.351900000000001</v>
      </c>
      <c r="H58">
        <v>1.5538000000000001</v>
      </c>
    </row>
    <row r="59" spans="1:8" x14ac:dyDescent="0.15">
      <c r="A59" t="s">
        <v>13</v>
      </c>
      <c r="B59">
        <v>2500</v>
      </c>
      <c r="C59">
        <v>19</v>
      </c>
      <c r="D59">
        <v>8.2000000000000003E-2</v>
      </c>
      <c r="E59">
        <v>381.3134</v>
      </c>
      <c r="F59">
        <v>15.593</v>
      </c>
      <c r="G59">
        <v>82.0685</v>
      </c>
      <c r="H59">
        <v>1.5588</v>
      </c>
    </row>
    <row r="60" spans="1:8" x14ac:dyDescent="0.15">
      <c r="A60" t="s">
        <v>13</v>
      </c>
      <c r="B60">
        <v>2500</v>
      </c>
      <c r="C60">
        <v>19</v>
      </c>
      <c r="D60">
        <v>8.2000000000000003E-2</v>
      </c>
      <c r="E60">
        <v>381.20170000000002</v>
      </c>
      <c r="F60">
        <v>15.587999999999999</v>
      </c>
      <c r="G60">
        <v>82.044499999999999</v>
      </c>
      <c r="H60">
        <v>1.5588</v>
      </c>
    </row>
    <row r="61" spans="1:8" x14ac:dyDescent="0.15">
      <c r="A61" t="s">
        <v>13</v>
      </c>
      <c r="B61">
        <v>2500</v>
      </c>
      <c r="C61">
        <v>19</v>
      </c>
      <c r="D61">
        <v>8.1600000000000006E-2</v>
      </c>
      <c r="E61">
        <v>382.83980000000003</v>
      </c>
      <c r="F61">
        <v>15.654999999999999</v>
      </c>
      <c r="G61">
        <v>82.397099999999995</v>
      </c>
      <c r="H61">
        <v>1.5528</v>
      </c>
    </row>
    <row r="62" spans="1:8" x14ac:dyDescent="0.15">
      <c r="A62" t="s">
        <v>13</v>
      </c>
      <c r="B62">
        <v>2500</v>
      </c>
      <c r="C62">
        <v>19</v>
      </c>
      <c r="D62">
        <v>8.2000000000000003E-2</v>
      </c>
      <c r="E62">
        <v>381.31819999999999</v>
      </c>
      <c r="F62">
        <v>15.593</v>
      </c>
      <c r="G62">
        <v>82.069599999999994</v>
      </c>
      <c r="H62">
        <v>1.5578000000000001</v>
      </c>
    </row>
    <row r="63" spans="1:8" x14ac:dyDescent="0.15">
      <c r="A63" t="s">
        <v>13</v>
      </c>
      <c r="B63">
        <v>2500</v>
      </c>
      <c r="C63">
        <v>19</v>
      </c>
      <c r="D63">
        <v>8.1900000000000001E-2</v>
      </c>
      <c r="E63">
        <v>381.40440000000001</v>
      </c>
      <c r="F63">
        <v>15.597</v>
      </c>
      <c r="G63">
        <v>82.088099999999997</v>
      </c>
      <c r="H63">
        <v>1.5588</v>
      </c>
    </row>
    <row r="64" spans="1:8" x14ac:dyDescent="0.15">
      <c r="A64" t="s">
        <v>13</v>
      </c>
      <c r="B64">
        <v>2500</v>
      </c>
      <c r="C64">
        <v>20</v>
      </c>
      <c r="D64">
        <v>0.15459999999999999</v>
      </c>
      <c r="E64">
        <v>202.10720000000001</v>
      </c>
      <c r="F64">
        <v>8.2650000000000006</v>
      </c>
      <c r="G64">
        <v>41.323799999999999</v>
      </c>
      <c r="H64">
        <v>2.9405999999999999</v>
      </c>
    </row>
    <row r="65" spans="1:8" x14ac:dyDescent="0.15">
      <c r="A65" t="s">
        <v>13</v>
      </c>
      <c r="B65">
        <v>2500</v>
      </c>
      <c r="C65">
        <v>20</v>
      </c>
      <c r="D65">
        <v>0.15</v>
      </c>
      <c r="E65">
        <v>208.28579999999999</v>
      </c>
      <c r="F65">
        <v>8.5169999999999995</v>
      </c>
      <c r="G65">
        <v>42.5871</v>
      </c>
      <c r="H65">
        <v>2.8525999999999998</v>
      </c>
    </row>
    <row r="66" spans="1:8" x14ac:dyDescent="0.15">
      <c r="A66" t="s">
        <v>13</v>
      </c>
      <c r="B66">
        <v>2500</v>
      </c>
      <c r="C66">
        <v>20</v>
      </c>
      <c r="D66">
        <v>0.15040000000000001</v>
      </c>
      <c r="E66">
        <v>207.8227</v>
      </c>
      <c r="F66">
        <v>8.4979999999999993</v>
      </c>
      <c r="G66">
        <v>42.492400000000004</v>
      </c>
      <c r="H66">
        <v>2.8595999999999999</v>
      </c>
    </row>
    <row r="67" spans="1:8" x14ac:dyDescent="0.15">
      <c r="A67" t="s">
        <v>13</v>
      </c>
      <c r="B67">
        <v>2500</v>
      </c>
      <c r="C67">
        <v>20</v>
      </c>
      <c r="D67">
        <v>0.14990000000000001</v>
      </c>
      <c r="E67">
        <v>208.44399999999999</v>
      </c>
      <c r="F67">
        <v>8.5239999999999991</v>
      </c>
      <c r="G67">
        <v>42.619399999999999</v>
      </c>
      <c r="H67">
        <v>2.8506</v>
      </c>
    </row>
    <row r="68" spans="1:8" x14ac:dyDescent="0.15">
      <c r="A68" t="s">
        <v>13</v>
      </c>
      <c r="B68">
        <v>2500</v>
      </c>
      <c r="C68">
        <v>20</v>
      </c>
      <c r="D68">
        <v>0.1507</v>
      </c>
      <c r="E68">
        <v>207.30950000000001</v>
      </c>
      <c r="F68">
        <v>8.4770000000000003</v>
      </c>
      <c r="G68">
        <v>42.387500000000003</v>
      </c>
      <c r="H68">
        <v>2.8666</v>
      </c>
    </row>
    <row r="69" spans="1:8" x14ac:dyDescent="0.15">
      <c r="A69" t="s">
        <v>13</v>
      </c>
      <c r="B69">
        <v>2500</v>
      </c>
      <c r="C69">
        <v>20</v>
      </c>
      <c r="D69">
        <v>0.15090000000000001</v>
      </c>
      <c r="E69">
        <v>207.09110000000001</v>
      </c>
      <c r="F69">
        <v>8.4689999999999994</v>
      </c>
      <c r="G69">
        <v>42.342799999999997</v>
      </c>
      <c r="H69">
        <v>2.8696000000000002</v>
      </c>
    </row>
    <row r="70" spans="1:8" x14ac:dyDescent="0.15">
      <c r="A70" t="s">
        <v>13</v>
      </c>
      <c r="B70">
        <v>2500</v>
      </c>
      <c r="C70">
        <v>20</v>
      </c>
      <c r="D70">
        <v>0.15060000000000001</v>
      </c>
      <c r="E70">
        <v>207.48679999999999</v>
      </c>
      <c r="F70">
        <v>8.4849999999999994</v>
      </c>
      <c r="G70">
        <v>42.423699999999997</v>
      </c>
      <c r="H70">
        <v>2.8645999999999998</v>
      </c>
    </row>
    <row r="71" spans="1:8" x14ac:dyDescent="0.15">
      <c r="A71" t="s">
        <v>13</v>
      </c>
      <c r="B71">
        <v>2500</v>
      </c>
      <c r="C71">
        <v>20</v>
      </c>
      <c r="D71">
        <v>0.15090000000000001</v>
      </c>
      <c r="E71">
        <v>207.10429999999999</v>
      </c>
      <c r="F71">
        <v>8.4689999999999994</v>
      </c>
      <c r="G71">
        <v>42.345500000000001</v>
      </c>
      <c r="H71">
        <v>2.8696000000000002</v>
      </c>
    </row>
    <row r="72" spans="1:8" x14ac:dyDescent="0.15">
      <c r="A72" t="s">
        <v>13</v>
      </c>
      <c r="B72">
        <v>2500</v>
      </c>
      <c r="C72">
        <v>20</v>
      </c>
      <c r="D72">
        <v>0.15079999999999999</v>
      </c>
      <c r="E72">
        <v>207.22829999999999</v>
      </c>
      <c r="F72">
        <v>8.4740000000000002</v>
      </c>
      <c r="G72">
        <v>42.370899999999999</v>
      </c>
      <c r="H72">
        <v>2.8675999999999999</v>
      </c>
    </row>
    <row r="73" spans="1:8" x14ac:dyDescent="0.15">
      <c r="A73" t="s">
        <v>13</v>
      </c>
      <c r="B73">
        <v>2500</v>
      </c>
      <c r="C73">
        <v>20</v>
      </c>
      <c r="D73">
        <v>0.15079999999999999</v>
      </c>
      <c r="E73">
        <v>207.1653</v>
      </c>
      <c r="F73">
        <v>8.4719999999999995</v>
      </c>
      <c r="G73">
        <v>42.357999999999997</v>
      </c>
      <c r="H73">
        <v>2.8685999999999998</v>
      </c>
    </row>
    <row r="74" spans="1:8" x14ac:dyDescent="0.15">
      <c r="A74" t="s">
        <v>13</v>
      </c>
      <c r="B74">
        <v>2500</v>
      </c>
      <c r="C74">
        <v>20</v>
      </c>
      <c r="D74">
        <v>0.1512</v>
      </c>
      <c r="E74">
        <v>206.72470000000001</v>
      </c>
      <c r="F74">
        <v>8.4540000000000006</v>
      </c>
      <c r="G74">
        <v>42.267899999999997</v>
      </c>
      <c r="H74">
        <v>2.8746</v>
      </c>
    </row>
    <row r="75" spans="1:8" x14ac:dyDescent="0.15">
      <c r="A75" t="s">
        <v>13</v>
      </c>
      <c r="B75">
        <v>2500</v>
      </c>
      <c r="C75">
        <v>20</v>
      </c>
      <c r="D75">
        <v>0.15509999999999999</v>
      </c>
      <c r="E75">
        <v>201.54589999999999</v>
      </c>
      <c r="F75">
        <v>8.2420000000000009</v>
      </c>
      <c r="G75">
        <v>41.209000000000003</v>
      </c>
      <c r="H75">
        <v>2.9485999999999999</v>
      </c>
    </row>
    <row r="76" spans="1:8" x14ac:dyDescent="0.15">
      <c r="A76" t="s">
        <v>13</v>
      </c>
      <c r="B76">
        <v>2500</v>
      </c>
      <c r="C76">
        <v>20</v>
      </c>
      <c r="D76">
        <v>0.1527</v>
      </c>
      <c r="E76">
        <v>204.6533</v>
      </c>
      <c r="F76">
        <v>8.3689999999999998</v>
      </c>
      <c r="G76">
        <v>41.8444</v>
      </c>
      <c r="H76">
        <v>2.9036</v>
      </c>
    </row>
    <row r="77" spans="1:8" x14ac:dyDescent="0.15">
      <c r="A77" t="s">
        <v>13</v>
      </c>
      <c r="B77">
        <v>2500</v>
      </c>
      <c r="C77">
        <v>20</v>
      </c>
      <c r="D77">
        <v>0.14699999999999999</v>
      </c>
      <c r="E77">
        <v>212.631</v>
      </c>
      <c r="F77">
        <v>8.6950000000000003</v>
      </c>
      <c r="G77">
        <v>43.475499999999997</v>
      </c>
      <c r="H77">
        <v>2.7955999999999999</v>
      </c>
    </row>
    <row r="78" spans="1:8" x14ac:dyDescent="0.15">
      <c r="A78" t="s">
        <v>13</v>
      </c>
      <c r="B78">
        <v>2500</v>
      </c>
      <c r="C78">
        <v>20</v>
      </c>
      <c r="D78">
        <v>0.15629999999999999</v>
      </c>
      <c r="E78">
        <v>199.96010000000001</v>
      </c>
      <c r="F78">
        <v>8.1769999999999996</v>
      </c>
      <c r="G78">
        <v>40.884799999999998</v>
      </c>
      <c r="H78">
        <v>2.9716</v>
      </c>
    </row>
    <row r="79" spans="1:8" x14ac:dyDescent="0.15">
      <c r="A79" t="s">
        <v>13</v>
      </c>
      <c r="B79">
        <v>2500</v>
      </c>
      <c r="C79">
        <v>20</v>
      </c>
      <c r="D79">
        <v>0.13100000000000001</v>
      </c>
      <c r="E79">
        <v>238.55860000000001</v>
      </c>
      <c r="F79">
        <v>9.7550000000000008</v>
      </c>
      <c r="G79">
        <v>48.776800000000001</v>
      </c>
      <c r="H79">
        <v>2.5156000000000001</v>
      </c>
    </row>
    <row r="80" spans="1:8" x14ac:dyDescent="0.15">
      <c r="A80" t="s">
        <v>13</v>
      </c>
      <c r="B80">
        <v>2500</v>
      </c>
      <c r="C80">
        <v>20</v>
      </c>
      <c r="D80">
        <v>8.09E-2</v>
      </c>
      <c r="E80">
        <v>386.25959999999998</v>
      </c>
      <c r="F80">
        <v>15.795</v>
      </c>
      <c r="G80">
        <v>78.976399999999998</v>
      </c>
      <c r="H80">
        <v>1.6197999999999999</v>
      </c>
    </row>
    <row r="81" spans="1:8" x14ac:dyDescent="0.15">
      <c r="A81" t="s">
        <v>13</v>
      </c>
      <c r="B81">
        <v>2500</v>
      </c>
      <c r="C81">
        <v>20</v>
      </c>
      <c r="D81">
        <v>8.1000000000000003E-2</v>
      </c>
      <c r="E81">
        <v>385.59809999999999</v>
      </c>
      <c r="F81">
        <v>15.768000000000001</v>
      </c>
      <c r="G81">
        <v>78.841200000000001</v>
      </c>
      <c r="H81">
        <v>1.6217999999999999</v>
      </c>
    </row>
    <row r="82" spans="1:8" x14ac:dyDescent="0.15">
      <c r="A82" t="s">
        <v>13</v>
      </c>
      <c r="B82">
        <v>2500</v>
      </c>
      <c r="C82">
        <v>20</v>
      </c>
      <c r="D82">
        <v>8.1199999999999994E-2</v>
      </c>
      <c r="E82">
        <v>385.0154</v>
      </c>
      <c r="F82">
        <v>15.744</v>
      </c>
      <c r="G82">
        <v>78.721999999999994</v>
      </c>
      <c r="H82">
        <v>1.6247</v>
      </c>
    </row>
    <row r="83" spans="1:8" x14ac:dyDescent="0.15">
      <c r="A83" t="s">
        <v>13</v>
      </c>
      <c r="B83">
        <v>2500</v>
      </c>
      <c r="C83">
        <v>20</v>
      </c>
      <c r="D83">
        <v>8.1000000000000003E-2</v>
      </c>
      <c r="E83">
        <v>385.9907</v>
      </c>
      <c r="F83">
        <v>15.784000000000001</v>
      </c>
      <c r="G83">
        <v>78.921400000000006</v>
      </c>
      <c r="H83">
        <v>1.6208</v>
      </c>
    </row>
    <row r="84" spans="1:8" x14ac:dyDescent="0.15">
      <c r="A84" t="s">
        <v>13</v>
      </c>
      <c r="B84">
        <v>2500</v>
      </c>
      <c r="C84">
        <v>20</v>
      </c>
      <c r="D84">
        <v>8.1100000000000005E-2</v>
      </c>
      <c r="E84">
        <v>385.19810000000001</v>
      </c>
      <c r="F84">
        <v>15.752000000000001</v>
      </c>
      <c r="G84">
        <v>78.759399999999999</v>
      </c>
      <c r="H84">
        <v>1.6248</v>
      </c>
    </row>
    <row r="85" spans="1:8" x14ac:dyDescent="0.15">
      <c r="A85" t="s">
        <v>13</v>
      </c>
      <c r="B85">
        <v>2500</v>
      </c>
      <c r="C85">
        <v>20</v>
      </c>
      <c r="D85">
        <v>8.1000000000000003E-2</v>
      </c>
      <c r="E85">
        <v>385.86759999999998</v>
      </c>
      <c r="F85">
        <v>15.779</v>
      </c>
      <c r="G85">
        <v>78.896299999999997</v>
      </c>
      <c r="H85">
        <v>1.6208</v>
      </c>
    </row>
    <row r="86" spans="1:8" x14ac:dyDescent="0.15">
      <c r="A86" t="s">
        <v>13</v>
      </c>
      <c r="B86">
        <v>2500</v>
      </c>
      <c r="C86">
        <v>20</v>
      </c>
      <c r="D86">
        <v>8.09E-2</v>
      </c>
      <c r="E86">
        <v>386.30270000000002</v>
      </c>
      <c r="F86">
        <v>15.797000000000001</v>
      </c>
      <c r="G86">
        <v>78.985200000000006</v>
      </c>
      <c r="H86">
        <v>1.6197999999999999</v>
      </c>
    </row>
    <row r="87" spans="1:8" x14ac:dyDescent="0.15">
      <c r="A87" t="s">
        <v>13</v>
      </c>
      <c r="B87">
        <v>2500</v>
      </c>
      <c r="C87">
        <v>20</v>
      </c>
      <c r="D87">
        <v>8.1000000000000003E-2</v>
      </c>
      <c r="E87">
        <v>385.59160000000003</v>
      </c>
      <c r="F87">
        <v>15.768000000000001</v>
      </c>
      <c r="G87">
        <v>78.839799999999997</v>
      </c>
      <c r="H87">
        <v>1.6227</v>
      </c>
    </row>
    <row r="88" spans="1:8" x14ac:dyDescent="0.15">
      <c r="A88" t="s">
        <v>13</v>
      </c>
      <c r="B88">
        <v>2500</v>
      </c>
      <c r="C88">
        <v>20</v>
      </c>
      <c r="D88">
        <v>8.1000000000000003E-2</v>
      </c>
      <c r="E88">
        <v>385.72030000000001</v>
      </c>
      <c r="F88">
        <v>15.773</v>
      </c>
      <c r="G88">
        <v>78.866200000000006</v>
      </c>
      <c r="H88">
        <v>1.6217999999999999</v>
      </c>
    </row>
    <row r="89" spans="1:8" x14ac:dyDescent="0.15">
      <c r="A89" t="s">
        <v>13</v>
      </c>
      <c r="B89">
        <v>2500</v>
      </c>
      <c r="C89">
        <v>20</v>
      </c>
      <c r="D89">
        <v>8.09E-2</v>
      </c>
      <c r="E89">
        <v>386.4049</v>
      </c>
      <c r="F89">
        <v>15.801</v>
      </c>
      <c r="G89">
        <v>79.006100000000004</v>
      </c>
      <c r="H89">
        <v>1.6187</v>
      </c>
    </row>
    <row r="90" spans="1:8" x14ac:dyDescent="0.15">
      <c r="A90" t="s">
        <v>13</v>
      </c>
      <c r="B90">
        <v>2500</v>
      </c>
      <c r="C90">
        <v>20</v>
      </c>
      <c r="D90">
        <v>8.1000000000000003E-2</v>
      </c>
      <c r="E90">
        <v>385.93329999999997</v>
      </c>
      <c r="F90">
        <v>15.782</v>
      </c>
      <c r="G90">
        <v>78.909700000000001</v>
      </c>
      <c r="H90">
        <v>1.6208</v>
      </c>
    </row>
    <row r="91" spans="1:8" x14ac:dyDescent="0.15">
      <c r="A91" t="s">
        <v>13</v>
      </c>
      <c r="B91">
        <v>2500</v>
      </c>
      <c r="C91">
        <v>20</v>
      </c>
      <c r="D91">
        <v>8.1199999999999994E-2</v>
      </c>
      <c r="E91">
        <v>384.87920000000003</v>
      </c>
      <c r="F91">
        <v>15.739000000000001</v>
      </c>
      <c r="G91">
        <v>78.694199999999995</v>
      </c>
      <c r="H91">
        <v>1.6248</v>
      </c>
    </row>
    <row r="92" spans="1:8" x14ac:dyDescent="0.15">
      <c r="A92" t="s">
        <v>13</v>
      </c>
      <c r="B92">
        <v>2500</v>
      </c>
      <c r="C92">
        <v>20</v>
      </c>
      <c r="D92">
        <v>8.0799999999999997E-2</v>
      </c>
      <c r="E92">
        <v>386.59769999999997</v>
      </c>
      <c r="F92">
        <v>15.808999999999999</v>
      </c>
      <c r="G92">
        <v>79.045599999999993</v>
      </c>
      <c r="H92">
        <v>1.6177999999999999</v>
      </c>
    </row>
    <row r="93" spans="1:8" x14ac:dyDescent="0.15">
      <c r="A93" t="s">
        <v>13</v>
      </c>
      <c r="B93">
        <v>2500</v>
      </c>
      <c r="C93">
        <v>20</v>
      </c>
      <c r="D93">
        <v>8.1199999999999994E-2</v>
      </c>
      <c r="E93">
        <v>384.73559999999998</v>
      </c>
      <c r="F93">
        <v>15.733000000000001</v>
      </c>
      <c r="G93">
        <v>78.6648</v>
      </c>
      <c r="H93">
        <v>1.6268</v>
      </c>
    </row>
    <row r="94" spans="1:8" x14ac:dyDescent="0.15">
      <c r="A94" t="s">
        <v>13</v>
      </c>
      <c r="B94">
        <v>2500</v>
      </c>
      <c r="C94">
        <v>20</v>
      </c>
      <c r="D94">
        <v>8.09E-2</v>
      </c>
      <c r="E94">
        <v>386.51499999999999</v>
      </c>
      <c r="F94">
        <v>15.805999999999999</v>
      </c>
      <c r="G94">
        <v>79.028599999999997</v>
      </c>
      <c r="H94">
        <v>1.6188</v>
      </c>
    </row>
    <row r="95" spans="1:8" x14ac:dyDescent="0.15">
      <c r="A95" t="s">
        <v>13</v>
      </c>
      <c r="B95">
        <v>2500</v>
      </c>
      <c r="C95">
        <v>20</v>
      </c>
      <c r="D95">
        <v>8.14E-2</v>
      </c>
      <c r="E95">
        <v>383.77289999999999</v>
      </c>
      <c r="F95">
        <v>15.694000000000001</v>
      </c>
      <c r="G95">
        <v>78.468000000000004</v>
      </c>
      <c r="H95">
        <v>1.6296999999999999</v>
      </c>
    </row>
    <row r="96" spans="1:8" x14ac:dyDescent="0.15">
      <c r="A96" t="s">
        <v>13</v>
      </c>
      <c r="B96">
        <v>2500</v>
      </c>
      <c r="C96">
        <v>20</v>
      </c>
      <c r="D96">
        <v>8.1199999999999994E-2</v>
      </c>
      <c r="E96">
        <v>384.6848</v>
      </c>
      <c r="F96">
        <v>15.731</v>
      </c>
      <c r="G96">
        <v>78.654399999999995</v>
      </c>
      <c r="H96">
        <v>1.6256999999999999</v>
      </c>
    </row>
    <row r="97" spans="1:8" x14ac:dyDescent="0.15">
      <c r="A97" t="s">
        <v>13</v>
      </c>
      <c r="B97">
        <v>2500</v>
      </c>
      <c r="C97">
        <v>20</v>
      </c>
      <c r="D97">
        <v>8.0799999999999997E-2</v>
      </c>
      <c r="E97">
        <v>386.59859999999998</v>
      </c>
      <c r="F97">
        <v>15.808999999999999</v>
      </c>
      <c r="G97">
        <v>79.045699999999997</v>
      </c>
      <c r="H97">
        <v>1.6188</v>
      </c>
    </row>
    <row r="98" spans="1:8" x14ac:dyDescent="0.15">
      <c r="A98" t="s">
        <v>13</v>
      </c>
      <c r="B98">
        <v>2500</v>
      </c>
      <c r="C98">
        <v>20</v>
      </c>
      <c r="D98">
        <v>8.1100000000000005E-2</v>
      </c>
      <c r="E98">
        <v>385.40679999999998</v>
      </c>
      <c r="F98">
        <v>15.76</v>
      </c>
      <c r="G98">
        <v>78.802099999999996</v>
      </c>
      <c r="H98">
        <v>1.6228</v>
      </c>
    </row>
    <row r="99" spans="1:8" x14ac:dyDescent="0.15">
      <c r="A99" t="s">
        <v>13</v>
      </c>
      <c r="B99">
        <v>2500</v>
      </c>
      <c r="C99">
        <v>20</v>
      </c>
      <c r="D99">
        <v>8.1100000000000005E-2</v>
      </c>
      <c r="E99">
        <v>385.47269999999997</v>
      </c>
      <c r="F99">
        <v>15.763</v>
      </c>
      <c r="G99">
        <v>78.8155</v>
      </c>
      <c r="H99">
        <v>1.6228</v>
      </c>
    </row>
    <row r="100" spans="1:8" x14ac:dyDescent="0.15">
      <c r="A100" t="s">
        <v>13</v>
      </c>
      <c r="B100">
        <v>2500</v>
      </c>
      <c r="C100">
        <v>20</v>
      </c>
      <c r="D100">
        <v>8.0699999999999994E-2</v>
      </c>
      <c r="E100">
        <v>387.04719999999998</v>
      </c>
      <c r="F100">
        <v>15.827</v>
      </c>
      <c r="G100">
        <v>79.137500000000003</v>
      </c>
      <c r="H100">
        <v>1.6157999999999999</v>
      </c>
    </row>
    <row r="101" spans="1:8" x14ac:dyDescent="0.15">
      <c r="A101" t="s">
        <v>13</v>
      </c>
      <c r="B101">
        <v>2500</v>
      </c>
      <c r="C101">
        <v>20</v>
      </c>
      <c r="D101">
        <v>8.09E-2</v>
      </c>
      <c r="E101">
        <v>386.08859999999999</v>
      </c>
      <c r="F101">
        <v>15.788</v>
      </c>
      <c r="G101">
        <v>78.941500000000005</v>
      </c>
      <c r="H101">
        <v>1.6208</v>
      </c>
    </row>
    <row r="102" spans="1:8" x14ac:dyDescent="0.15">
      <c r="A102" t="s">
        <v>13</v>
      </c>
      <c r="B102">
        <v>2500</v>
      </c>
      <c r="C102">
        <v>20</v>
      </c>
      <c r="D102">
        <v>8.1000000000000003E-2</v>
      </c>
      <c r="E102">
        <v>385.64269999999999</v>
      </c>
      <c r="F102">
        <v>15.77</v>
      </c>
      <c r="G102">
        <v>78.850300000000004</v>
      </c>
      <c r="H102">
        <v>1.6216999999999999</v>
      </c>
    </row>
    <row r="103" spans="1:8" x14ac:dyDescent="0.15">
      <c r="A103" t="s">
        <v>13</v>
      </c>
      <c r="B103">
        <v>2500</v>
      </c>
      <c r="C103">
        <v>20</v>
      </c>
      <c r="D103">
        <v>8.0699999999999994E-2</v>
      </c>
      <c r="E103">
        <v>387.00540000000001</v>
      </c>
      <c r="F103">
        <v>15.826000000000001</v>
      </c>
      <c r="G103">
        <v>79.128900000000002</v>
      </c>
      <c r="H103">
        <v>1.6157999999999999</v>
      </c>
    </row>
    <row r="104" spans="1:8" x14ac:dyDescent="0.15">
      <c r="A104" t="s">
        <v>13</v>
      </c>
      <c r="B104">
        <v>2500</v>
      </c>
      <c r="C104">
        <v>20</v>
      </c>
      <c r="D104">
        <v>8.1199999999999994E-2</v>
      </c>
      <c r="E104">
        <v>385.07220000000001</v>
      </c>
      <c r="F104">
        <v>15.747</v>
      </c>
      <c r="G104">
        <v>78.733599999999996</v>
      </c>
      <c r="H104">
        <v>1.6248</v>
      </c>
    </row>
    <row r="105" spans="1:8" x14ac:dyDescent="0.15">
      <c r="A105" t="s">
        <v>13</v>
      </c>
      <c r="B105">
        <v>2500</v>
      </c>
      <c r="C105">
        <v>20</v>
      </c>
      <c r="D105">
        <v>8.1100000000000005E-2</v>
      </c>
      <c r="E105">
        <v>385.48680000000002</v>
      </c>
      <c r="F105">
        <v>15.763999999999999</v>
      </c>
      <c r="G105">
        <v>78.818399999999997</v>
      </c>
      <c r="H105">
        <v>1.6228</v>
      </c>
    </row>
    <row r="106" spans="1:8" x14ac:dyDescent="0.15">
      <c r="A106" t="s">
        <v>13</v>
      </c>
      <c r="B106">
        <v>2500</v>
      </c>
      <c r="C106">
        <v>20</v>
      </c>
      <c r="D106">
        <v>8.0799999999999997E-2</v>
      </c>
      <c r="E106">
        <v>386.63249999999999</v>
      </c>
      <c r="F106">
        <v>15.811</v>
      </c>
      <c r="G106">
        <v>79.052700000000002</v>
      </c>
      <c r="H106">
        <v>1.6177999999999999</v>
      </c>
    </row>
    <row r="107" spans="1:8" x14ac:dyDescent="0.15">
      <c r="A107" t="s">
        <v>13</v>
      </c>
      <c r="B107">
        <v>2500</v>
      </c>
      <c r="C107">
        <v>20</v>
      </c>
      <c r="D107">
        <v>8.1000000000000003E-2</v>
      </c>
      <c r="E107">
        <v>385.97320000000002</v>
      </c>
      <c r="F107">
        <v>15.784000000000001</v>
      </c>
      <c r="G107">
        <v>78.917900000000003</v>
      </c>
      <c r="H107">
        <v>1.6208</v>
      </c>
    </row>
    <row r="108" spans="1:8" x14ac:dyDescent="0.15">
      <c r="A108" t="s">
        <v>13</v>
      </c>
      <c r="B108">
        <v>2500</v>
      </c>
      <c r="C108">
        <v>20</v>
      </c>
      <c r="D108">
        <v>8.1299999999999997E-2</v>
      </c>
      <c r="E108">
        <v>384.4468</v>
      </c>
      <c r="F108">
        <v>15.721</v>
      </c>
      <c r="G108">
        <v>78.605800000000002</v>
      </c>
      <c r="H108">
        <v>1.6276999999999999</v>
      </c>
    </row>
    <row r="109" spans="1:8" x14ac:dyDescent="0.15">
      <c r="A109" t="s">
        <v>13</v>
      </c>
      <c r="B109">
        <v>2500</v>
      </c>
      <c r="C109">
        <v>20</v>
      </c>
      <c r="D109">
        <v>8.0799999999999997E-2</v>
      </c>
      <c r="E109">
        <v>386.65809999999999</v>
      </c>
      <c r="F109">
        <v>15.811999999999999</v>
      </c>
      <c r="G109">
        <v>79.057900000000004</v>
      </c>
      <c r="H109">
        <v>1.6177999999999999</v>
      </c>
    </row>
    <row r="110" spans="1:8" x14ac:dyDescent="0.15">
      <c r="A110" t="s">
        <v>13</v>
      </c>
      <c r="B110">
        <v>2500</v>
      </c>
      <c r="C110">
        <v>20</v>
      </c>
      <c r="D110">
        <v>8.1199999999999994E-2</v>
      </c>
      <c r="E110">
        <v>385.0806</v>
      </c>
      <c r="F110">
        <v>15.747</v>
      </c>
      <c r="G110">
        <v>78.735399999999998</v>
      </c>
      <c r="H110">
        <v>1.6248</v>
      </c>
    </row>
    <row r="111" spans="1:8" x14ac:dyDescent="0.15">
      <c r="A111" t="s">
        <v>13</v>
      </c>
      <c r="B111">
        <v>2500</v>
      </c>
      <c r="C111">
        <v>20</v>
      </c>
      <c r="D111">
        <v>8.09E-2</v>
      </c>
      <c r="E111">
        <v>386.28469999999999</v>
      </c>
      <c r="F111">
        <v>15.795999999999999</v>
      </c>
      <c r="G111">
        <v>78.9816</v>
      </c>
      <c r="H111">
        <v>1.6197999999999999</v>
      </c>
    </row>
    <row r="112" spans="1:8" x14ac:dyDescent="0.15">
      <c r="A112" t="s">
        <v>13</v>
      </c>
      <c r="B112">
        <v>2500</v>
      </c>
      <c r="C112">
        <v>20</v>
      </c>
      <c r="D112">
        <v>8.1000000000000003E-2</v>
      </c>
      <c r="E112">
        <v>385.73180000000002</v>
      </c>
      <c r="F112">
        <v>15.773999999999999</v>
      </c>
      <c r="G112">
        <v>78.868499999999997</v>
      </c>
      <c r="H112">
        <v>1.6216999999999999</v>
      </c>
    </row>
    <row r="113" spans="1:8" x14ac:dyDescent="0.15">
      <c r="A113" t="s">
        <v>13</v>
      </c>
      <c r="B113">
        <v>2500</v>
      </c>
      <c r="C113">
        <v>20</v>
      </c>
      <c r="D113">
        <v>8.1199999999999994E-2</v>
      </c>
      <c r="E113">
        <v>385.08749999999998</v>
      </c>
      <c r="F113">
        <v>15.747</v>
      </c>
      <c r="G113">
        <v>78.736800000000002</v>
      </c>
      <c r="H113">
        <v>1.6248</v>
      </c>
    </row>
    <row r="114" spans="1:8" x14ac:dyDescent="0.15">
      <c r="A114" t="s">
        <v>13</v>
      </c>
      <c r="B114">
        <v>2500</v>
      </c>
      <c r="C114">
        <v>20</v>
      </c>
      <c r="D114">
        <v>8.0799999999999997E-2</v>
      </c>
      <c r="E114">
        <v>386.55779999999999</v>
      </c>
      <c r="F114">
        <v>15.807</v>
      </c>
      <c r="G114">
        <v>79.037400000000005</v>
      </c>
      <c r="H114">
        <v>1.6177999999999999</v>
      </c>
    </row>
    <row r="115" spans="1:8" x14ac:dyDescent="0.15">
      <c r="A115" t="s">
        <v>13</v>
      </c>
      <c r="B115">
        <v>2505</v>
      </c>
      <c r="C115">
        <v>1</v>
      </c>
      <c r="D115">
        <v>1.2936000000000001</v>
      </c>
      <c r="E115">
        <v>24.302800000000001</v>
      </c>
      <c r="F115">
        <v>1</v>
      </c>
      <c r="G115">
        <v>100</v>
      </c>
      <c r="H115">
        <v>1.2948</v>
      </c>
    </row>
    <row r="116" spans="1:8" x14ac:dyDescent="0.15">
      <c r="A116" t="s">
        <v>13</v>
      </c>
      <c r="B116">
        <v>2505</v>
      </c>
      <c r="C116">
        <v>1</v>
      </c>
      <c r="D116">
        <v>1.2810999999999999</v>
      </c>
      <c r="E116">
        <v>24.540199999999999</v>
      </c>
      <c r="F116">
        <v>1.01</v>
      </c>
      <c r="G116">
        <v>100.9769</v>
      </c>
      <c r="H116">
        <v>1.2818000000000001</v>
      </c>
    </row>
    <row r="117" spans="1:8" x14ac:dyDescent="0.15">
      <c r="A117" t="s">
        <v>13</v>
      </c>
      <c r="B117">
        <v>2505</v>
      </c>
      <c r="C117">
        <v>1</v>
      </c>
      <c r="D117">
        <v>1.2813000000000001</v>
      </c>
      <c r="E117">
        <v>24.535900000000002</v>
      </c>
      <c r="F117">
        <v>1.01</v>
      </c>
      <c r="G117">
        <v>100.9592</v>
      </c>
      <c r="H117">
        <v>1.2827999999999999</v>
      </c>
    </row>
    <row r="118" spans="1:8" x14ac:dyDescent="0.15">
      <c r="A118" t="s">
        <v>13</v>
      </c>
      <c r="B118">
        <v>2505</v>
      </c>
      <c r="C118">
        <v>1</v>
      </c>
      <c r="D118">
        <v>1.2814000000000001</v>
      </c>
      <c r="E118">
        <v>24.533899999999999</v>
      </c>
      <c r="F118">
        <v>1.01</v>
      </c>
      <c r="G118">
        <v>100.95099999999999</v>
      </c>
      <c r="H118">
        <v>1.2827999999999999</v>
      </c>
    </row>
    <row r="119" spans="1:8" x14ac:dyDescent="0.15">
      <c r="A119" t="s">
        <v>13</v>
      </c>
      <c r="B119">
        <v>2505</v>
      </c>
      <c r="C119">
        <v>1</v>
      </c>
      <c r="D119">
        <v>1.2818000000000001</v>
      </c>
      <c r="E119">
        <v>24.526800000000001</v>
      </c>
      <c r="F119">
        <v>1.0089999999999999</v>
      </c>
      <c r="G119">
        <v>100.9216</v>
      </c>
      <c r="H119">
        <v>1.2827999999999999</v>
      </c>
    </row>
    <row r="120" spans="1:8" x14ac:dyDescent="0.15">
      <c r="A120" t="s">
        <v>13</v>
      </c>
      <c r="B120">
        <v>2505</v>
      </c>
      <c r="C120">
        <v>1</v>
      </c>
      <c r="D120">
        <v>1.2808999999999999</v>
      </c>
      <c r="E120">
        <v>24.543600000000001</v>
      </c>
      <c r="F120">
        <v>1.01</v>
      </c>
      <c r="G120">
        <v>100.991</v>
      </c>
      <c r="H120">
        <v>1.2827999999999999</v>
      </c>
    </row>
    <row r="121" spans="1:8" x14ac:dyDescent="0.15">
      <c r="A121" t="s">
        <v>13</v>
      </c>
      <c r="B121">
        <v>2505</v>
      </c>
      <c r="C121">
        <v>19</v>
      </c>
      <c r="D121">
        <v>8.5000000000000006E-2</v>
      </c>
      <c r="E121">
        <v>369.71749999999997</v>
      </c>
      <c r="F121">
        <v>15.212999999999999</v>
      </c>
      <c r="G121">
        <v>80.068200000000004</v>
      </c>
      <c r="H121">
        <v>1.6157999999999999</v>
      </c>
    </row>
    <row r="122" spans="1:8" x14ac:dyDescent="0.15">
      <c r="A122" t="s">
        <v>13</v>
      </c>
      <c r="B122">
        <v>2505</v>
      </c>
      <c r="C122">
        <v>19</v>
      </c>
      <c r="D122">
        <v>8.3500000000000005E-2</v>
      </c>
      <c r="E122">
        <v>376.42689999999999</v>
      </c>
      <c r="F122">
        <v>15.489000000000001</v>
      </c>
      <c r="G122">
        <v>81.521299999999997</v>
      </c>
      <c r="H122">
        <v>1.5878000000000001</v>
      </c>
    </row>
    <row r="123" spans="1:8" x14ac:dyDescent="0.15">
      <c r="A123" t="s">
        <v>13</v>
      </c>
      <c r="B123">
        <v>2505</v>
      </c>
      <c r="C123">
        <v>19</v>
      </c>
      <c r="D123">
        <v>8.3599999999999994E-2</v>
      </c>
      <c r="E123">
        <v>376.0179</v>
      </c>
      <c r="F123">
        <v>15.472</v>
      </c>
      <c r="G123">
        <v>81.432699999999997</v>
      </c>
      <c r="H123">
        <v>1.5908</v>
      </c>
    </row>
    <row r="124" spans="1:8" x14ac:dyDescent="0.15">
      <c r="A124" t="s">
        <v>13</v>
      </c>
      <c r="B124">
        <v>2505</v>
      </c>
      <c r="C124">
        <v>19</v>
      </c>
      <c r="D124">
        <v>8.3500000000000005E-2</v>
      </c>
      <c r="E124">
        <v>376.67149999999998</v>
      </c>
      <c r="F124">
        <v>15.499000000000001</v>
      </c>
      <c r="G124">
        <v>81.574299999999994</v>
      </c>
      <c r="H124">
        <v>1.5868</v>
      </c>
    </row>
    <row r="125" spans="1:8" x14ac:dyDescent="0.15">
      <c r="A125" t="s">
        <v>13</v>
      </c>
      <c r="B125">
        <v>2505</v>
      </c>
      <c r="C125">
        <v>19</v>
      </c>
      <c r="D125">
        <v>8.3299999999999999E-2</v>
      </c>
      <c r="E125">
        <v>377.58420000000001</v>
      </c>
      <c r="F125">
        <v>15.537000000000001</v>
      </c>
      <c r="G125">
        <v>81.771900000000002</v>
      </c>
      <c r="H125">
        <v>1.5838000000000001</v>
      </c>
    </row>
    <row r="126" spans="1:8" x14ac:dyDescent="0.15">
      <c r="A126" t="s">
        <v>13</v>
      </c>
      <c r="B126">
        <v>2505</v>
      </c>
      <c r="C126">
        <v>19</v>
      </c>
      <c r="D126">
        <v>8.3599999999999994E-2</v>
      </c>
      <c r="E126">
        <v>376.2414</v>
      </c>
      <c r="F126">
        <v>15.481</v>
      </c>
      <c r="G126">
        <v>81.481099999999998</v>
      </c>
      <c r="H126">
        <v>1.5888</v>
      </c>
    </row>
    <row r="127" spans="1:8" x14ac:dyDescent="0.15">
      <c r="A127" t="s">
        <v>13</v>
      </c>
      <c r="B127">
        <v>2505</v>
      </c>
      <c r="C127">
        <v>19</v>
      </c>
      <c r="D127">
        <v>8.3599999999999994E-2</v>
      </c>
      <c r="E127">
        <v>376.1266</v>
      </c>
      <c r="F127">
        <v>15.477</v>
      </c>
      <c r="G127">
        <v>81.456199999999995</v>
      </c>
      <c r="H127">
        <v>1.5898000000000001</v>
      </c>
    </row>
    <row r="128" spans="1:8" x14ac:dyDescent="0.15">
      <c r="A128" t="s">
        <v>13</v>
      </c>
      <c r="B128">
        <v>2505</v>
      </c>
      <c r="C128">
        <v>19</v>
      </c>
      <c r="D128">
        <v>8.3500000000000005E-2</v>
      </c>
      <c r="E128">
        <v>376.39240000000001</v>
      </c>
      <c r="F128">
        <v>15.488</v>
      </c>
      <c r="G128">
        <v>81.513800000000003</v>
      </c>
      <c r="H128">
        <v>1.5888</v>
      </c>
    </row>
    <row r="129" spans="1:8" x14ac:dyDescent="0.15">
      <c r="A129" t="s">
        <v>13</v>
      </c>
      <c r="B129">
        <v>2505</v>
      </c>
      <c r="C129">
        <v>19</v>
      </c>
      <c r="D129">
        <v>8.3299999999999999E-2</v>
      </c>
      <c r="E129">
        <v>377.48200000000003</v>
      </c>
      <c r="F129">
        <v>15.532</v>
      </c>
      <c r="G129">
        <v>81.749799999999993</v>
      </c>
      <c r="H129">
        <v>1.5838000000000001</v>
      </c>
    </row>
    <row r="130" spans="1:8" x14ac:dyDescent="0.15">
      <c r="A130" t="s">
        <v>13</v>
      </c>
      <c r="B130">
        <v>2505</v>
      </c>
      <c r="C130">
        <v>19</v>
      </c>
      <c r="D130">
        <v>8.3599999999999994E-2</v>
      </c>
      <c r="E130">
        <v>376.24360000000001</v>
      </c>
      <c r="F130">
        <v>15.481</v>
      </c>
      <c r="G130">
        <v>81.4816</v>
      </c>
      <c r="H130">
        <v>1.5898000000000001</v>
      </c>
    </row>
    <row r="131" spans="1:8" x14ac:dyDescent="0.15">
      <c r="A131" t="s">
        <v>13</v>
      </c>
      <c r="B131">
        <v>2505</v>
      </c>
      <c r="C131">
        <v>19</v>
      </c>
      <c r="D131">
        <v>8.3500000000000005E-2</v>
      </c>
      <c r="E131">
        <v>376.34100000000001</v>
      </c>
      <c r="F131">
        <v>15.486000000000001</v>
      </c>
      <c r="G131">
        <v>81.502700000000004</v>
      </c>
      <c r="H131">
        <v>1.5888</v>
      </c>
    </row>
    <row r="132" spans="1:8" x14ac:dyDescent="0.15">
      <c r="A132" t="s">
        <v>13</v>
      </c>
      <c r="B132">
        <v>2505</v>
      </c>
      <c r="C132">
        <v>19</v>
      </c>
      <c r="D132">
        <v>8.3199999999999996E-2</v>
      </c>
      <c r="E132">
        <v>377.67160000000001</v>
      </c>
      <c r="F132">
        <v>15.54</v>
      </c>
      <c r="G132">
        <v>81.790800000000004</v>
      </c>
      <c r="H132">
        <v>1.5818000000000001</v>
      </c>
    </row>
    <row r="133" spans="1:8" x14ac:dyDescent="0.15">
      <c r="A133" t="s">
        <v>13</v>
      </c>
      <c r="B133">
        <v>2505</v>
      </c>
      <c r="C133">
        <v>19</v>
      </c>
      <c r="D133">
        <v>8.3599999999999994E-2</v>
      </c>
      <c r="E133">
        <v>376.19409999999999</v>
      </c>
      <c r="F133">
        <v>15.478999999999999</v>
      </c>
      <c r="G133">
        <v>81.4709</v>
      </c>
      <c r="H133">
        <v>1.5888</v>
      </c>
    </row>
    <row r="134" spans="1:8" x14ac:dyDescent="0.15">
      <c r="A134" t="s">
        <v>13</v>
      </c>
      <c r="B134">
        <v>2505</v>
      </c>
      <c r="C134">
        <v>19</v>
      </c>
      <c r="D134">
        <v>8.3500000000000005E-2</v>
      </c>
      <c r="E134">
        <v>376.64600000000002</v>
      </c>
      <c r="F134">
        <v>15.497999999999999</v>
      </c>
      <c r="G134">
        <v>81.568700000000007</v>
      </c>
      <c r="H134">
        <v>1.5878000000000001</v>
      </c>
    </row>
    <row r="135" spans="1:8" x14ac:dyDescent="0.15">
      <c r="A135" t="s">
        <v>13</v>
      </c>
      <c r="B135">
        <v>2505</v>
      </c>
      <c r="C135">
        <v>19</v>
      </c>
      <c r="D135">
        <v>8.3299999999999999E-2</v>
      </c>
      <c r="E135">
        <v>377.53910000000002</v>
      </c>
      <c r="F135">
        <v>15.535</v>
      </c>
      <c r="G135">
        <v>81.762100000000004</v>
      </c>
      <c r="H135">
        <v>1.5838000000000001</v>
      </c>
    </row>
    <row r="136" spans="1:8" x14ac:dyDescent="0.15">
      <c r="A136" t="s">
        <v>13</v>
      </c>
      <c r="B136">
        <v>2505</v>
      </c>
      <c r="C136">
        <v>19</v>
      </c>
      <c r="D136">
        <v>8.3500000000000005E-2</v>
      </c>
      <c r="E136">
        <v>376.47390000000001</v>
      </c>
      <c r="F136">
        <v>15.491</v>
      </c>
      <c r="G136">
        <v>81.531499999999994</v>
      </c>
      <c r="H136">
        <v>1.5878000000000001</v>
      </c>
    </row>
    <row r="137" spans="1:8" x14ac:dyDescent="0.15">
      <c r="A137" t="s">
        <v>13</v>
      </c>
      <c r="B137">
        <v>2505</v>
      </c>
      <c r="C137">
        <v>19</v>
      </c>
      <c r="D137">
        <v>8.3500000000000005E-2</v>
      </c>
      <c r="E137">
        <v>376.40019999999998</v>
      </c>
      <c r="F137">
        <v>15.488</v>
      </c>
      <c r="G137">
        <v>81.515500000000003</v>
      </c>
      <c r="H137">
        <v>1.5888</v>
      </c>
    </row>
    <row r="138" spans="1:8" x14ac:dyDescent="0.15">
      <c r="A138" t="s">
        <v>13</v>
      </c>
      <c r="B138">
        <v>2505</v>
      </c>
      <c r="C138">
        <v>19</v>
      </c>
      <c r="D138">
        <v>8.3199999999999996E-2</v>
      </c>
      <c r="E138">
        <v>377.8073</v>
      </c>
      <c r="F138">
        <v>15.545999999999999</v>
      </c>
      <c r="G138">
        <v>81.8202</v>
      </c>
      <c r="H138">
        <v>1.5828</v>
      </c>
    </row>
    <row r="139" spans="1:8" x14ac:dyDescent="0.15">
      <c r="A139" t="s">
        <v>13</v>
      </c>
      <c r="B139">
        <v>2505</v>
      </c>
      <c r="C139">
        <v>19</v>
      </c>
      <c r="D139">
        <v>8.3599999999999994E-2</v>
      </c>
      <c r="E139">
        <v>376.07870000000003</v>
      </c>
      <c r="F139">
        <v>15.475</v>
      </c>
      <c r="G139">
        <v>81.445899999999995</v>
      </c>
      <c r="H139">
        <v>1.5898000000000001</v>
      </c>
    </row>
    <row r="140" spans="1:8" x14ac:dyDescent="0.15">
      <c r="A140" t="s">
        <v>13</v>
      </c>
      <c r="B140">
        <v>2505</v>
      </c>
      <c r="C140">
        <v>19</v>
      </c>
      <c r="D140">
        <v>8.3599999999999994E-2</v>
      </c>
      <c r="E140">
        <v>376.00439999999998</v>
      </c>
      <c r="F140">
        <v>15.472</v>
      </c>
      <c r="G140">
        <v>81.4298</v>
      </c>
      <c r="H140">
        <v>1.5898000000000001</v>
      </c>
    </row>
    <row r="141" spans="1:8" x14ac:dyDescent="0.15">
      <c r="A141" t="s">
        <v>13</v>
      </c>
      <c r="B141">
        <v>2505</v>
      </c>
      <c r="C141">
        <v>19</v>
      </c>
      <c r="D141">
        <v>8.3199999999999996E-2</v>
      </c>
      <c r="E141">
        <v>377.98</v>
      </c>
      <c r="F141">
        <v>15.553000000000001</v>
      </c>
      <c r="G141">
        <v>81.857600000000005</v>
      </c>
      <c r="H141">
        <v>1.5818000000000001</v>
      </c>
    </row>
    <row r="142" spans="1:8" x14ac:dyDescent="0.15">
      <c r="A142" t="s">
        <v>13</v>
      </c>
      <c r="B142">
        <v>2505</v>
      </c>
      <c r="C142">
        <v>19</v>
      </c>
      <c r="D142">
        <v>8.3500000000000005E-2</v>
      </c>
      <c r="E142">
        <v>376.64789999999999</v>
      </c>
      <c r="F142">
        <v>15.497999999999999</v>
      </c>
      <c r="G142">
        <v>81.569100000000006</v>
      </c>
      <c r="H142">
        <v>1.5878000000000001</v>
      </c>
    </row>
    <row r="143" spans="1:8" x14ac:dyDescent="0.15">
      <c r="A143" t="s">
        <v>13</v>
      </c>
      <c r="B143">
        <v>2505</v>
      </c>
      <c r="C143">
        <v>19</v>
      </c>
      <c r="D143">
        <v>8.3500000000000005E-2</v>
      </c>
      <c r="E143">
        <v>376.7253</v>
      </c>
      <c r="F143">
        <v>15.500999999999999</v>
      </c>
      <c r="G143">
        <v>81.585899999999995</v>
      </c>
      <c r="H143">
        <v>1.5868</v>
      </c>
    </row>
    <row r="144" spans="1:8" x14ac:dyDescent="0.15">
      <c r="A144" t="s">
        <v>13</v>
      </c>
      <c r="B144">
        <v>2505</v>
      </c>
      <c r="C144">
        <v>19</v>
      </c>
      <c r="D144">
        <v>8.3299999999999999E-2</v>
      </c>
      <c r="E144">
        <v>377.55340000000001</v>
      </c>
      <c r="F144">
        <v>15.535</v>
      </c>
      <c r="G144">
        <v>81.765199999999993</v>
      </c>
      <c r="H144">
        <v>1.5838000000000001</v>
      </c>
    </row>
    <row r="145" spans="1:8" x14ac:dyDescent="0.15">
      <c r="A145" t="s">
        <v>13</v>
      </c>
      <c r="B145">
        <v>2505</v>
      </c>
      <c r="C145">
        <v>19</v>
      </c>
      <c r="D145">
        <v>8.3599999999999994E-2</v>
      </c>
      <c r="E145">
        <v>375.94170000000003</v>
      </c>
      <c r="F145">
        <v>15.468999999999999</v>
      </c>
      <c r="G145">
        <v>81.416200000000003</v>
      </c>
      <c r="H145">
        <v>1.5898000000000001</v>
      </c>
    </row>
    <row r="146" spans="1:8" x14ac:dyDescent="0.15">
      <c r="A146" t="s">
        <v>13</v>
      </c>
      <c r="B146">
        <v>2505</v>
      </c>
      <c r="C146">
        <v>19</v>
      </c>
      <c r="D146">
        <v>8.3400000000000002E-2</v>
      </c>
      <c r="E146">
        <v>376.82080000000002</v>
      </c>
      <c r="F146">
        <v>15.505000000000001</v>
      </c>
      <c r="G146">
        <v>81.6066</v>
      </c>
      <c r="H146">
        <v>1.5858000000000001</v>
      </c>
    </row>
    <row r="147" spans="1:8" x14ac:dyDescent="0.15">
      <c r="A147" t="s">
        <v>13</v>
      </c>
      <c r="B147">
        <v>2505</v>
      </c>
      <c r="C147">
        <v>19</v>
      </c>
      <c r="D147">
        <v>8.3299999999999999E-2</v>
      </c>
      <c r="E147">
        <v>377.62549999999999</v>
      </c>
      <c r="F147">
        <v>15.538</v>
      </c>
      <c r="G147">
        <v>81.780799999999999</v>
      </c>
      <c r="H147">
        <v>1.5828</v>
      </c>
    </row>
    <row r="148" spans="1:8" x14ac:dyDescent="0.15">
      <c r="A148" t="s">
        <v>13</v>
      </c>
      <c r="B148">
        <v>2505</v>
      </c>
      <c r="C148">
        <v>19</v>
      </c>
      <c r="D148">
        <v>8.3400000000000002E-2</v>
      </c>
      <c r="E148">
        <v>376.97199999999998</v>
      </c>
      <c r="F148">
        <v>15.510999999999999</v>
      </c>
      <c r="G148">
        <v>81.639300000000006</v>
      </c>
      <c r="H148">
        <v>1.5858000000000001</v>
      </c>
    </row>
    <row r="149" spans="1:8" x14ac:dyDescent="0.15">
      <c r="A149" t="s">
        <v>13</v>
      </c>
      <c r="B149">
        <v>2505</v>
      </c>
      <c r="C149">
        <v>19</v>
      </c>
      <c r="D149">
        <v>8.3500000000000005E-2</v>
      </c>
      <c r="E149">
        <v>376.62880000000001</v>
      </c>
      <c r="F149">
        <v>15.497</v>
      </c>
      <c r="G149">
        <v>81.564999999999998</v>
      </c>
      <c r="H149">
        <v>1.5878000000000001</v>
      </c>
    </row>
    <row r="150" spans="1:8" x14ac:dyDescent="0.15">
      <c r="A150" t="s">
        <v>13</v>
      </c>
      <c r="B150">
        <v>2505</v>
      </c>
      <c r="C150">
        <v>19</v>
      </c>
      <c r="D150">
        <v>8.3099999999999993E-2</v>
      </c>
      <c r="E150">
        <v>378.1345</v>
      </c>
      <c r="F150">
        <v>15.558999999999999</v>
      </c>
      <c r="G150">
        <v>81.891099999999994</v>
      </c>
      <c r="H150">
        <v>1.5818000000000001</v>
      </c>
    </row>
    <row r="151" spans="1:8" x14ac:dyDescent="0.15">
      <c r="A151" t="s">
        <v>13</v>
      </c>
      <c r="B151">
        <v>2505</v>
      </c>
      <c r="C151">
        <v>19</v>
      </c>
      <c r="D151">
        <v>8.3500000000000005E-2</v>
      </c>
      <c r="E151">
        <v>376.5915</v>
      </c>
      <c r="F151">
        <v>15.496</v>
      </c>
      <c r="G151">
        <v>81.556899999999999</v>
      </c>
      <c r="H151">
        <v>1.5868</v>
      </c>
    </row>
    <row r="152" spans="1:8" x14ac:dyDescent="0.15">
      <c r="A152" t="s">
        <v>13</v>
      </c>
      <c r="B152">
        <v>2505</v>
      </c>
      <c r="C152">
        <v>19</v>
      </c>
      <c r="D152">
        <v>8.3500000000000005E-2</v>
      </c>
      <c r="E152">
        <v>376.4264</v>
      </c>
      <c r="F152">
        <v>15.489000000000001</v>
      </c>
      <c r="G152">
        <v>81.521199999999993</v>
      </c>
      <c r="H152">
        <v>1.5878000000000001</v>
      </c>
    </row>
    <row r="153" spans="1:8" x14ac:dyDescent="0.15">
      <c r="A153" t="s">
        <v>13</v>
      </c>
      <c r="B153">
        <v>2505</v>
      </c>
      <c r="C153">
        <v>19</v>
      </c>
      <c r="D153">
        <v>8.3199999999999996E-2</v>
      </c>
      <c r="E153">
        <v>377.91539999999998</v>
      </c>
      <c r="F153">
        <v>15.55</v>
      </c>
      <c r="G153">
        <v>81.843599999999995</v>
      </c>
      <c r="H153">
        <v>1.5818000000000001</v>
      </c>
    </row>
    <row r="154" spans="1:8" x14ac:dyDescent="0.15">
      <c r="A154" t="s">
        <v>13</v>
      </c>
      <c r="B154">
        <v>2505</v>
      </c>
      <c r="C154">
        <v>19</v>
      </c>
      <c r="D154">
        <v>8.3500000000000005E-2</v>
      </c>
      <c r="E154">
        <v>376.53109999999998</v>
      </c>
      <c r="F154">
        <v>15.493</v>
      </c>
      <c r="G154">
        <v>81.543800000000005</v>
      </c>
      <c r="H154">
        <v>1.5878000000000001</v>
      </c>
    </row>
    <row r="155" spans="1:8" x14ac:dyDescent="0.15">
      <c r="A155" t="s">
        <v>13</v>
      </c>
      <c r="B155">
        <v>2505</v>
      </c>
      <c r="C155">
        <v>19</v>
      </c>
      <c r="D155">
        <v>8.3500000000000005E-2</v>
      </c>
      <c r="E155">
        <v>376.6474</v>
      </c>
      <c r="F155">
        <v>15.497999999999999</v>
      </c>
      <c r="G155">
        <v>81.569000000000003</v>
      </c>
      <c r="H155">
        <v>1.5868</v>
      </c>
    </row>
    <row r="156" spans="1:8" x14ac:dyDescent="0.15">
      <c r="A156" t="s">
        <v>13</v>
      </c>
      <c r="B156">
        <v>2505</v>
      </c>
      <c r="C156">
        <v>19</v>
      </c>
      <c r="D156">
        <v>8.3299999999999999E-2</v>
      </c>
      <c r="E156">
        <v>377.22190000000001</v>
      </c>
      <c r="F156">
        <v>15.522</v>
      </c>
      <c r="G156">
        <v>81.693399999999997</v>
      </c>
      <c r="H156">
        <v>1.5848</v>
      </c>
    </row>
    <row r="157" spans="1:8" x14ac:dyDescent="0.15">
      <c r="A157" t="s">
        <v>13</v>
      </c>
      <c r="B157">
        <v>2505</v>
      </c>
      <c r="C157">
        <v>19</v>
      </c>
      <c r="D157">
        <v>8.3500000000000005E-2</v>
      </c>
      <c r="E157">
        <v>376.55720000000002</v>
      </c>
      <c r="F157">
        <v>15.494</v>
      </c>
      <c r="G157">
        <v>81.549499999999995</v>
      </c>
      <c r="H157">
        <v>1.5878000000000001</v>
      </c>
    </row>
    <row r="158" spans="1:8" x14ac:dyDescent="0.15">
      <c r="A158" t="s">
        <v>13</v>
      </c>
      <c r="B158">
        <v>2505</v>
      </c>
      <c r="C158">
        <v>19</v>
      </c>
      <c r="D158">
        <v>8.3400000000000002E-2</v>
      </c>
      <c r="E158">
        <v>376.9024</v>
      </c>
      <c r="F158">
        <v>15.509</v>
      </c>
      <c r="G158">
        <v>81.624200000000002</v>
      </c>
      <c r="H158">
        <v>1.5868</v>
      </c>
    </row>
    <row r="159" spans="1:8" x14ac:dyDescent="0.15">
      <c r="A159" t="s">
        <v>13</v>
      </c>
      <c r="B159">
        <v>2505</v>
      </c>
      <c r="C159">
        <v>19</v>
      </c>
      <c r="D159">
        <v>8.3299999999999999E-2</v>
      </c>
      <c r="E159">
        <v>377.45530000000002</v>
      </c>
      <c r="F159">
        <v>15.531000000000001</v>
      </c>
      <c r="G159">
        <v>81.744</v>
      </c>
      <c r="H159">
        <v>1.5838000000000001</v>
      </c>
    </row>
    <row r="160" spans="1:8" x14ac:dyDescent="0.15">
      <c r="A160" t="s">
        <v>13</v>
      </c>
      <c r="B160">
        <v>2505</v>
      </c>
      <c r="C160">
        <v>19</v>
      </c>
      <c r="D160">
        <v>8.3599999999999994E-2</v>
      </c>
      <c r="E160">
        <v>376.18279999999999</v>
      </c>
      <c r="F160">
        <v>15.478999999999999</v>
      </c>
      <c r="G160">
        <v>81.468400000000003</v>
      </c>
      <c r="H160">
        <v>1.5898000000000001</v>
      </c>
    </row>
    <row r="161" spans="1:8" x14ac:dyDescent="0.15">
      <c r="A161" t="s">
        <v>13</v>
      </c>
      <c r="B161">
        <v>2505</v>
      </c>
      <c r="C161">
        <v>19</v>
      </c>
      <c r="D161">
        <v>8.3500000000000005E-2</v>
      </c>
      <c r="E161">
        <v>376.5641</v>
      </c>
      <c r="F161">
        <v>15.494999999999999</v>
      </c>
      <c r="G161">
        <v>81.551000000000002</v>
      </c>
      <c r="H161">
        <v>1.5878000000000001</v>
      </c>
    </row>
    <row r="162" spans="1:8" x14ac:dyDescent="0.15">
      <c r="A162" t="s">
        <v>13</v>
      </c>
      <c r="B162">
        <v>2505</v>
      </c>
      <c r="C162">
        <v>19</v>
      </c>
      <c r="D162">
        <v>8.3299999999999999E-2</v>
      </c>
      <c r="E162">
        <v>377.41559999999998</v>
      </c>
      <c r="F162">
        <v>15.53</v>
      </c>
      <c r="G162">
        <v>81.735399999999998</v>
      </c>
      <c r="H162">
        <v>1.5838000000000001</v>
      </c>
    </row>
    <row r="163" spans="1:8" x14ac:dyDescent="0.15">
      <c r="A163" t="s">
        <v>13</v>
      </c>
      <c r="B163">
        <v>2505</v>
      </c>
      <c r="C163">
        <v>19</v>
      </c>
      <c r="D163">
        <v>8.3599999999999994E-2</v>
      </c>
      <c r="E163">
        <v>376.10509999999999</v>
      </c>
      <c r="F163">
        <v>15.476000000000001</v>
      </c>
      <c r="G163">
        <v>81.451599999999999</v>
      </c>
      <c r="H163">
        <v>1.5898000000000001</v>
      </c>
    </row>
    <row r="164" spans="1:8" x14ac:dyDescent="0.15">
      <c r="A164" t="s">
        <v>13</v>
      </c>
      <c r="B164">
        <v>2505</v>
      </c>
      <c r="C164">
        <v>19</v>
      </c>
      <c r="D164">
        <v>8.3599999999999994E-2</v>
      </c>
      <c r="E164">
        <v>376.2176</v>
      </c>
      <c r="F164">
        <v>15.48</v>
      </c>
      <c r="G164">
        <v>81.475999999999999</v>
      </c>
      <c r="H164">
        <v>1.5898000000000001</v>
      </c>
    </row>
    <row r="165" spans="1:8" x14ac:dyDescent="0.15">
      <c r="A165" t="s">
        <v>13</v>
      </c>
      <c r="B165">
        <v>2505</v>
      </c>
      <c r="C165">
        <v>19</v>
      </c>
      <c r="D165">
        <v>8.3299999999999999E-2</v>
      </c>
      <c r="E165">
        <v>377.35820000000001</v>
      </c>
      <c r="F165">
        <v>15.526999999999999</v>
      </c>
      <c r="G165">
        <v>81.722999999999999</v>
      </c>
      <c r="H165">
        <v>1.5838000000000001</v>
      </c>
    </row>
    <row r="166" spans="1:8" x14ac:dyDescent="0.15">
      <c r="A166" t="s">
        <v>13</v>
      </c>
      <c r="B166">
        <v>2505</v>
      </c>
      <c r="C166">
        <v>19</v>
      </c>
      <c r="D166">
        <v>8.3400000000000002E-2</v>
      </c>
      <c r="E166">
        <v>377.03710000000001</v>
      </c>
      <c r="F166">
        <v>15.513999999999999</v>
      </c>
      <c r="G166">
        <v>81.653400000000005</v>
      </c>
      <c r="H166">
        <v>1.5858000000000001</v>
      </c>
    </row>
    <row r="167" spans="1:8" x14ac:dyDescent="0.15">
      <c r="A167" t="s">
        <v>13</v>
      </c>
      <c r="B167">
        <v>2505</v>
      </c>
      <c r="C167">
        <v>19</v>
      </c>
      <c r="D167">
        <v>8.3400000000000002E-2</v>
      </c>
      <c r="E167">
        <v>376.72820000000002</v>
      </c>
      <c r="F167">
        <v>15.500999999999999</v>
      </c>
      <c r="G167">
        <v>81.586500000000001</v>
      </c>
      <c r="H167">
        <v>1.5868</v>
      </c>
    </row>
    <row r="168" spans="1:8" x14ac:dyDescent="0.15">
      <c r="A168" t="s">
        <v>13</v>
      </c>
      <c r="B168">
        <v>2505</v>
      </c>
      <c r="C168">
        <v>19</v>
      </c>
      <c r="D168">
        <v>8.3299999999999999E-2</v>
      </c>
      <c r="E168">
        <v>377.55220000000003</v>
      </c>
      <c r="F168">
        <v>15.535</v>
      </c>
      <c r="G168">
        <v>81.765000000000001</v>
      </c>
      <c r="H168">
        <v>1.5828</v>
      </c>
    </row>
    <row r="169" spans="1:8" x14ac:dyDescent="0.15">
      <c r="A169" t="s">
        <v>13</v>
      </c>
      <c r="B169">
        <v>2505</v>
      </c>
      <c r="C169">
        <v>19</v>
      </c>
      <c r="D169">
        <v>8.6800000000000002E-2</v>
      </c>
      <c r="E169">
        <v>362.27780000000001</v>
      </c>
      <c r="F169">
        <v>14.907</v>
      </c>
      <c r="G169">
        <v>78.457099999999997</v>
      </c>
      <c r="H169">
        <v>1.6467000000000001</v>
      </c>
    </row>
    <row r="170" spans="1:8" x14ac:dyDescent="0.15">
      <c r="A170" t="s">
        <v>13</v>
      </c>
      <c r="B170">
        <v>2505</v>
      </c>
      <c r="C170">
        <v>19</v>
      </c>
      <c r="D170">
        <v>8.3400000000000002E-2</v>
      </c>
      <c r="E170">
        <v>376.92</v>
      </c>
      <c r="F170">
        <v>15.509</v>
      </c>
      <c r="G170">
        <v>81.628100000000003</v>
      </c>
      <c r="H170">
        <v>1.5868</v>
      </c>
    </row>
    <row r="171" spans="1:8" x14ac:dyDescent="0.15">
      <c r="A171" t="s">
        <v>13</v>
      </c>
      <c r="B171">
        <v>2505</v>
      </c>
      <c r="C171">
        <v>19</v>
      </c>
      <c r="D171">
        <v>8.3299999999999999E-2</v>
      </c>
      <c r="E171">
        <v>377.52019999999999</v>
      </c>
      <c r="F171">
        <v>15.534000000000001</v>
      </c>
      <c r="G171">
        <v>81.757999999999996</v>
      </c>
      <c r="H171">
        <v>1.5838000000000001</v>
      </c>
    </row>
    <row r="172" spans="1:8" x14ac:dyDescent="0.15">
      <c r="A172" t="s">
        <v>13</v>
      </c>
      <c r="B172">
        <v>2505</v>
      </c>
      <c r="C172">
        <v>20</v>
      </c>
      <c r="D172">
        <v>0.1573</v>
      </c>
      <c r="E172">
        <v>199.90219999999999</v>
      </c>
      <c r="F172">
        <v>8.2249999999999996</v>
      </c>
      <c r="G172">
        <v>41.127400000000002</v>
      </c>
      <c r="H172">
        <v>2.9904999999999999</v>
      </c>
    </row>
    <row r="173" spans="1:8" x14ac:dyDescent="0.15">
      <c r="A173" t="s">
        <v>13</v>
      </c>
      <c r="B173">
        <v>2505</v>
      </c>
      <c r="C173">
        <v>20</v>
      </c>
      <c r="D173">
        <v>0.15570000000000001</v>
      </c>
      <c r="E173">
        <v>201.86850000000001</v>
      </c>
      <c r="F173">
        <v>8.3059999999999992</v>
      </c>
      <c r="G173">
        <v>41.531999999999996</v>
      </c>
      <c r="H173">
        <v>2.9615999999999998</v>
      </c>
    </row>
    <row r="174" spans="1:8" x14ac:dyDescent="0.15">
      <c r="A174" t="s">
        <v>13</v>
      </c>
      <c r="B174">
        <v>2505</v>
      </c>
      <c r="C174">
        <v>20</v>
      </c>
      <c r="D174">
        <v>0.15559999999999999</v>
      </c>
      <c r="E174">
        <v>202.09399999999999</v>
      </c>
      <c r="F174">
        <v>8.3160000000000007</v>
      </c>
      <c r="G174">
        <v>41.578400000000002</v>
      </c>
      <c r="H174">
        <v>2.9584999999999999</v>
      </c>
    </row>
    <row r="175" spans="1:8" x14ac:dyDescent="0.15">
      <c r="A175" t="s">
        <v>13</v>
      </c>
      <c r="B175">
        <v>2505</v>
      </c>
      <c r="C175">
        <v>20</v>
      </c>
      <c r="D175">
        <v>0.15279999999999999</v>
      </c>
      <c r="E175">
        <v>205.7732</v>
      </c>
      <c r="F175">
        <v>8.4670000000000005</v>
      </c>
      <c r="G175">
        <v>42.335299999999997</v>
      </c>
      <c r="H175">
        <v>2.9056000000000002</v>
      </c>
    </row>
    <row r="176" spans="1:8" x14ac:dyDescent="0.15">
      <c r="A176" t="s">
        <v>13</v>
      </c>
      <c r="B176">
        <v>2505</v>
      </c>
      <c r="C176">
        <v>20</v>
      </c>
      <c r="D176">
        <v>0.15479999999999999</v>
      </c>
      <c r="E176">
        <v>203.06039999999999</v>
      </c>
      <c r="F176">
        <v>8.3550000000000004</v>
      </c>
      <c r="G176">
        <v>41.777200000000001</v>
      </c>
      <c r="H176">
        <v>2.9445000000000001</v>
      </c>
    </row>
    <row r="177" spans="1:8" x14ac:dyDescent="0.15">
      <c r="A177" t="s">
        <v>13</v>
      </c>
      <c r="B177">
        <v>2505</v>
      </c>
      <c r="C177">
        <v>20</v>
      </c>
      <c r="D177">
        <v>0.15240000000000001</v>
      </c>
      <c r="E177">
        <v>206.25389999999999</v>
      </c>
      <c r="F177">
        <v>8.4870000000000001</v>
      </c>
      <c r="G177">
        <v>42.434199999999997</v>
      </c>
      <c r="H177">
        <v>2.8986000000000001</v>
      </c>
    </row>
    <row r="178" spans="1:8" x14ac:dyDescent="0.15">
      <c r="A178" t="s">
        <v>13</v>
      </c>
      <c r="B178">
        <v>2505</v>
      </c>
      <c r="C178">
        <v>20</v>
      </c>
      <c r="D178">
        <v>0.155</v>
      </c>
      <c r="E178">
        <v>202.84229999999999</v>
      </c>
      <c r="F178">
        <v>8.3460000000000001</v>
      </c>
      <c r="G178">
        <v>41.732300000000002</v>
      </c>
      <c r="H178">
        <v>2.9476</v>
      </c>
    </row>
    <row r="179" spans="1:8" x14ac:dyDescent="0.15">
      <c r="A179" t="s">
        <v>13</v>
      </c>
      <c r="B179">
        <v>2505</v>
      </c>
      <c r="C179">
        <v>20</v>
      </c>
      <c r="D179">
        <v>0.15409999999999999</v>
      </c>
      <c r="E179">
        <v>204.01439999999999</v>
      </c>
      <c r="F179">
        <v>8.3949999999999996</v>
      </c>
      <c r="G179">
        <v>41.973500000000001</v>
      </c>
      <c r="H179">
        <v>2.9304999999999999</v>
      </c>
    </row>
    <row r="180" spans="1:8" x14ac:dyDescent="0.15">
      <c r="A180" t="s">
        <v>13</v>
      </c>
      <c r="B180">
        <v>2505</v>
      </c>
      <c r="C180">
        <v>20</v>
      </c>
      <c r="D180">
        <v>0.15590000000000001</v>
      </c>
      <c r="E180">
        <v>201.59200000000001</v>
      </c>
      <c r="F180">
        <v>8.2949999999999999</v>
      </c>
      <c r="G180">
        <v>41.475099999999998</v>
      </c>
      <c r="H180">
        <v>2.9655999999999998</v>
      </c>
    </row>
    <row r="181" spans="1:8" x14ac:dyDescent="0.15">
      <c r="A181" t="s">
        <v>13</v>
      </c>
      <c r="B181">
        <v>2505</v>
      </c>
      <c r="C181">
        <v>20</v>
      </c>
      <c r="D181">
        <v>0.15640000000000001</v>
      </c>
      <c r="E181">
        <v>200.9888</v>
      </c>
      <c r="F181">
        <v>8.27</v>
      </c>
      <c r="G181">
        <v>41.350999999999999</v>
      </c>
      <c r="H181">
        <v>2.9754999999999998</v>
      </c>
    </row>
    <row r="182" spans="1:8" x14ac:dyDescent="0.15">
      <c r="A182" t="s">
        <v>13</v>
      </c>
      <c r="B182">
        <v>2505</v>
      </c>
      <c r="C182">
        <v>20</v>
      </c>
      <c r="D182">
        <v>0.15310000000000001</v>
      </c>
      <c r="E182">
        <v>205.39959999999999</v>
      </c>
      <c r="F182">
        <v>8.452</v>
      </c>
      <c r="G182">
        <v>42.258400000000002</v>
      </c>
      <c r="H182">
        <v>2.9106000000000001</v>
      </c>
    </row>
    <row r="183" spans="1:8" x14ac:dyDescent="0.15">
      <c r="A183" t="s">
        <v>13</v>
      </c>
      <c r="B183">
        <v>2505</v>
      </c>
      <c r="C183">
        <v>20</v>
      </c>
      <c r="D183">
        <v>0.15670000000000001</v>
      </c>
      <c r="E183">
        <v>200.63900000000001</v>
      </c>
      <c r="F183">
        <v>8.2560000000000002</v>
      </c>
      <c r="G183">
        <v>41.279000000000003</v>
      </c>
      <c r="H183">
        <v>2.9794999999999998</v>
      </c>
    </row>
    <row r="184" spans="1:8" x14ac:dyDescent="0.15">
      <c r="A184" t="s">
        <v>13</v>
      </c>
      <c r="B184">
        <v>2505</v>
      </c>
      <c r="C184">
        <v>20</v>
      </c>
      <c r="D184">
        <v>0.14829999999999999</v>
      </c>
      <c r="E184">
        <v>211.9538</v>
      </c>
      <c r="F184">
        <v>8.7210000000000001</v>
      </c>
      <c r="G184">
        <v>43.606900000000003</v>
      </c>
      <c r="H184">
        <v>2.8206000000000002</v>
      </c>
    </row>
    <row r="185" spans="1:8" x14ac:dyDescent="0.15">
      <c r="A185" t="s">
        <v>13</v>
      </c>
      <c r="B185">
        <v>2505</v>
      </c>
      <c r="C185">
        <v>20</v>
      </c>
      <c r="D185">
        <v>0.14949999999999999</v>
      </c>
      <c r="E185">
        <v>210.23849999999999</v>
      </c>
      <c r="F185">
        <v>8.6509999999999998</v>
      </c>
      <c r="G185">
        <v>43.253999999999998</v>
      </c>
      <c r="H185">
        <v>2.8445999999999998</v>
      </c>
    </row>
    <row r="186" spans="1:8" x14ac:dyDescent="0.15">
      <c r="A186" t="s">
        <v>13</v>
      </c>
      <c r="B186">
        <v>2505</v>
      </c>
      <c r="C186">
        <v>20</v>
      </c>
      <c r="D186">
        <v>0.15210000000000001</v>
      </c>
      <c r="E186">
        <v>206.75550000000001</v>
      </c>
      <c r="F186">
        <v>8.5069999999999997</v>
      </c>
      <c r="G186">
        <v>42.537399999999998</v>
      </c>
      <c r="H186">
        <v>2.8915999999999999</v>
      </c>
    </row>
    <row r="187" spans="1:8" x14ac:dyDescent="0.15">
      <c r="A187" t="s">
        <v>13</v>
      </c>
      <c r="B187">
        <v>2505</v>
      </c>
      <c r="C187">
        <v>20</v>
      </c>
      <c r="D187">
        <v>0.1474</v>
      </c>
      <c r="E187">
        <v>213.32570000000001</v>
      </c>
      <c r="F187">
        <v>8.7780000000000005</v>
      </c>
      <c r="G187">
        <v>43.889099999999999</v>
      </c>
      <c r="H187">
        <v>2.8026</v>
      </c>
    </row>
    <row r="188" spans="1:8" x14ac:dyDescent="0.15">
      <c r="A188" t="s">
        <v>13</v>
      </c>
      <c r="B188">
        <v>2505</v>
      </c>
      <c r="C188">
        <v>20</v>
      </c>
      <c r="D188">
        <v>0.15490000000000001</v>
      </c>
      <c r="E188">
        <v>202.9118</v>
      </c>
      <c r="F188">
        <v>8.3490000000000002</v>
      </c>
      <c r="G188">
        <v>41.746600000000001</v>
      </c>
      <c r="H188">
        <v>2.9464999999999999</v>
      </c>
    </row>
    <row r="189" spans="1:8" x14ac:dyDescent="0.15">
      <c r="A189" t="s">
        <v>13</v>
      </c>
      <c r="B189">
        <v>2505</v>
      </c>
      <c r="C189">
        <v>20</v>
      </c>
      <c r="D189">
        <v>0.1492</v>
      </c>
      <c r="E189">
        <v>210.77690000000001</v>
      </c>
      <c r="F189">
        <v>8.673</v>
      </c>
      <c r="G189">
        <v>43.364800000000002</v>
      </c>
      <c r="H189">
        <v>2.8365999999999998</v>
      </c>
    </row>
    <row r="190" spans="1:8" x14ac:dyDescent="0.15">
      <c r="A190" t="s">
        <v>13</v>
      </c>
      <c r="B190">
        <v>2505</v>
      </c>
      <c r="C190">
        <v>20</v>
      </c>
      <c r="D190">
        <v>0.14849999999999999</v>
      </c>
      <c r="E190">
        <v>211.69460000000001</v>
      </c>
      <c r="F190">
        <v>8.7110000000000003</v>
      </c>
      <c r="G190">
        <v>43.553600000000003</v>
      </c>
      <c r="H190">
        <v>2.8235999999999999</v>
      </c>
    </row>
    <row r="191" spans="1:8" x14ac:dyDescent="0.15">
      <c r="A191" t="s">
        <v>13</v>
      </c>
      <c r="B191">
        <v>2505</v>
      </c>
      <c r="C191">
        <v>20</v>
      </c>
      <c r="D191">
        <v>0.15390000000000001</v>
      </c>
      <c r="E191">
        <v>204.2783</v>
      </c>
      <c r="F191">
        <v>8.4060000000000006</v>
      </c>
      <c r="G191">
        <v>42.027799999999999</v>
      </c>
      <c r="H191">
        <v>2.9276</v>
      </c>
    </row>
    <row r="192" spans="1:8" x14ac:dyDescent="0.15">
      <c r="A192" t="s">
        <v>13</v>
      </c>
      <c r="B192">
        <v>2505</v>
      </c>
      <c r="C192">
        <v>20</v>
      </c>
      <c r="D192">
        <v>0.14949999999999999</v>
      </c>
      <c r="E192">
        <v>210.2312</v>
      </c>
      <c r="F192">
        <v>8.65</v>
      </c>
      <c r="G192">
        <v>43.252499999999998</v>
      </c>
      <c r="H192">
        <v>2.8435999999999999</v>
      </c>
    </row>
    <row r="193" spans="1:8" x14ac:dyDescent="0.15">
      <c r="A193" t="s">
        <v>13</v>
      </c>
      <c r="B193">
        <v>2505</v>
      </c>
      <c r="C193">
        <v>20</v>
      </c>
      <c r="D193">
        <v>0.15440000000000001</v>
      </c>
      <c r="E193">
        <v>203.60470000000001</v>
      </c>
      <c r="F193">
        <v>8.3780000000000001</v>
      </c>
      <c r="G193">
        <v>41.889200000000002</v>
      </c>
      <c r="H193">
        <v>2.9365999999999999</v>
      </c>
    </row>
    <row r="194" spans="1:8" x14ac:dyDescent="0.15">
      <c r="A194" t="s">
        <v>13</v>
      </c>
      <c r="B194">
        <v>2505</v>
      </c>
      <c r="C194">
        <v>20</v>
      </c>
      <c r="D194">
        <v>0.15490000000000001</v>
      </c>
      <c r="E194">
        <v>202.98269999999999</v>
      </c>
      <c r="F194">
        <v>8.3520000000000003</v>
      </c>
      <c r="G194">
        <v>41.761200000000002</v>
      </c>
      <c r="H194">
        <v>2.9455</v>
      </c>
    </row>
    <row r="195" spans="1:8" x14ac:dyDescent="0.15">
      <c r="A195" t="s">
        <v>13</v>
      </c>
      <c r="B195">
        <v>2505</v>
      </c>
      <c r="C195">
        <v>20</v>
      </c>
      <c r="D195">
        <v>0.14979999999999999</v>
      </c>
      <c r="E195">
        <v>209.8048</v>
      </c>
      <c r="F195">
        <v>8.6329999999999991</v>
      </c>
      <c r="G195">
        <v>43.1648</v>
      </c>
      <c r="H195">
        <v>2.8496000000000001</v>
      </c>
    </row>
    <row r="196" spans="1:8" x14ac:dyDescent="0.15">
      <c r="A196" t="s">
        <v>13</v>
      </c>
      <c r="B196">
        <v>2505</v>
      </c>
      <c r="C196">
        <v>20</v>
      </c>
      <c r="D196">
        <v>0.1527</v>
      </c>
      <c r="E196">
        <v>205.8528</v>
      </c>
      <c r="F196">
        <v>8.4700000000000006</v>
      </c>
      <c r="G196">
        <v>42.351700000000001</v>
      </c>
      <c r="H196">
        <v>2.9045999999999998</v>
      </c>
    </row>
    <row r="197" spans="1:8" x14ac:dyDescent="0.15">
      <c r="A197" t="s">
        <v>13</v>
      </c>
      <c r="B197">
        <v>2505</v>
      </c>
      <c r="C197">
        <v>20</v>
      </c>
      <c r="D197">
        <v>0.152</v>
      </c>
      <c r="E197">
        <v>206.85390000000001</v>
      </c>
      <c r="F197">
        <v>8.5120000000000005</v>
      </c>
      <c r="G197">
        <v>42.557600000000001</v>
      </c>
      <c r="H197">
        <v>2.8904999999999998</v>
      </c>
    </row>
    <row r="198" spans="1:8" x14ac:dyDescent="0.15">
      <c r="A198" t="s">
        <v>13</v>
      </c>
      <c r="B198">
        <v>2505</v>
      </c>
      <c r="C198">
        <v>20</v>
      </c>
      <c r="D198">
        <v>0.15340000000000001</v>
      </c>
      <c r="E198">
        <v>204.96279999999999</v>
      </c>
      <c r="F198">
        <v>8.4339999999999993</v>
      </c>
      <c r="G198">
        <v>42.168599999999998</v>
      </c>
      <c r="H198">
        <v>2.9165999999999999</v>
      </c>
    </row>
    <row r="199" spans="1:8" x14ac:dyDescent="0.15">
      <c r="A199" t="s">
        <v>13</v>
      </c>
      <c r="B199">
        <v>2505</v>
      </c>
      <c r="C199">
        <v>20</v>
      </c>
      <c r="D199">
        <v>0.1525</v>
      </c>
      <c r="E199">
        <v>206.17939999999999</v>
      </c>
      <c r="F199">
        <v>8.484</v>
      </c>
      <c r="G199">
        <v>42.418900000000001</v>
      </c>
      <c r="H199">
        <v>2.8996</v>
      </c>
    </row>
    <row r="200" spans="1:8" x14ac:dyDescent="0.15">
      <c r="A200" t="s">
        <v>13</v>
      </c>
      <c r="B200">
        <v>2505</v>
      </c>
      <c r="C200">
        <v>20</v>
      </c>
      <c r="D200">
        <v>0.15720000000000001</v>
      </c>
      <c r="E200">
        <v>200.0343</v>
      </c>
      <c r="F200">
        <v>8.2309999999999999</v>
      </c>
      <c r="G200">
        <v>41.154600000000002</v>
      </c>
      <c r="H200">
        <v>2.9885000000000002</v>
      </c>
    </row>
    <row r="201" spans="1:8" x14ac:dyDescent="0.15">
      <c r="A201" t="s">
        <v>13</v>
      </c>
      <c r="B201">
        <v>2505</v>
      </c>
      <c r="C201">
        <v>20</v>
      </c>
      <c r="D201">
        <v>0.1492</v>
      </c>
      <c r="E201">
        <v>210.7311</v>
      </c>
      <c r="F201">
        <v>8.6709999999999994</v>
      </c>
      <c r="G201">
        <v>43.3553</v>
      </c>
      <c r="H201">
        <v>2.8376000000000001</v>
      </c>
    </row>
    <row r="202" spans="1:8" x14ac:dyDescent="0.15">
      <c r="A202" t="s">
        <v>13</v>
      </c>
      <c r="B202">
        <v>2505</v>
      </c>
      <c r="C202">
        <v>20</v>
      </c>
      <c r="D202">
        <v>0.1522</v>
      </c>
      <c r="E202">
        <v>206.5461</v>
      </c>
      <c r="F202">
        <v>8.4990000000000006</v>
      </c>
      <c r="G202">
        <v>42.494300000000003</v>
      </c>
      <c r="H202">
        <v>2.8936000000000002</v>
      </c>
    </row>
    <row r="203" spans="1:8" x14ac:dyDescent="0.15">
      <c r="A203" t="s">
        <v>13</v>
      </c>
      <c r="B203">
        <v>2505</v>
      </c>
      <c r="C203">
        <v>20</v>
      </c>
      <c r="D203">
        <v>0.14660000000000001</v>
      </c>
      <c r="E203">
        <v>214.3784</v>
      </c>
      <c r="F203">
        <v>8.8209999999999997</v>
      </c>
      <c r="G203">
        <v>44.105699999999999</v>
      </c>
      <c r="H203">
        <v>2.7875999999999999</v>
      </c>
    </row>
    <row r="204" spans="1:8" x14ac:dyDescent="0.15">
      <c r="A204" t="s">
        <v>13</v>
      </c>
      <c r="B204">
        <v>2505</v>
      </c>
      <c r="C204">
        <v>20</v>
      </c>
      <c r="D204">
        <v>0.14949999999999999</v>
      </c>
      <c r="E204">
        <v>210.23560000000001</v>
      </c>
      <c r="F204">
        <v>8.6509999999999998</v>
      </c>
      <c r="G204">
        <v>43.253399999999999</v>
      </c>
      <c r="H204">
        <v>2.8445999999999998</v>
      </c>
    </row>
    <row r="205" spans="1:8" x14ac:dyDescent="0.15">
      <c r="A205" t="s">
        <v>13</v>
      </c>
      <c r="B205">
        <v>2505</v>
      </c>
      <c r="C205">
        <v>20</v>
      </c>
      <c r="D205">
        <v>0.14849999999999999</v>
      </c>
      <c r="E205">
        <v>211.76509999999999</v>
      </c>
      <c r="F205">
        <v>8.7140000000000004</v>
      </c>
      <c r="G205">
        <v>43.568100000000001</v>
      </c>
      <c r="H205">
        <v>2.8226</v>
      </c>
    </row>
    <row r="206" spans="1:8" x14ac:dyDescent="0.15">
      <c r="A206" t="s">
        <v>13</v>
      </c>
      <c r="B206">
        <v>2505</v>
      </c>
      <c r="C206">
        <v>20</v>
      </c>
      <c r="D206">
        <v>0.1497</v>
      </c>
      <c r="E206">
        <v>209.99510000000001</v>
      </c>
      <c r="F206">
        <v>8.641</v>
      </c>
      <c r="G206">
        <v>43.203899999999997</v>
      </c>
      <c r="H206">
        <v>2.8475999999999999</v>
      </c>
    </row>
    <row r="207" spans="1:8" x14ac:dyDescent="0.15">
      <c r="A207" t="s">
        <v>13</v>
      </c>
      <c r="B207">
        <v>2505</v>
      </c>
      <c r="C207">
        <v>20</v>
      </c>
      <c r="D207">
        <v>0.1547</v>
      </c>
      <c r="E207">
        <v>203.2372</v>
      </c>
      <c r="F207">
        <v>8.3629999999999995</v>
      </c>
      <c r="G207">
        <v>41.813600000000001</v>
      </c>
      <c r="H207">
        <v>2.9415</v>
      </c>
    </row>
    <row r="208" spans="1:8" x14ac:dyDescent="0.15">
      <c r="A208" t="s">
        <v>13</v>
      </c>
      <c r="B208">
        <v>2505</v>
      </c>
      <c r="C208">
        <v>20</v>
      </c>
      <c r="D208">
        <v>0.14949999999999999</v>
      </c>
      <c r="E208">
        <v>210.27269999999999</v>
      </c>
      <c r="F208">
        <v>8.6519999999999992</v>
      </c>
      <c r="G208">
        <v>43.261000000000003</v>
      </c>
      <c r="H208">
        <v>2.8435999999999999</v>
      </c>
    </row>
    <row r="209" spans="1:8" x14ac:dyDescent="0.15">
      <c r="A209" t="s">
        <v>13</v>
      </c>
      <c r="B209">
        <v>2505</v>
      </c>
      <c r="C209">
        <v>20</v>
      </c>
      <c r="D209">
        <v>0.1484</v>
      </c>
      <c r="E209">
        <v>211.8792</v>
      </c>
      <c r="F209">
        <v>8.718</v>
      </c>
      <c r="G209">
        <v>43.5916</v>
      </c>
      <c r="H209">
        <v>2.8216000000000001</v>
      </c>
    </row>
    <row r="210" spans="1:8" x14ac:dyDescent="0.15">
      <c r="A210" t="s">
        <v>13</v>
      </c>
      <c r="B210">
        <v>2505</v>
      </c>
      <c r="C210">
        <v>20</v>
      </c>
      <c r="D210">
        <v>0.15429999999999999</v>
      </c>
      <c r="E210">
        <v>203.7039</v>
      </c>
      <c r="F210">
        <v>8.3819999999999997</v>
      </c>
      <c r="G210">
        <v>41.909599999999998</v>
      </c>
      <c r="H210">
        <v>2.9355000000000002</v>
      </c>
    </row>
    <row r="211" spans="1:8" x14ac:dyDescent="0.15">
      <c r="A211" t="s">
        <v>13</v>
      </c>
      <c r="B211">
        <v>2505</v>
      </c>
      <c r="C211">
        <v>20</v>
      </c>
      <c r="D211">
        <v>0.14749999999999999</v>
      </c>
      <c r="E211">
        <v>213.09530000000001</v>
      </c>
      <c r="F211">
        <v>8.7680000000000007</v>
      </c>
      <c r="G211">
        <v>43.841700000000003</v>
      </c>
      <c r="H211">
        <v>2.8056000000000001</v>
      </c>
    </row>
    <row r="212" spans="1:8" x14ac:dyDescent="0.15">
      <c r="A212" t="s">
        <v>13</v>
      </c>
      <c r="B212">
        <v>2505</v>
      </c>
      <c r="C212">
        <v>20</v>
      </c>
      <c r="D212">
        <v>0.155</v>
      </c>
      <c r="E212">
        <v>202.81610000000001</v>
      </c>
      <c r="F212">
        <v>8.3450000000000006</v>
      </c>
      <c r="G212">
        <v>41.726900000000001</v>
      </c>
      <c r="H212">
        <v>2.9476</v>
      </c>
    </row>
    <row r="213" spans="1:8" x14ac:dyDescent="0.15">
      <c r="A213" t="s">
        <v>13</v>
      </c>
      <c r="B213">
        <v>2505</v>
      </c>
      <c r="C213">
        <v>20</v>
      </c>
      <c r="D213">
        <v>0.1512</v>
      </c>
      <c r="E213">
        <v>207.91800000000001</v>
      </c>
      <c r="F213">
        <v>8.5549999999999997</v>
      </c>
      <c r="G213">
        <v>42.776600000000002</v>
      </c>
      <c r="H213">
        <v>2.8755999999999999</v>
      </c>
    </row>
    <row r="214" spans="1:8" x14ac:dyDescent="0.15">
      <c r="A214" t="s">
        <v>13</v>
      </c>
      <c r="B214">
        <v>2505</v>
      </c>
      <c r="C214">
        <v>20</v>
      </c>
      <c r="D214">
        <v>0.15359999999999999</v>
      </c>
      <c r="E214">
        <v>204.71789999999999</v>
      </c>
      <c r="F214">
        <v>8.4239999999999995</v>
      </c>
      <c r="G214">
        <v>42.118200000000002</v>
      </c>
      <c r="H214">
        <v>2.9205999999999999</v>
      </c>
    </row>
    <row r="215" spans="1:8" x14ac:dyDescent="0.15">
      <c r="A215" t="s">
        <v>13</v>
      </c>
      <c r="B215">
        <v>2505</v>
      </c>
      <c r="C215">
        <v>20</v>
      </c>
      <c r="D215">
        <v>0.15310000000000001</v>
      </c>
      <c r="E215">
        <v>205.3169</v>
      </c>
      <c r="F215">
        <v>8.4480000000000004</v>
      </c>
      <c r="G215">
        <v>42.241399999999999</v>
      </c>
      <c r="H215">
        <v>2.9125999999999999</v>
      </c>
    </row>
    <row r="216" spans="1:8" x14ac:dyDescent="0.15">
      <c r="A216" t="s">
        <v>13</v>
      </c>
      <c r="B216">
        <v>2505</v>
      </c>
      <c r="C216">
        <v>20</v>
      </c>
      <c r="D216">
        <v>0.15129999999999999</v>
      </c>
      <c r="E216">
        <v>207.77029999999999</v>
      </c>
      <c r="F216">
        <v>8.5489999999999995</v>
      </c>
      <c r="G216">
        <v>42.746200000000002</v>
      </c>
      <c r="H216">
        <v>2.8776000000000002</v>
      </c>
    </row>
    <row r="217" spans="1:8" x14ac:dyDescent="0.15">
      <c r="A217" t="s">
        <v>13</v>
      </c>
      <c r="B217">
        <v>2505</v>
      </c>
      <c r="C217">
        <v>20</v>
      </c>
      <c r="D217">
        <v>0.153</v>
      </c>
      <c r="E217">
        <v>205.4118</v>
      </c>
      <c r="F217">
        <v>8.452</v>
      </c>
      <c r="G217">
        <v>42.261000000000003</v>
      </c>
      <c r="H217">
        <v>2.9106000000000001</v>
      </c>
    </row>
    <row r="218" spans="1:8" x14ac:dyDescent="0.15">
      <c r="A218" t="s">
        <v>13</v>
      </c>
      <c r="B218">
        <v>2505</v>
      </c>
      <c r="C218">
        <v>20</v>
      </c>
      <c r="D218">
        <v>0.15640000000000001</v>
      </c>
      <c r="E218">
        <v>200.98390000000001</v>
      </c>
      <c r="F218">
        <v>8.27</v>
      </c>
      <c r="G218">
        <v>41.35</v>
      </c>
      <c r="H218">
        <v>2.9744999999999999</v>
      </c>
    </row>
    <row r="219" spans="1:8" x14ac:dyDescent="0.15">
      <c r="A219" t="s">
        <v>13</v>
      </c>
      <c r="B219">
        <v>2505</v>
      </c>
      <c r="C219">
        <v>20</v>
      </c>
      <c r="D219">
        <v>0.15440000000000001</v>
      </c>
      <c r="E219">
        <v>203.64400000000001</v>
      </c>
      <c r="F219">
        <v>8.3789999999999996</v>
      </c>
      <c r="G219">
        <v>41.897300000000001</v>
      </c>
      <c r="H219">
        <v>2.9356</v>
      </c>
    </row>
    <row r="220" spans="1:8" x14ac:dyDescent="0.15">
      <c r="A220" t="s">
        <v>13</v>
      </c>
      <c r="B220">
        <v>2505</v>
      </c>
      <c r="C220">
        <v>20</v>
      </c>
      <c r="D220">
        <v>0.1527</v>
      </c>
      <c r="E220">
        <v>205.83240000000001</v>
      </c>
      <c r="F220">
        <v>8.4689999999999994</v>
      </c>
      <c r="G220">
        <v>42.347499999999997</v>
      </c>
      <c r="H220">
        <v>2.9055</v>
      </c>
    </row>
    <row r="221" spans="1:8" x14ac:dyDescent="0.15">
      <c r="A221" t="s">
        <v>13</v>
      </c>
      <c r="B221">
        <v>2505</v>
      </c>
      <c r="C221">
        <v>20</v>
      </c>
      <c r="D221">
        <v>0.15509999999999999</v>
      </c>
      <c r="E221">
        <v>202.70609999999999</v>
      </c>
      <c r="F221">
        <v>8.3409999999999993</v>
      </c>
      <c r="G221">
        <v>41.704300000000003</v>
      </c>
      <c r="H221">
        <v>2.9496000000000002</v>
      </c>
    </row>
    <row r="222" spans="1:8" x14ac:dyDescent="0.15">
      <c r="A222" t="s">
        <v>13</v>
      </c>
      <c r="B222">
        <v>2505</v>
      </c>
      <c r="C222">
        <v>20</v>
      </c>
      <c r="D222">
        <v>0.15459999999999999</v>
      </c>
      <c r="E222">
        <v>203.38200000000001</v>
      </c>
      <c r="F222">
        <v>8.3689999999999998</v>
      </c>
      <c r="G222">
        <v>41.843400000000003</v>
      </c>
      <c r="H222">
        <v>2.9396</v>
      </c>
    </row>
    <row r="223" spans="1:8" x14ac:dyDescent="0.15">
      <c r="A223" t="s">
        <v>13</v>
      </c>
      <c r="B223">
        <v>2510</v>
      </c>
      <c r="C223">
        <v>1</v>
      </c>
      <c r="D223">
        <v>1.2901</v>
      </c>
      <c r="E223">
        <v>24.513999999999999</v>
      </c>
      <c r="F223">
        <v>1</v>
      </c>
      <c r="G223">
        <v>100</v>
      </c>
      <c r="H223">
        <v>1.2907999999999999</v>
      </c>
    </row>
    <row r="224" spans="1:8" x14ac:dyDescent="0.15">
      <c r="A224" t="s">
        <v>13</v>
      </c>
      <c r="B224">
        <v>2510</v>
      </c>
      <c r="C224">
        <v>1</v>
      </c>
      <c r="D224">
        <v>1.2782</v>
      </c>
      <c r="E224">
        <v>24.742899999999999</v>
      </c>
      <c r="F224">
        <v>1.0089999999999999</v>
      </c>
      <c r="G224">
        <v>100.93380000000001</v>
      </c>
      <c r="H224">
        <v>1.2798</v>
      </c>
    </row>
    <row r="225" spans="1:8" x14ac:dyDescent="0.15">
      <c r="A225" t="s">
        <v>13</v>
      </c>
      <c r="B225">
        <v>2510</v>
      </c>
      <c r="C225">
        <v>1</v>
      </c>
      <c r="D225">
        <v>1.2797000000000001</v>
      </c>
      <c r="E225">
        <v>24.714600000000001</v>
      </c>
      <c r="F225">
        <v>1.008</v>
      </c>
      <c r="G225">
        <v>100.8184</v>
      </c>
      <c r="H225">
        <v>1.2807999999999999</v>
      </c>
    </row>
    <row r="226" spans="1:8" x14ac:dyDescent="0.15">
      <c r="A226" t="s">
        <v>13</v>
      </c>
      <c r="B226">
        <v>2510</v>
      </c>
      <c r="C226">
        <v>1</v>
      </c>
      <c r="D226">
        <v>1.2767999999999999</v>
      </c>
      <c r="E226">
        <v>24.769200000000001</v>
      </c>
      <c r="F226">
        <v>1.01</v>
      </c>
      <c r="G226">
        <v>101.0412</v>
      </c>
      <c r="H226">
        <v>1.2778</v>
      </c>
    </row>
    <row r="227" spans="1:8" x14ac:dyDescent="0.15">
      <c r="A227" t="s">
        <v>13</v>
      </c>
      <c r="B227">
        <v>2510</v>
      </c>
      <c r="C227">
        <v>1</v>
      </c>
      <c r="D227">
        <v>1.2783</v>
      </c>
      <c r="E227">
        <v>24.7407</v>
      </c>
      <c r="F227">
        <v>1.0089999999999999</v>
      </c>
      <c r="G227">
        <v>100.925</v>
      </c>
      <c r="H227">
        <v>1.2787999999999999</v>
      </c>
    </row>
    <row r="228" spans="1:8" x14ac:dyDescent="0.15">
      <c r="A228" t="s">
        <v>13</v>
      </c>
      <c r="B228">
        <v>2510</v>
      </c>
      <c r="C228">
        <v>1</v>
      </c>
      <c r="D228">
        <v>1.2804</v>
      </c>
      <c r="E228">
        <v>24.700800000000001</v>
      </c>
      <c r="F228">
        <v>1.008</v>
      </c>
      <c r="G228">
        <v>100.7621</v>
      </c>
      <c r="H228">
        <v>1.2827999999999999</v>
      </c>
    </row>
    <row r="229" spans="1:8" x14ac:dyDescent="0.15">
      <c r="A229" t="s">
        <v>13</v>
      </c>
      <c r="B229">
        <v>2510</v>
      </c>
      <c r="C229">
        <v>19</v>
      </c>
      <c r="D229">
        <v>8.4599999999999995E-2</v>
      </c>
      <c r="E229">
        <v>373.86219999999997</v>
      </c>
      <c r="F229">
        <v>15.250999999999999</v>
      </c>
      <c r="G229">
        <v>80.2684</v>
      </c>
      <c r="H229">
        <v>1.6077999999999999</v>
      </c>
    </row>
    <row r="230" spans="1:8" x14ac:dyDescent="0.15">
      <c r="A230" t="s">
        <v>13</v>
      </c>
      <c r="B230">
        <v>2510</v>
      </c>
      <c r="C230">
        <v>19</v>
      </c>
      <c r="D230">
        <v>8.3299999999999999E-2</v>
      </c>
      <c r="E230">
        <v>379.62180000000001</v>
      </c>
      <c r="F230">
        <v>15.486000000000001</v>
      </c>
      <c r="G230">
        <v>81.504999999999995</v>
      </c>
      <c r="H230">
        <v>1.5838000000000001</v>
      </c>
    </row>
    <row r="231" spans="1:8" x14ac:dyDescent="0.15">
      <c r="A231" t="s">
        <v>13</v>
      </c>
      <c r="B231">
        <v>2510</v>
      </c>
      <c r="C231">
        <v>19</v>
      </c>
      <c r="D231">
        <v>8.3099999999999993E-2</v>
      </c>
      <c r="E231">
        <v>380.51089999999999</v>
      </c>
      <c r="F231">
        <v>15.522</v>
      </c>
      <c r="G231">
        <v>81.695800000000006</v>
      </c>
      <c r="H231">
        <v>1.5808</v>
      </c>
    </row>
    <row r="232" spans="1:8" x14ac:dyDescent="0.15">
      <c r="A232" t="s">
        <v>13</v>
      </c>
      <c r="B232">
        <v>2510</v>
      </c>
      <c r="C232">
        <v>19</v>
      </c>
      <c r="D232">
        <v>8.3299999999999999E-2</v>
      </c>
      <c r="E232">
        <v>379.77280000000002</v>
      </c>
      <c r="F232">
        <v>15.492000000000001</v>
      </c>
      <c r="G232">
        <v>81.537400000000005</v>
      </c>
      <c r="H232">
        <v>1.5838000000000001</v>
      </c>
    </row>
    <row r="233" spans="1:8" x14ac:dyDescent="0.15">
      <c r="A233" t="s">
        <v>13</v>
      </c>
      <c r="B233">
        <v>2510</v>
      </c>
      <c r="C233">
        <v>19</v>
      </c>
      <c r="D233">
        <v>8.3299999999999999E-2</v>
      </c>
      <c r="E233">
        <v>379.83789999999999</v>
      </c>
      <c r="F233">
        <v>15.494999999999999</v>
      </c>
      <c r="G233">
        <v>81.551400000000001</v>
      </c>
      <c r="H233">
        <v>1.5838000000000001</v>
      </c>
    </row>
    <row r="234" spans="1:8" x14ac:dyDescent="0.15">
      <c r="A234" t="s">
        <v>13</v>
      </c>
      <c r="B234">
        <v>2510</v>
      </c>
      <c r="C234">
        <v>19</v>
      </c>
      <c r="D234">
        <v>8.2900000000000001E-2</v>
      </c>
      <c r="E234">
        <v>381.4384</v>
      </c>
      <c r="F234">
        <v>15.56</v>
      </c>
      <c r="G234">
        <v>81.894999999999996</v>
      </c>
      <c r="H234">
        <v>1.5768</v>
      </c>
    </row>
    <row r="235" spans="1:8" x14ac:dyDescent="0.15">
      <c r="A235" t="s">
        <v>13</v>
      </c>
      <c r="B235">
        <v>2510</v>
      </c>
      <c r="C235">
        <v>19</v>
      </c>
      <c r="D235">
        <v>8.3299999999999999E-2</v>
      </c>
      <c r="E235">
        <v>379.68169999999998</v>
      </c>
      <c r="F235">
        <v>15.488</v>
      </c>
      <c r="G235">
        <v>81.517799999999994</v>
      </c>
      <c r="H235">
        <v>1.5848</v>
      </c>
    </row>
    <row r="236" spans="1:8" x14ac:dyDescent="0.15">
      <c r="A236" t="s">
        <v>13</v>
      </c>
      <c r="B236">
        <v>2510</v>
      </c>
      <c r="C236">
        <v>19</v>
      </c>
      <c r="D236">
        <v>8.3199999999999996E-2</v>
      </c>
      <c r="E236">
        <v>380.14019999999999</v>
      </c>
      <c r="F236">
        <v>15.507</v>
      </c>
      <c r="G236">
        <v>81.616200000000006</v>
      </c>
      <c r="H236">
        <v>1.5818000000000001</v>
      </c>
    </row>
    <row r="237" spans="1:8" x14ac:dyDescent="0.15">
      <c r="A237" t="s">
        <v>13</v>
      </c>
      <c r="B237">
        <v>2510</v>
      </c>
      <c r="C237">
        <v>19</v>
      </c>
      <c r="D237">
        <v>8.3099999999999993E-2</v>
      </c>
      <c r="E237">
        <v>380.48059999999998</v>
      </c>
      <c r="F237">
        <v>15.521000000000001</v>
      </c>
      <c r="G237">
        <v>81.689300000000003</v>
      </c>
      <c r="H237">
        <v>1.5808</v>
      </c>
    </row>
    <row r="238" spans="1:8" x14ac:dyDescent="0.15">
      <c r="A238" t="s">
        <v>13</v>
      </c>
      <c r="B238">
        <v>2510</v>
      </c>
      <c r="C238">
        <v>19</v>
      </c>
      <c r="D238">
        <v>8.3400000000000002E-2</v>
      </c>
      <c r="E238">
        <v>379.34609999999998</v>
      </c>
      <c r="F238">
        <v>15.475</v>
      </c>
      <c r="G238">
        <v>81.445700000000002</v>
      </c>
      <c r="H238">
        <v>1.5848</v>
      </c>
    </row>
    <row r="239" spans="1:8" x14ac:dyDescent="0.15">
      <c r="A239" t="s">
        <v>13</v>
      </c>
      <c r="B239">
        <v>2510</v>
      </c>
      <c r="C239">
        <v>19</v>
      </c>
      <c r="D239">
        <v>8.3199999999999996E-2</v>
      </c>
      <c r="E239">
        <v>380.14679999999998</v>
      </c>
      <c r="F239">
        <v>15.507</v>
      </c>
      <c r="G239">
        <v>81.617699999999999</v>
      </c>
      <c r="H239">
        <v>1.5828</v>
      </c>
    </row>
    <row r="240" spans="1:8" x14ac:dyDescent="0.15">
      <c r="A240" t="s">
        <v>13</v>
      </c>
      <c r="B240">
        <v>2510</v>
      </c>
      <c r="C240">
        <v>19</v>
      </c>
      <c r="D240">
        <v>8.3000000000000004E-2</v>
      </c>
      <c r="E240">
        <v>381.25760000000002</v>
      </c>
      <c r="F240">
        <v>15.553000000000001</v>
      </c>
      <c r="G240">
        <v>81.856200000000001</v>
      </c>
      <c r="H240">
        <v>1.5768</v>
      </c>
    </row>
    <row r="241" spans="1:8" x14ac:dyDescent="0.15">
      <c r="A241" t="s">
        <v>13</v>
      </c>
      <c r="B241">
        <v>2510</v>
      </c>
      <c r="C241">
        <v>19</v>
      </c>
      <c r="D241">
        <v>8.3199999999999996E-2</v>
      </c>
      <c r="E241">
        <v>380.05270000000002</v>
      </c>
      <c r="F241">
        <v>15.504</v>
      </c>
      <c r="G241">
        <v>81.597499999999997</v>
      </c>
      <c r="H241">
        <v>1.5828</v>
      </c>
    </row>
    <row r="242" spans="1:8" x14ac:dyDescent="0.15">
      <c r="A242" t="s">
        <v>13</v>
      </c>
      <c r="B242">
        <v>2510</v>
      </c>
      <c r="C242">
        <v>19</v>
      </c>
      <c r="D242">
        <v>8.3299999999999999E-2</v>
      </c>
      <c r="E242">
        <v>379.7158</v>
      </c>
      <c r="F242">
        <v>15.49</v>
      </c>
      <c r="G242">
        <v>81.525099999999995</v>
      </c>
      <c r="H242">
        <v>1.5838000000000001</v>
      </c>
    </row>
    <row r="243" spans="1:8" x14ac:dyDescent="0.15">
      <c r="A243" t="s">
        <v>13</v>
      </c>
      <c r="B243">
        <v>2510</v>
      </c>
      <c r="C243">
        <v>19</v>
      </c>
      <c r="D243">
        <v>8.3099999999999993E-2</v>
      </c>
      <c r="E243">
        <v>380.41640000000001</v>
      </c>
      <c r="F243">
        <v>15.518000000000001</v>
      </c>
      <c r="G243">
        <v>81.675600000000003</v>
      </c>
      <c r="H243">
        <v>1.5818000000000001</v>
      </c>
    </row>
    <row r="244" spans="1:8" x14ac:dyDescent="0.15">
      <c r="A244" t="s">
        <v>13</v>
      </c>
      <c r="B244">
        <v>2510</v>
      </c>
      <c r="C244">
        <v>19</v>
      </c>
      <c r="D244">
        <v>8.3199999999999996E-2</v>
      </c>
      <c r="E244">
        <v>380.18950000000001</v>
      </c>
      <c r="F244">
        <v>15.509</v>
      </c>
      <c r="G244">
        <v>81.626800000000003</v>
      </c>
      <c r="H244">
        <v>1.5818000000000001</v>
      </c>
    </row>
    <row r="245" spans="1:8" x14ac:dyDescent="0.15">
      <c r="A245" t="s">
        <v>13</v>
      </c>
      <c r="B245">
        <v>2510</v>
      </c>
      <c r="C245">
        <v>19</v>
      </c>
      <c r="D245">
        <v>8.3199999999999996E-2</v>
      </c>
      <c r="E245">
        <v>380.26179999999999</v>
      </c>
      <c r="F245">
        <v>15.512</v>
      </c>
      <c r="G245">
        <v>81.642399999999995</v>
      </c>
      <c r="H245">
        <v>1.5818000000000001</v>
      </c>
    </row>
    <row r="246" spans="1:8" x14ac:dyDescent="0.15">
      <c r="A246" t="s">
        <v>13</v>
      </c>
      <c r="B246">
        <v>2510</v>
      </c>
      <c r="C246">
        <v>19</v>
      </c>
      <c r="D246">
        <v>8.2799999999999999E-2</v>
      </c>
      <c r="E246">
        <v>381.78460000000001</v>
      </c>
      <c r="F246">
        <v>15.574</v>
      </c>
      <c r="G246">
        <v>81.969300000000004</v>
      </c>
      <c r="H246">
        <v>1.5758000000000001</v>
      </c>
    </row>
    <row r="247" spans="1:8" x14ac:dyDescent="0.15">
      <c r="A247" t="s">
        <v>13</v>
      </c>
      <c r="B247">
        <v>2510</v>
      </c>
      <c r="C247">
        <v>19</v>
      </c>
      <c r="D247">
        <v>8.3099999999999993E-2</v>
      </c>
      <c r="E247">
        <v>380.41359999999997</v>
      </c>
      <c r="F247">
        <v>15.518000000000001</v>
      </c>
      <c r="G247">
        <v>81.674999999999997</v>
      </c>
      <c r="H247">
        <v>1.5808</v>
      </c>
    </row>
    <row r="248" spans="1:8" x14ac:dyDescent="0.15">
      <c r="A248" t="s">
        <v>13</v>
      </c>
      <c r="B248">
        <v>2510</v>
      </c>
      <c r="C248">
        <v>19</v>
      </c>
      <c r="D248">
        <v>8.3199999999999996E-2</v>
      </c>
      <c r="E248">
        <v>380.3014</v>
      </c>
      <c r="F248">
        <v>15.513999999999999</v>
      </c>
      <c r="G248">
        <v>81.650899999999993</v>
      </c>
      <c r="H248">
        <v>1.5818000000000001</v>
      </c>
    </row>
    <row r="249" spans="1:8" x14ac:dyDescent="0.15">
      <c r="A249" t="s">
        <v>13</v>
      </c>
      <c r="B249">
        <v>2510</v>
      </c>
      <c r="C249">
        <v>19</v>
      </c>
      <c r="D249">
        <v>8.2900000000000001E-2</v>
      </c>
      <c r="E249">
        <v>381.40820000000002</v>
      </c>
      <c r="F249">
        <v>15.558999999999999</v>
      </c>
      <c r="G249">
        <v>81.888499999999993</v>
      </c>
      <c r="H249">
        <v>1.5768</v>
      </c>
    </row>
    <row r="250" spans="1:8" x14ac:dyDescent="0.15">
      <c r="A250" t="s">
        <v>13</v>
      </c>
      <c r="B250">
        <v>2510</v>
      </c>
      <c r="C250">
        <v>19</v>
      </c>
      <c r="D250">
        <v>8.3199999999999996E-2</v>
      </c>
      <c r="E250">
        <v>380.23329999999999</v>
      </c>
      <c r="F250">
        <v>15.510999999999999</v>
      </c>
      <c r="G250">
        <v>81.636200000000002</v>
      </c>
      <c r="H250">
        <v>1.5818000000000001</v>
      </c>
    </row>
    <row r="251" spans="1:8" x14ac:dyDescent="0.15">
      <c r="A251" t="s">
        <v>13</v>
      </c>
      <c r="B251">
        <v>2510</v>
      </c>
      <c r="C251">
        <v>19</v>
      </c>
      <c r="D251">
        <v>8.3199999999999996E-2</v>
      </c>
      <c r="E251">
        <v>380.01589999999999</v>
      </c>
      <c r="F251">
        <v>15.502000000000001</v>
      </c>
      <c r="G251">
        <v>81.589600000000004</v>
      </c>
      <c r="H251">
        <v>1.5828</v>
      </c>
    </row>
    <row r="252" spans="1:8" x14ac:dyDescent="0.15">
      <c r="A252" t="s">
        <v>13</v>
      </c>
      <c r="B252">
        <v>2510</v>
      </c>
      <c r="C252">
        <v>19</v>
      </c>
      <c r="D252">
        <v>8.2799999999999999E-2</v>
      </c>
      <c r="E252">
        <v>381.81439999999998</v>
      </c>
      <c r="F252">
        <v>15.574999999999999</v>
      </c>
      <c r="G252">
        <v>81.975700000000003</v>
      </c>
      <c r="H252">
        <v>1.5748</v>
      </c>
    </row>
    <row r="253" spans="1:8" x14ac:dyDescent="0.15">
      <c r="A253" t="s">
        <v>13</v>
      </c>
      <c r="B253">
        <v>2510</v>
      </c>
      <c r="C253">
        <v>19</v>
      </c>
      <c r="D253">
        <v>8.3199999999999996E-2</v>
      </c>
      <c r="E253">
        <v>380.05650000000003</v>
      </c>
      <c r="F253">
        <v>15.504</v>
      </c>
      <c r="G253">
        <v>81.598299999999995</v>
      </c>
      <c r="H253">
        <v>1.5828</v>
      </c>
    </row>
    <row r="254" spans="1:8" x14ac:dyDescent="0.15">
      <c r="A254" t="s">
        <v>13</v>
      </c>
      <c r="B254">
        <v>2510</v>
      </c>
      <c r="C254">
        <v>19</v>
      </c>
      <c r="D254">
        <v>8.3199999999999996E-2</v>
      </c>
      <c r="E254">
        <v>380.1395</v>
      </c>
      <c r="F254">
        <v>15.507</v>
      </c>
      <c r="G254">
        <v>81.616100000000003</v>
      </c>
      <c r="H254">
        <v>1.5818000000000001</v>
      </c>
    </row>
    <row r="255" spans="1:8" x14ac:dyDescent="0.15">
      <c r="A255" t="s">
        <v>13</v>
      </c>
      <c r="B255">
        <v>2510</v>
      </c>
      <c r="C255">
        <v>19</v>
      </c>
      <c r="D255">
        <v>8.2900000000000001E-2</v>
      </c>
      <c r="E255">
        <v>381.4153</v>
      </c>
      <c r="F255">
        <v>15.558999999999999</v>
      </c>
      <c r="G255">
        <v>81.89</v>
      </c>
      <c r="H255">
        <v>1.5768</v>
      </c>
    </row>
    <row r="256" spans="1:8" x14ac:dyDescent="0.15">
      <c r="A256" t="s">
        <v>13</v>
      </c>
      <c r="B256">
        <v>2510</v>
      </c>
      <c r="C256">
        <v>19</v>
      </c>
      <c r="D256">
        <v>8.3099999999999993E-2</v>
      </c>
      <c r="E256">
        <v>380.4366</v>
      </c>
      <c r="F256">
        <v>15.519</v>
      </c>
      <c r="G256">
        <v>81.679900000000004</v>
      </c>
      <c r="H256">
        <v>1.5808</v>
      </c>
    </row>
    <row r="257" spans="1:8" x14ac:dyDescent="0.15">
      <c r="A257" t="s">
        <v>13</v>
      </c>
      <c r="B257">
        <v>2510</v>
      </c>
      <c r="C257">
        <v>19</v>
      </c>
      <c r="D257">
        <v>8.3199999999999996E-2</v>
      </c>
      <c r="E257">
        <v>380.113</v>
      </c>
      <c r="F257">
        <v>15.506</v>
      </c>
      <c r="G257">
        <v>81.610399999999998</v>
      </c>
      <c r="H257">
        <v>1.5828</v>
      </c>
    </row>
    <row r="258" spans="1:8" x14ac:dyDescent="0.15">
      <c r="A258" t="s">
        <v>13</v>
      </c>
      <c r="B258">
        <v>2510</v>
      </c>
      <c r="C258">
        <v>19</v>
      </c>
      <c r="D258">
        <v>8.3000000000000004E-2</v>
      </c>
      <c r="E258">
        <v>381.10180000000003</v>
      </c>
      <c r="F258">
        <v>15.545999999999999</v>
      </c>
      <c r="G258">
        <v>81.822699999999998</v>
      </c>
      <c r="H258">
        <v>1.5778000000000001</v>
      </c>
    </row>
    <row r="259" spans="1:8" x14ac:dyDescent="0.15">
      <c r="A259" t="s">
        <v>13</v>
      </c>
      <c r="B259">
        <v>2510</v>
      </c>
      <c r="C259">
        <v>19</v>
      </c>
      <c r="D259">
        <v>8.3199999999999996E-2</v>
      </c>
      <c r="E259">
        <v>380.02859999999998</v>
      </c>
      <c r="F259">
        <v>15.503</v>
      </c>
      <c r="G259">
        <v>81.592299999999994</v>
      </c>
      <c r="H259">
        <v>1.5828</v>
      </c>
    </row>
    <row r="260" spans="1:8" x14ac:dyDescent="0.15">
      <c r="A260" t="s">
        <v>13</v>
      </c>
      <c r="B260">
        <v>2510</v>
      </c>
      <c r="C260">
        <v>19</v>
      </c>
      <c r="D260">
        <v>8.3199999999999996E-2</v>
      </c>
      <c r="E260">
        <v>380.0532</v>
      </c>
      <c r="F260">
        <v>15.504</v>
      </c>
      <c r="G260">
        <v>81.5976</v>
      </c>
      <c r="H260">
        <v>1.5828</v>
      </c>
    </row>
    <row r="261" spans="1:8" x14ac:dyDescent="0.15">
      <c r="A261" t="s">
        <v>13</v>
      </c>
      <c r="B261">
        <v>2510</v>
      </c>
      <c r="C261">
        <v>19</v>
      </c>
      <c r="D261">
        <v>8.2900000000000001E-2</v>
      </c>
      <c r="E261">
        <v>381.56959999999998</v>
      </c>
      <c r="F261">
        <v>15.565</v>
      </c>
      <c r="G261">
        <v>81.923100000000005</v>
      </c>
      <c r="H261">
        <v>1.5758000000000001</v>
      </c>
    </row>
    <row r="262" spans="1:8" x14ac:dyDescent="0.15">
      <c r="A262" t="s">
        <v>13</v>
      </c>
      <c r="B262">
        <v>2510</v>
      </c>
      <c r="C262">
        <v>19</v>
      </c>
      <c r="D262">
        <v>8.3099999999999993E-2</v>
      </c>
      <c r="E262">
        <v>380.47710000000001</v>
      </c>
      <c r="F262">
        <v>15.521000000000001</v>
      </c>
      <c r="G262">
        <v>81.688599999999994</v>
      </c>
      <c r="H262">
        <v>1.5808</v>
      </c>
    </row>
    <row r="263" spans="1:8" x14ac:dyDescent="0.15">
      <c r="A263" t="s">
        <v>13</v>
      </c>
      <c r="B263">
        <v>2510</v>
      </c>
      <c r="C263">
        <v>19</v>
      </c>
      <c r="D263">
        <v>8.3199999999999996E-2</v>
      </c>
      <c r="E263">
        <v>379.99489999999997</v>
      </c>
      <c r="F263">
        <v>15.500999999999999</v>
      </c>
      <c r="G263">
        <v>81.585099999999997</v>
      </c>
      <c r="H263">
        <v>1.5828</v>
      </c>
    </row>
    <row r="264" spans="1:8" x14ac:dyDescent="0.15">
      <c r="A264" t="s">
        <v>13</v>
      </c>
      <c r="B264">
        <v>2510</v>
      </c>
      <c r="C264">
        <v>19</v>
      </c>
      <c r="D264">
        <v>8.2900000000000001E-2</v>
      </c>
      <c r="E264">
        <v>381.44369999999998</v>
      </c>
      <c r="F264">
        <v>15.56</v>
      </c>
      <c r="G264">
        <v>81.896100000000004</v>
      </c>
      <c r="H264">
        <v>1.5768</v>
      </c>
    </row>
    <row r="265" spans="1:8" x14ac:dyDescent="0.15">
      <c r="A265" t="s">
        <v>13</v>
      </c>
      <c r="B265">
        <v>2510</v>
      </c>
      <c r="C265">
        <v>19</v>
      </c>
      <c r="D265">
        <v>8.3299999999999999E-2</v>
      </c>
      <c r="E265">
        <v>379.50869999999998</v>
      </c>
      <c r="F265">
        <v>15.481</v>
      </c>
      <c r="G265">
        <v>81.480699999999999</v>
      </c>
      <c r="H265">
        <v>1.5838000000000001</v>
      </c>
    </row>
    <row r="266" spans="1:8" x14ac:dyDescent="0.15">
      <c r="A266" t="s">
        <v>13</v>
      </c>
      <c r="B266">
        <v>2510</v>
      </c>
      <c r="C266">
        <v>19</v>
      </c>
      <c r="D266">
        <v>8.3199999999999996E-2</v>
      </c>
      <c r="E266">
        <v>380.33269999999999</v>
      </c>
      <c r="F266">
        <v>15.515000000000001</v>
      </c>
      <c r="G266">
        <v>81.657600000000002</v>
      </c>
      <c r="H266">
        <v>1.5808</v>
      </c>
    </row>
    <row r="267" spans="1:8" x14ac:dyDescent="0.15">
      <c r="A267" t="s">
        <v>13</v>
      </c>
      <c r="B267">
        <v>2510</v>
      </c>
      <c r="C267">
        <v>19</v>
      </c>
      <c r="D267">
        <v>8.2900000000000001E-2</v>
      </c>
      <c r="E267">
        <v>381.44529999999997</v>
      </c>
      <c r="F267">
        <v>15.56</v>
      </c>
      <c r="G267">
        <v>81.896500000000003</v>
      </c>
      <c r="H267">
        <v>1.5768</v>
      </c>
    </row>
    <row r="268" spans="1:8" x14ac:dyDescent="0.15">
      <c r="A268" t="s">
        <v>13</v>
      </c>
      <c r="B268">
        <v>2510</v>
      </c>
      <c r="C268">
        <v>19</v>
      </c>
      <c r="D268">
        <v>8.3199999999999996E-2</v>
      </c>
      <c r="E268">
        <v>379.94189999999998</v>
      </c>
      <c r="F268">
        <v>15.499000000000001</v>
      </c>
      <c r="G268">
        <v>81.573700000000002</v>
      </c>
      <c r="H268">
        <v>1.5828</v>
      </c>
    </row>
    <row r="269" spans="1:8" x14ac:dyDescent="0.15">
      <c r="A269" t="s">
        <v>13</v>
      </c>
      <c r="B269">
        <v>2510</v>
      </c>
      <c r="C269">
        <v>19</v>
      </c>
      <c r="D269">
        <v>8.3099999999999993E-2</v>
      </c>
      <c r="E269">
        <v>380.45069999999998</v>
      </c>
      <c r="F269">
        <v>15.52</v>
      </c>
      <c r="G269">
        <v>81.682900000000004</v>
      </c>
      <c r="H269">
        <v>1.5808</v>
      </c>
    </row>
    <row r="270" spans="1:8" x14ac:dyDescent="0.15">
      <c r="A270" t="s">
        <v>13</v>
      </c>
      <c r="B270">
        <v>2510</v>
      </c>
      <c r="C270">
        <v>19</v>
      </c>
      <c r="D270">
        <v>8.2900000000000001E-2</v>
      </c>
      <c r="E270">
        <v>381.49720000000002</v>
      </c>
      <c r="F270">
        <v>15.561999999999999</v>
      </c>
      <c r="G270">
        <v>81.907600000000002</v>
      </c>
      <c r="H270">
        <v>1.5768</v>
      </c>
    </row>
    <row r="271" spans="1:8" x14ac:dyDescent="0.15">
      <c r="A271" t="s">
        <v>13</v>
      </c>
      <c r="B271">
        <v>2510</v>
      </c>
      <c r="C271">
        <v>19</v>
      </c>
      <c r="D271">
        <v>8.3199999999999996E-2</v>
      </c>
      <c r="E271">
        <v>380.25560000000002</v>
      </c>
      <c r="F271">
        <v>15.512</v>
      </c>
      <c r="G271">
        <v>81.641000000000005</v>
      </c>
      <c r="H271">
        <v>1.5818000000000001</v>
      </c>
    </row>
    <row r="272" spans="1:8" x14ac:dyDescent="0.15">
      <c r="A272" t="s">
        <v>13</v>
      </c>
      <c r="B272">
        <v>2510</v>
      </c>
      <c r="C272">
        <v>19</v>
      </c>
      <c r="D272">
        <v>8.3299999999999999E-2</v>
      </c>
      <c r="E272">
        <v>379.54450000000003</v>
      </c>
      <c r="F272">
        <v>15.483000000000001</v>
      </c>
      <c r="G272">
        <v>81.488399999999999</v>
      </c>
      <c r="H272">
        <v>1.5848</v>
      </c>
    </row>
    <row r="273" spans="1:8" x14ac:dyDescent="0.15">
      <c r="A273" t="s">
        <v>13</v>
      </c>
      <c r="B273">
        <v>2510</v>
      </c>
      <c r="C273">
        <v>19</v>
      </c>
      <c r="D273">
        <v>8.2900000000000001E-2</v>
      </c>
      <c r="E273">
        <v>381.56220000000002</v>
      </c>
      <c r="F273">
        <v>15.565</v>
      </c>
      <c r="G273">
        <v>81.921599999999998</v>
      </c>
      <c r="H273">
        <v>1.5768</v>
      </c>
    </row>
    <row r="274" spans="1:8" x14ac:dyDescent="0.15">
      <c r="A274" t="s">
        <v>13</v>
      </c>
      <c r="B274">
        <v>2510</v>
      </c>
      <c r="C274">
        <v>19</v>
      </c>
      <c r="D274">
        <v>8.3199999999999996E-2</v>
      </c>
      <c r="E274">
        <v>379.98849999999999</v>
      </c>
      <c r="F274">
        <v>15.500999999999999</v>
      </c>
      <c r="G274">
        <v>81.583699999999993</v>
      </c>
      <c r="H274">
        <v>1.5818000000000001</v>
      </c>
    </row>
    <row r="275" spans="1:8" x14ac:dyDescent="0.15">
      <c r="A275" t="s">
        <v>13</v>
      </c>
      <c r="B275">
        <v>2510</v>
      </c>
      <c r="C275">
        <v>19</v>
      </c>
      <c r="D275">
        <v>9.3799999999999994E-2</v>
      </c>
      <c r="E275">
        <v>337.1549</v>
      </c>
      <c r="F275">
        <v>13.754</v>
      </c>
      <c r="G275">
        <v>72.387299999999996</v>
      </c>
      <c r="H275">
        <v>1.7717000000000001</v>
      </c>
    </row>
    <row r="276" spans="1:8" x14ac:dyDescent="0.15">
      <c r="A276" t="s">
        <v>13</v>
      </c>
      <c r="B276">
        <v>2510</v>
      </c>
      <c r="C276">
        <v>19</v>
      </c>
      <c r="D276">
        <v>8.2900000000000001E-2</v>
      </c>
      <c r="E276">
        <v>381.70209999999997</v>
      </c>
      <c r="F276">
        <v>15.571</v>
      </c>
      <c r="G276">
        <v>81.951599999999999</v>
      </c>
      <c r="H276">
        <v>1.5748</v>
      </c>
    </row>
    <row r="277" spans="1:8" x14ac:dyDescent="0.15">
      <c r="A277" t="s">
        <v>13</v>
      </c>
      <c r="B277">
        <v>2510</v>
      </c>
      <c r="C277">
        <v>19</v>
      </c>
      <c r="D277">
        <v>8.3199999999999996E-2</v>
      </c>
      <c r="E277">
        <v>380.29919999999998</v>
      </c>
      <c r="F277">
        <v>15.513999999999999</v>
      </c>
      <c r="G277">
        <v>81.650400000000005</v>
      </c>
      <c r="H277">
        <v>1.5808</v>
      </c>
    </row>
    <row r="278" spans="1:8" x14ac:dyDescent="0.15">
      <c r="A278" t="s">
        <v>13</v>
      </c>
      <c r="B278">
        <v>2510</v>
      </c>
      <c r="C278">
        <v>19</v>
      </c>
      <c r="D278">
        <v>8.3199999999999996E-2</v>
      </c>
      <c r="E278">
        <v>380.19589999999999</v>
      </c>
      <c r="F278">
        <v>15.509</v>
      </c>
      <c r="G278">
        <v>81.628200000000007</v>
      </c>
      <c r="H278">
        <v>1.5828</v>
      </c>
    </row>
    <row r="279" spans="1:8" x14ac:dyDescent="0.15">
      <c r="A279" t="s">
        <v>13</v>
      </c>
      <c r="B279">
        <v>2510</v>
      </c>
      <c r="C279">
        <v>19</v>
      </c>
      <c r="D279">
        <v>8.2900000000000001E-2</v>
      </c>
      <c r="E279">
        <v>381.35590000000002</v>
      </c>
      <c r="F279">
        <v>15.557</v>
      </c>
      <c r="G279">
        <v>81.877300000000005</v>
      </c>
      <c r="H279">
        <v>1.5768</v>
      </c>
    </row>
    <row r="280" spans="1:8" x14ac:dyDescent="0.15">
      <c r="A280" t="s">
        <v>13</v>
      </c>
      <c r="B280">
        <v>2510</v>
      </c>
      <c r="C280">
        <v>20</v>
      </c>
      <c r="D280">
        <v>0.1527</v>
      </c>
      <c r="E280">
        <v>207.13290000000001</v>
      </c>
      <c r="F280">
        <v>8.4499999999999993</v>
      </c>
      <c r="G280">
        <v>42.247900000000001</v>
      </c>
      <c r="H280">
        <v>2.9036</v>
      </c>
    </row>
    <row r="281" spans="1:8" x14ac:dyDescent="0.15">
      <c r="A281" t="s">
        <v>13</v>
      </c>
      <c r="B281">
        <v>2510</v>
      </c>
      <c r="C281">
        <v>20</v>
      </c>
      <c r="D281">
        <v>0.15409999999999999</v>
      </c>
      <c r="E281">
        <v>205.26300000000001</v>
      </c>
      <c r="F281">
        <v>8.3729999999999993</v>
      </c>
      <c r="G281">
        <v>41.866500000000002</v>
      </c>
      <c r="H281">
        <v>2.9306000000000001</v>
      </c>
    </row>
    <row r="282" spans="1:8" x14ac:dyDescent="0.15">
      <c r="A282" t="s">
        <v>13</v>
      </c>
      <c r="B282">
        <v>2510</v>
      </c>
      <c r="C282">
        <v>20</v>
      </c>
      <c r="D282">
        <v>0.15129999999999999</v>
      </c>
      <c r="E282">
        <v>209.0889</v>
      </c>
      <c r="F282">
        <v>8.5289999999999999</v>
      </c>
      <c r="G282">
        <v>42.646900000000002</v>
      </c>
      <c r="H282">
        <v>2.8765999999999998</v>
      </c>
    </row>
    <row r="283" spans="1:8" x14ac:dyDescent="0.15">
      <c r="A283" t="s">
        <v>13</v>
      </c>
      <c r="B283">
        <v>2510</v>
      </c>
      <c r="C283">
        <v>20</v>
      </c>
      <c r="D283">
        <v>0.14979999999999999</v>
      </c>
      <c r="E283">
        <v>211.15770000000001</v>
      </c>
      <c r="F283">
        <v>8.6140000000000008</v>
      </c>
      <c r="G283">
        <v>43.068899999999999</v>
      </c>
      <c r="H283">
        <v>2.8475999999999999</v>
      </c>
    </row>
    <row r="284" spans="1:8" x14ac:dyDescent="0.15">
      <c r="A284" t="s">
        <v>13</v>
      </c>
      <c r="B284">
        <v>2510</v>
      </c>
      <c r="C284">
        <v>20</v>
      </c>
      <c r="D284">
        <v>0.15140000000000001</v>
      </c>
      <c r="E284">
        <v>208.9128</v>
      </c>
      <c r="F284">
        <v>8.5220000000000002</v>
      </c>
      <c r="G284">
        <v>42.610999999999997</v>
      </c>
      <c r="H284">
        <v>2.8786</v>
      </c>
    </row>
    <row r="285" spans="1:8" x14ac:dyDescent="0.15">
      <c r="A285" t="s">
        <v>13</v>
      </c>
      <c r="B285">
        <v>2510</v>
      </c>
      <c r="C285">
        <v>20</v>
      </c>
      <c r="D285">
        <v>0.14929999999999999</v>
      </c>
      <c r="E285">
        <v>211.78819999999999</v>
      </c>
      <c r="F285">
        <v>8.6389999999999993</v>
      </c>
      <c r="G285">
        <v>43.197499999999998</v>
      </c>
      <c r="H285">
        <v>2.8405999999999998</v>
      </c>
    </row>
    <row r="286" spans="1:8" x14ac:dyDescent="0.15">
      <c r="A286" t="s">
        <v>13</v>
      </c>
      <c r="B286">
        <v>2510</v>
      </c>
      <c r="C286">
        <v>20</v>
      </c>
      <c r="D286">
        <v>0.15190000000000001</v>
      </c>
      <c r="E286">
        <v>208.2201</v>
      </c>
      <c r="F286">
        <v>8.4939999999999998</v>
      </c>
      <c r="G286">
        <v>42.469700000000003</v>
      </c>
      <c r="H286">
        <v>2.8885999999999998</v>
      </c>
    </row>
    <row r="287" spans="1:8" x14ac:dyDescent="0.15">
      <c r="A287" t="s">
        <v>13</v>
      </c>
      <c r="B287">
        <v>2510</v>
      </c>
      <c r="C287">
        <v>20</v>
      </c>
      <c r="D287">
        <v>0.1555</v>
      </c>
      <c r="E287">
        <v>203.36709999999999</v>
      </c>
      <c r="F287">
        <v>8.2959999999999994</v>
      </c>
      <c r="G287">
        <v>41.479799999999997</v>
      </c>
      <c r="H287">
        <v>2.9575999999999998</v>
      </c>
    </row>
    <row r="288" spans="1:8" x14ac:dyDescent="0.15">
      <c r="A288" t="s">
        <v>13</v>
      </c>
      <c r="B288">
        <v>2510</v>
      </c>
      <c r="C288">
        <v>20</v>
      </c>
      <c r="D288">
        <v>0.1555</v>
      </c>
      <c r="E288">
        <v>203.3965</v>
      </c>
      <c r="F288">
        <v>8.2970000000000006</v>
      </c>
      <c r="G288">
        <v>41.485799999999998</v>
      </c>
      <c r="H288">
        <v>2.9565999999999999</v>
      </c>
    </row>
    <row r="289" spans="1:8" x14ac:dyDescent="0.15">
      <c r="A289" t="s">
        <v>13</v>
      </c>
      <c r="B289">
        <v>2510</v>
      </c>
      <c r="C289">
        <v>20</v>
      </c>
      <c r="D289">
        <v>0.15160000000000001</v>
      </c>
      <c r="E289">
        <v>208.6575</v>
      </c>
      <c r="F289">
        <v>8.5120000000000005</v>
      </c>
      <c r="G289">
        <v>42.558900000000001</v>
      </c>
      <c r="H289">
        <v>2.8826000000000001</v>
      </c>
    </row>
    <row r="290" spans="1:8" x14ac:dyDescent="0.15">
      <c r="A290" t="s">
        <v>13</v>
      </c>
      <c r="B290">
        <v>2510</v>
      </c>
      <c r="C290">
        <v>20</v>
      </c>
      <c r="D290">
        <v>0.15429999999999999</v>
      </c>
      <c r="E290">
        <v>205.00190000000001</v>
      </c>
      <c r="F290">
        <v>8.3629999999999995</v>
      </c>
      <c r="G290">
        <v>41.813299999999998</v>
      </c>
      <c r="H290">
        <v>2.9336000000000002</v>
      </c>
    </row>
    <row r="291" spans="1:8" x14ac:dyDescent="0.15">
      <c r="A291" t="s">
        <v>13</v>
      </c>
      <c r="B291">
        <v>2510</v>
      </c>
      <c r="C291">
        <v>20</v>
      </c>
      <c r="D291">
        <v>0.15479999999999999</v>
      </c>
      <c r="E291">
        <v>204.2946</v>
      </c>
      <c r="F291">
        <v>8.3339999999999996</v>
      </c>
      <c r="G291">
        <v>41.668999999999997</v>
      </c>
      <c r="H291">
        <v>2.9436</v>
      </c>
    </row>
    <row r="292" spans="1:8" x14ac:dyDescent="0.15">
      <c r="A292" t="s">
        <v>13</v>
      </c>
      <c r="B292">
        <v>2510</v>
      </c>
      <c r="C292">
        <v>20</v>
      </c>
      <c r="D292">
        <v>0.1482</v>
      </c>
      <c r="E292">
        <v>213.42179999999999</v>
      </c>
      <c r="F292">
        <v>8.7059999999999995</v>
      </c>
      <c r="G292">
        <v>43.530700000000003</v>
      </c>
      <c r="H292">
        <v>2.8176000000000001</v>
      </c>
    </row>
    <row r="293" spans="1:8" x14ac:dyDescent="0.15">
      <c r="A293" t="s">
        <v>13</v>
      </c>
      <c r="B293">
        <v>2510</v>
      </c>
      <c r="C293">
        <v>20</v>
      </c>
      <c r="D293">
        <v>0.15240000000000001</v>
      </c>
      <c r="E293">
        <v>207.51580000000001</v>
      </c>
      <c r="F293">
        <v>8.4649999999999999</v>
      </c>
      <c r="G293">
        <v>42.326000000000001</v>
      </c>
      <c r="H293">
        <v>2.8986000000000001</v>
      </c>
    </row>
    <row r="294" spans="1:8" x14ac:dyDescent="0.15">
      <c r="A294" t="s">
        <v>13</v>
      </c>
      <c r="B294">
        <v>2510</v>
      </c>
      <c r="C294">
        <v>20</v>
      </c>
      <c r="D294">
        <v>0.1502</v>
      </c>
      <c r="E294">
        <v>210.5778</v>
      </c>
      <c r="F294">
        <v>8.59</v>
      </c>
      <c r="G294">
        <v>42.950600000000001</v>
      </c>
      <c r="H294">
        <v>2.8565999999999998</v>
      </c>
    </row>
    <row r="295" spans="1:8" x14ac:dyDescent="0.15">
      <c r="A295" t="s">
        <v>13</v>
      </c>
      <c r="B295">
        <v>2510</v>
      </c>
      <c r="C295">
        <v>20</v>
      </c>
      <c r="D295">
        <v>0.1537</v>
      </c>
      <c r="E295">
        <v>205.7987</v>
      </c>
      <c r="F295">
        <v>8.3949999999999996</v>
      </c>
      <c r="G295">
        <v>41.9758</v>
      </c>
      <c r="H295">
        <v>2.9224999999999999</v>
      </c>
    </row>
    <row r="296" spans="1:8" x14ac:dyDescent="0.15">
      <c r="A296" t="s">
        <v>13</v>
      </c>
      <c r="B296">
        <v>2510</v>
      </c>
      <c r="C296">
        <v>20</v>
      </c>
      <c r="D296">
        <v>0.15140000000000001</v>
      </c>
      <c r="E296">
        <v>208.83150000000001</v>
      </c>
      <c r="F296">
        <v>8.5190000000000001</v>
      </c>
      <c r="G296">
        <v>42.5944</v>
      </c>
      <c r="H296">
        <v>2.8795999999999999</v>
      </c>
    </row>
    <row r="297" spans="1:8" x14ac:dyDescent="0.15">
      <c r="A297" t="s">
        <v>13</v>
      </c>
      <c r="B297">
        <v>2510</v>
      </c>
      <c r="C297">
        <v>20</v>
      </c>
      <c r="D297">
        <v>0.15409999999999999</v>
      </c>
      <c r="E297">
        <v>205.2937</v>
      </c>
      <c r="F297">
        <v>8.375</v>
      </c>
      <c r="G297">
        <v>41.872799999999998</v>
      </c>
      <c r="H297">
        <v>2.9296000000000002</v>
      </c>
    </row>
    <row r="298" spans="1:8" x14ac:dyDescent="0.15">
      <c r="A298" t="s">
        <v>13</v>
      </c>
      <c r="B298">
        <v>2510</v>
      </c>
      <c r="C298">
        <v>20</v>
      </c>
      <c r="D298">
        <v>0.14979999999999999</v>
      </c>
      <c r="E298">
        <v>211.06270000000001</v>
      </c>
      <c r="F298">
        <v>8.61</v>
      </c>
      <c r="G298">
        <v>43.049500000000002</v>
      </c>
      <c r="H298">
        <v>2.8496000000000001</v>
      </c>
    </row>
    <row r="299" spans="1:8" x14ac:dyDescent="0.15">
      <c r="A299" t="s">
        <v>13</v>
      </c>
      <c r="B299">
        <v>2510</v>
      </c>
      <c r="C299">
        <v>20</v>
      </c>
      <c r="D299">
        <v>0.1469</v>
      </c>
      <c r="E299">
        <v>215.33250000000001</v>
      </c>
      <c r="F299">
        <v>8.7840000000000007</v>
      </c>
      <c r="G299">
        <v>43.920400000000001</v>
      </c>
      <c r="H299">
        <v>2.7936000000000001</v>
      </c>
    </row>
    <row r="300" spans="1:8" x14ac:dyDescent="0.15">
      <c r="A300" t="s">
        <v>13</v>
      </c>
      <c r="B300">
        <v>2510</v>
      </c>
      <c r="C300">
        <v>20</v>
      </c>
      <c r="D300">
        <v>0.14119999999999999</v>
      </c>
      <c r="E300">
        <v>224.00210000000001</v>
      </c>
      <c r="F300">
        <v>9.1379999999999999</v>
      </c>
      <c r="G300">
        <v>45.688699999999997</v>
      </c>
      <c r="H300">
        <v>2.6846000000000001</v>
      </c>
    </row>
    <row r="301" spans="1:8" x14ac:dyDescent="0.15">
      <c r="A301" t="s">
        <v>13</v>
      </c>
      <c r="B301">
        <v>2510</v>
      </c>
      <c r="C301">
        <v>20</v>
      </c>
      <c r="D301">
        <v>0.14810000000000001</v>
      </c>
      <c r="E301">
        <v>213.4769</v>
      </c>
      <c r="F301">
        <v>8.7080000000000002</v>
      </c>
      <c r="G301">
        <v>43.541899999999998</v>
      </c>
      <c r="H301">
        <v>2.8176000000000001</v>
      </c>
    </row>
    <row r="302" spans="1:8" x14ac:dyDescent="0.15">
      <c r="A302" t="s">
        <v>13</v>
      </c>
      <c r="B302">
        <v>2510</v>
      </c>
      <c r="C302">
        <v>20</v>
      </c>
      <c r="D302">
        <v>0.14899999999999999</v>
      </c>
      <c r="E302">
        <v>212.2784</v>
      </c>
      <c r="F302">
        <v>8.6590000000000007</v>
      </c>
      <c r="G302">
        <v>43.297400000000003</v>
      </c>
      <c r="H302">
        <v>2.8336000000000001</v>
      </c>
    </row>
    <row r="303" spans="1:8" x14ac:dyDescent="0.15">
      <c r="A303" t="s">
        <v>13</v>
      </c>
      <c r="B303">
        <v>2510</v>
      </c>
      <c r="C303">
        <v>20</v>
      </c>
      <c r="D303">
        <v>0.1542</v>
      </c>
      <c r="E303">
        <v>205.13509999999999</v>
      </c>
      <c r="F303">
        <v>8.3680000000000003</v>
      </c>
      <c r="G303">
        <v>41.840499999999999</v>
      </c>
      <c r="H303">
        <v>2.9316</v>
      </c>
    </row>
    <row r="304" spans="1:8" x14ac:dyDescent="0.15">
      <c r="A304" t="s">
        <v>13</v>
      </c>
      <c r="B304">
        <v>2510</v>
      </c>
      <c r="C304">
        <v>20</v>
      </c>
      <c r="D304">
        <v>0.14949999999999999</v>
      </c>
      <c r="E304">
        <v>211.49359999999999</v>
      </c>
      <c r="F304">
        <v>8.6270000000000007</v>
      </c>
      <c r="G304">
        <v>43.1374</v>
      </c>
      <c r="H304">
        <v>2.8435999999999999</v>
      </c>
    </row>
    <row r="305" spans="1:8" x14ac:dyDescent="0.15">
      <c r="A305" t="s">
        <v>13</v>
      </c>
      <c r="B305">
        <v>2510</v>
      </c>
      <c r="C305">
        <v>20</v>
      </c>
      <c r="D305">
        <v>0.1492</v>
      </c>
      <c r="E305">
        <v>212.0351</v>
      </c>
      <c r="F305">
        <v>8.65</v>
      </c>
      <c r="G305">
        <v>43.247799999999998</v>
      </c>
      <c r="H305">
        <v>2.8365999999999998</v>
      </c>
    </row>
    <row r="306" spans="1:8" x14ac:dyDescent="0.15">
      <c r="A306" t="s">
        <v>13</v>
      </c>
      <c r="B306">
        <v>2510</v>
      </c>
      <c r="C306">
        <v>20</v>
      </c>
      <c r="D306">
        <v>0.15559999999999999</v>
      </c>
      <c r="E306">
        <v>203.29750000000001</v>
      </c>
      <c r="F306">
        <v>8.2929999999999993</v>
      </c>
      <c r="G306">
        <v>41.465699999999998</v>
      </c>
      <c r="H306">
        <v>2.9584999999999999</v>
      </c>
    </row>
    <row r="307" spans="1:8" x14ac:dyDescent="0.15">
      <c r="A307" t="s">
        <v>13</v>
      </c>
      <c r="B307">
        <v>2510</v>
      </c>
      <c r="C307">
        <v>20</v>
      </c>
      <c r="D307">
        <v>0.1472</v>
      </c>
      <c r="E307">
        <v>214.82</v>
      </c>
      <c r="F307">
        <v>8.7629999999999999</v>
      </c>
      <c r="G307">
        <v>43.815800000000003</v>
      </c>
      <c r="H307">
        <v>2.7986</v>
      </c>
    </row>
    <row r="308" spans="1:8" x14ac:dyDescent="0.15">
      <c r="A308" t="s">
        <v>13</v>
      </c>
      <c r="B308">
        <v>2510</v>
      </c>
      <c r="C308">
        <v>20</v>
      </c>
      <c r="D308">
        <v>0.15559999999999999</v>
      </c>
      <c r="E308">
        <v>203.2807</v>
      </c>
      <c r="F308">
        <v>8.2919999999999998</v>
      </c>
      <c r="G308">
        <v>41.462200000000003</v>
      </c>
      <c r="H308">
        <v>2.9584999999999999</v>
      </c>
    </row>
    <row r="309" spans="1:8" x14ac:dyDescent="0.15">
      <c r="A309" t="s">
        <v>13</v>
      </c>
      <c r="B309">
        <v>2510</v>
      </c>
      <c r="C309">
        <v>20</v>
      </c>
      <c r="D309">
        <v>0.14960000000000001</v>
      </c>
      <c r="E309">
        <v>211.4649</v>
      </c>
      <c r="F309">
        <v>8.6259999999999994</v>
      </c>
      <c r="G309">
        <v>43.131500000000003</v>
      </c>
      <c r="H309">
        <v>2.8445999999999998</v>
      </c>
    </row>
    <row r="310" spans="1:8" x14ac:dyDescent="0.15">
      <c r="A310" t="s">
        <v>13</v>
      </c>
      <c r="B310">
        <v>2510</v>
      </c>
      <c r="C310">
        <v>20</v>
      </c>
      <c r="D310">
        <v>0.1313</v>
      </c>
      <c r="E310">
        <v>240.93520000000001</v>
      </c>
      <c r="F310">
        <v>9.8279999999999994</v>
      </c>
      <c r="G310">
        <v>49.142400000000002</v>
      </c>
      <c r="H310">
        <v>2.5156000000000001</v>
      </c>
    </row>
    <row r="311" spans="1:8" x14ac:dyDescent="0.15">
      <c r="A311" t="s">
        <v>13</v>
      </c>
      <c r="B311">
        <v>2510</v>
      </c>
      <c r="C311">
        <v>20</v>
      </c>
      <c r="D311">
        <v>8.2199999999999995E-2</v>
      </c>
      <c r="E311">
        <v>384.75319999999999</v>
      </c>
      <c r="F311">
        <v>15.695</v>
      </c>
      <c r="G311">
        <v>78.476299999999995</v>
      </c>
      <c r="H311">
        <v>1.6437999999999999</v>
      </c>
    </row>
    <row r="312" spans="1:8" x14ac:dyDescent="0.15">
      <c r="A312" t="s">
        <v>13</v>
      </c>
      <c r="B312">
        <v>2510</v>
      </c>
      <c r="C312">
        <v>20</v>
      </c>
      <c r="D312">
        <v>8.2100000000000006E-2</v>
      </c>
      <c r="E312">
        <v>385.04939999999999</v>
      </c>
      <c r="F312">
        <v>15.707000000000001</v>
      </c>
      <c r="G312">
        <v>78.536699999999996</v>
      </c>
      <c r="H312">
        <v>1.6448</v>
      </c>
    </row>
    <row r="313" spans="1:8" x14ac:dyDescent="0.15">
      <c r="A313" t="s">
        <v>13</v>
      </c>
      <c r="B313">
        <v>2510</v>
      </c>
      <c r="C313">
        <v>20</v>
      </c>
      <c r="D313">
        <v>8.2199999999999995E-2</v>
      </c>
      <c r="E313">
        <v>384.69389999999999</v>
      </c>
      <c r="F313">
        <v>15.693</v>
      </c>
      <c r="G313">
        <v>78.464200000000005</v>
      </c>
      <c r="H313">
        <v>1.6456999999999999</v>
      </c>
    </row>
    <row r="314" spans="1:8" x14ac:dyDescent="0.15">
      <c r="A314" t="s">
        <v>13</v>
      </c>
      <c r="B314">
        <v>2510</v>
      </c>
      <c r="C314">
        <v>20</v>
      </c>
      <c r="D314">
        <v>8.2000000000000003E-2</v>
      </c>
      <c r="E314">
        <v>385.53440000000001</v>
      </c>
      <c r="F314">
        <v>15.727</v>
      </c>
      <c r="G314">
        <v>78.6357</v>
      </c>
      <c r="H314">
        <v>1.6368</v>
      </c>
    </row>
    <row r="315" spans="1:8" x14ac:dyDescent="0.15">
      <c r="A315" t="s">
        <v>13</v>
      </c>
      <c r="B315">
        <v>2510</v>
      </c>
      <c r="C315">
        <v>20</v>
      </c>
      <c r="D315">
        <v>8.72E-2</v>
      </c>
      <c r="E315">
        <v>362.7319</v>
      </c>
      <c r="F315">
        <v>14.797000000000001</v>
      </c>
      <c r="G315">
        <v>73.984800000000007</v>
      </c>
      <c r="H315">
        <v>1.7346999999999999</v>
      </c>
    </row>
    <row r="316" spans="1:8" x14ac:dyDescent="0.15">
      <c r="A316" t="s">
        <v>13</v>
      </c>
      <c r="B316">
        <v>2510</v>
      </c>
      <c r="C316">
        <v>20</v>
      </c>
      <c r="D316">
        <v>8.1900000000000001E-2</v>
      </c>
      <c r="E316">
        <v>386.28429999999997</v>
      </c>
      <c r="F316">
        <v>15.757999999999999</v>
      </c>
      <c r="G316">
        <v>78.788600000000002</v>
      </c>
      <c r="H316">
        <v>1.6387</v>
      </c>
    </row>
    <row r="317" spans="1:8" x14ac:dyDescent="0.15">
      <c r="A317" t="s">
        <v>13</v>
      </c>
      <c r="B317">
        <v>2510</v>
      </c>
      <c r="C317">
        <v>20</v>
      </c>
      <c r="D317">
        <v>8.1900000000000001E-2</v>
      </c>
      <c r="E317">
        <v>386.13420000000002</v>
      </c>
      <c r="F317">
        <v>15.752000000000001</v>
      </c>
      <c r="G317">
        <v>78.757999999999996</v>
      </c>
      <c r="H317">
        <v>1.6397999999999999</v>
      </c>
    </row>
    <row r="318" spans="1:8" x14ac:dyDescent="0.15">
      <c r="A318" t="s">
        <v>13</v>
      </c>
      <c r="B318">
        <v>2510</v>
      </c>
      <c r="C318">
        <v>20</v>
      </c>
      <c r="D318">
        <v>8.2100000000000006E-2</v>
      </c>
      <c r="E318">
        <v>385.25970000000001</v>
      </c>
      <c r="F318">
        <v>15.715999999999999</v>
      </c>
      <c r="G318">
        <v>78.579599999999999</v>
      </c>
      <c r="H318">
        <v>1.6437999999999999</v>
      </c>
    </row>
    <row r="319" spans="1:8" x14ac:dyDescent="0.15">
      <c r="A319" t="s">
        <v>13</v>
      </c>
      <c r="B319">
        <v>2510</v>
      </c>
      <c r="C319">
        <v>20</v>
      </c>
      <c r="D319">
        <v>8.1799999999999998E-2</v>
      </c>
      <c r="E319">
        <v>386.4785</v>
      </c>
      <c r="F319">
        <v>15.766</v>
      </c>
      <c r="G319">
        <v>78.828199999999995</v>
      </c>
      <c r="H319">
        <v>1.6377999999999999</v>
      </c>
    </row>
    <row r="320" spans="1:8" x14ac:dyDescent="0.15">
      <c r="A320" t="s">
        <v>13</v>
      </c>
      <c r="B320">
        <v>2510</v>
      </c>
      <c r="C320">
        <v>20</v>
      </c>
      <c r="D320">
        <v>8.1500000000000003E-2</v>
      </c>
      <c r="E320">
        <v>387.92149999999998</v>
      </c>
      <c r="F320">
        <v>15.824999999999999</v>
      </c>
      <c r="G320">
        <v>79.122600000000006</v>
      </c>
      <c r="H320">
        <v>1.6316999999999999</v>
      </c>
    </row>
    <row r="321" spans="1:8" x14ac:dyDescent="0.15">
      <c r="A321" t="s">
        <v>13</v>
      </c>
      <c r="B321">
        <v>2510</v>
      </c>
      <c r="C321">
        <v>20</v>
      </c>
      <c r="D321">
        <v>8.2199999999999995E-2</v>
      </c>
      <c r="E321">
        <v>384.7192</v>
      </c>
      <c r="F321">
        <v>15.694000000000001</v>
      </c>
      <c r="G321">
        <v>78.469399999999993</v>
      </c>
      <c r="H321">
        <v>1.6457999999999999</v>
      </c>
    </row>
    <row r="322" spans="1:8" x14ac:dyDescent="0.15">
      <c r="A322" t="s">
        <v>13</v>
      </c>
      <c r="B322">
        <v>2510</v>
      </c>
      <c r="C322">
        <v>20</v>
      </c>
      <c r="D322">
        <v>8.2100000000000006E-2</v>
      </c>
      <c r="E322">
        <v>385.0215</v>
      </c>
      <c r="F322">
        <v>15.706</v>
      </c>
      <c r="G322">
        <v>78.531099999999995</v>
      </c>
      <c r="H322">
        <v>1.6437999999999999</v>
      </c>
    </row>
    <row r="323" spans="1:8" x14ac:dyDescent="0.15">
      <c r="A323" t="s">
        <v>13</v>
      </c>
      <c r="B323">
        <v>2510</v>
      </c>
      <c r="C323">
        <v>20</v>
      </c>
      <c r="D323">
        <v>8.1699999999999995E-2</v>
      </c>
      <c r="E323">
        <v>387.06450000000001</v>
      </c>
      <c r="F323">
        <v>15.79</v>
      </c>
      <c r="G323">
        <v>78.947800000000001</v>
      </c>
      <c r="H323">
        <v>1.6356999999999999</v>
      </c>
    </row>
    <row r="324" spans="1:8" x14ac:dyDescent="0.15">
      <c r="A324" t="s">
        <v>13</v>
      </c>
      <c r="B324">
        <v>2510</v>
      </c>
      <c r="C324">
        <v>20</v>
      </c>
      <c r="D324">
        <v>8.2199999999999995E-2</v>
      </c>
      <c r="E324">
        <v>384.70850000000002</v>
      </c>
      <c r="F324">
        <v>15.693</v>
      </c>
      <c r="G324">
        <v>78.467200000000005</v>
      </c>
      <c r="H324">
        <v>1.6457999999999999</v>
      </c>
    </row>
    <row r="325" spans="1:8" x14ac:dyDescent="0.15">
      <c r="A325" t="s">
        <v>13</v>
      </c>
      <c r="B325">
        <v>2510</v>
      </c>
      <c r="C325">
        <v>20</v>
      </c>
      <c r="D325">
        <v>8.2100000000000006E-2</v>
      </c>
      <c r="E325">
        <v>385.35410000000002</v>
      </c>
      <c r="F325">
        <v>15.72</v>
      </c>
      <c r="G325">
        <v>78.5989</v>
      </c>
      <c r="H325">
        <v>1.6428</v>
      </c>
    </row>
    <row r="326" spans="1:8" x14ac:dyDescent="0.15">
      <c r="A326" t="s">
        <v>13</v>
      </c>
      <c r="B326">
        <v>2510</v>
      </c>
      <c r="C326">
        <v>20</v>
      </c>
      <c r="D326">
        <v>8.1799999999999998E-2</v>
      </c>
      <c r="E326">
        <v>386.6377</v>
      </c>
      <c r="F326">
        <v>15.772</v>
      </c>
      <c r="G326">
        <v>78.860699999999994</v>
      </c>
      <c r="H326">
        <v>1.6376999999999999</v>
      </c>
    </row>
    <row r="327" spans="1:8" x14ac:dyDescent="0.15">
      <c r="A327" t="s">
        <v>13</v>
      </c>
      <c r="B327">
        <v>2510</v>
      </c>
      <c r="C327">
        <v>20</v>
      </c>
      <c r="D327">
        <v>8.2199999999999995E-2</v>
      </c>
      <c r="E327">
        <v>384.79790000000003</v>
      </c>
      <c r="F327">
        <v>15.696999999999999</v>
      </c>
      <c r="G327">
        <v>78.485399999999998</v>
      </c>
      <c r="H327">
        <v>1.6457999999999999</v>
      </c>
    </row>
    <row r="328" spans="1:8" x14ac:dyDescent="0.15">
      <c r="A328" t="s">
        <v>13</v>
      </c>
      <c r="B328">
        <v>2510</v>
      </c>
      <c r="C328">
        <v>20</v>
      </c>
      <c r="D328">
        <v>8.2199999999999995E-2</v>
      </c>
      <c r="E328">
        <v>384.8503</v>
      </c>
      <c r="F328">
        <v>15.699</v>
      </c>
      <c r="G328">
        <v>78.496099999999998</v>
      </c>
      <c r="H328">
        <v>1.6447000000000001</v>
      </c>
    </row>
    <row r="329" spans="1:8" x14ac:dyDescent="0.15">
      <c r="A329" t="s">
        <v>13</v>
      </c>
      <c r="B329">
        <v>2510</v>
      </c>
      <c r="C329">
        <v>20</v>
      </c>
      <c r="D329">
        <v>8.2000000000000003E-2</v>
      </c>
      <c r="E329">
        <v>385.71190000000001</v>
      </c>
      <c r="F329">
        <v>15.734</v>
      </c>
      <c r="G329">
        <v>78.671899999999994</v>
      </c>
      <c r="H329">
        <v>1.6417999999999999</v>
      </c>
    </row>
    <row r="330" spans="1:8" x14ac:dyDescent="0.15">
      <c r="A330" t="s">
        <v>13</v>
      </c>
      <c r="B330">
        <v>2510</v>
      </c>
      <c r="C330">
        <v>20</v>
      </c>
      <c r="D330">
        <v>8.2199999999999995E-2</v>
      </c>
      <c r="E330">
        <v>384.73899999999998</v>
      </c>
      <c r="F330">
        <v>15.695</v>
      </c>
      <c r="G330">
        <v>78.473399999999998</v>
      </c>
      <c r="H330">
        <v>1.6457999999999999</v>
      </c>
    </row>
    <row r="331" spans="1:8" x14ac:dyDescent="0.15">
      <c r="A331" t="s">
        <v>13</v>
      </c>
      <c r="B331">
        <v>10000</v>
      </c>
      <c r="C331">
        <v>1</v>
      </c>
      <c r="D331">
        <v>80.727800000000002</v>
      </c>
      <c r="E331">
        <v>24.7746</v>
      </c>
      <c r="F331">
        <v>1</v>
      </c>
      <c r="G331">
        <v>100</v>
      </c>
      <c r="H331">
        <v>80.800700000000006</v>
      </c>
    </row>
    <row r="332" spans="1:8" x14ac:dyDescent="0.15">
      <c r="A332" t="s">
        <v>13</v>
      </c>
      <c r="B332">
        <v>10000</v>
      </c>
      <c r="C332">
        <v>1</v>
      </c>
      <c r="D332">
        <v>80.552999999999997</v>
      </c>
      <c r="E332">
        <v>24.828399999999998</v>
      </c>
      <c r="F332">
        <v>1.002</v>
      </c>
      <c r="G332">
        <v>100.217</v>
      </c>
      <c r="H332">
        <v>80.625699999999995</v>
      </c>
    </row>
    <row r="333" spans="1:8" x14ac:dyDescent="0.15">
      <c r="A333" t="s">
        <v>13</v>
      </c>
      <c r="B333">
        <v>10000</v>
      </c>
      <c r="C333">
        <v>1</v>
      </c>
      <c r="D333">
        <v>80.548599999999993</v>
      </c>
      <c r="E333">
        <v>24.829699999999999</v>
      </c>
      <c r="F333">
        <v>1.002</v>
      </c>
      <c r="G333">
        <v>100.2225</v>
      </c>
      <c r="H333">
        <v>80.621700000000004</v>
      </c>
    </row>
    <row r="334" spans="1:8" x14ac:dyDescent="0.15">
      <c r="A334" t="s">
        <v>13</v>
      </c>
      <c r="B334">
        <v>10000</v>
      </c>
      <c r="C334">
        <v>1</v>
      </c>
      <c r="D334">
        <v>80.524799999999999</v>
      </c>
      <c r="E334">
        <v>24.8371</v>
      </c>
      <c r="F334">
        <v>1.0029999999999999</v>
      </c>
      <c r="G334">
        <v>100.2521</v>
      </c>
      <c r="H334">
        <v>80.597700000000003</v>
      </c>
    </row>
    <row r="335" spans="1:8" x14ac:dyDescent="0.15">
      <c r="A335" t="s">
        <v>13</v>
      </c>
      <c r="B335">
        <v>10000</v>
      </c>
      <c r="C335">
        <v>1</v>
      </c>
      <c r="D335">
        <v>80.509799999999998</v>
      </c>
      <c r="E335">
        <v>24.841699999999999</v>
      </c>
      <c r="F335">
        <v>1.0029999999999999</v>
      </c>
      <c r="G335">
        <v>100.27079999999999</v>
      </c>
      <c r="H335">
        <v>80.582800000000006</v>
      </c>
    </row>
    <row r="336" spans="1:8" x14ac:dyDescent="0.15">
      <c r="A336" t="s">
        <v>13</v>
      </c>
      <c r="B336">
        <v>10000</v>
      </c>
      <c r="C336">
        <v>1</v>
      </c>
      <c r="D336">
        <v>80.527000000000001</v>
      </c>
      <c r="E336">
        <v>24.836400000000001</v>
      </c>
      <c r="F336">
        <v>1.002</v>
      </c>
      <c r="G336">
        <v>100.24930000000001</v>
      </c>
      <c r="H336">
        <v>80.599699999999999</v>
      </c>
    </row>
    <row r="337" spans="1:8" x14ac:dyDescent="0.15">
      <c r="A337" t="s">
        <v>13</v>
      </c>
      <c r="B337">
        <v>10000</v>
      </c>
      <c r="C337">
        <v>19</v>
      </c>
      <c r="D337">
        <v>4.8167</v>
      </c>
      <c r="E337">
        <v>415.22329999999999</v>
      </c>
      <c r="F337">
        <v>16.760000000000002</v>
      </c>
      <c r="G337">
        <v>88.210599999999999</v>
      </c>
      <c r="H337">
        <v>91.581100000000006</v>
      </c>
    </row>
    <row r="338" spans="1:8" x14ac:dyDescent="0.15">
      <c r="A338" t="s">
        <v>13</v>
      </c>
      <c r="B338">
        <v>10000</v>
      </c>
      <c r="C338">
        <v>19</v>
      </c>
      <c r="D338">
        <v>4.8158000000000003</v>
      </c>
      <c r="E338">
        <v>415.3039</v>
      </c>
      <c r="F338">
        <v>16.763000000000002</v>
      </c>
      <c r="G338">
        <v>88.227800000000002</v>
      </c>
      <c r="H338">
        <v>91.564099999999996</v>
      </c>
    </row>
    <row r="339" spans="1:8" x14ac:dyDescent="0.15">
      <c r="A339" t="s">
        <v>13</v>
      </c>
      <c r="B339">
        <v>10000</v>
      </c>
      <c r="C339">
        <v>19</v>
      </c>
      <c r="D339">
        <v>4.8158000000000003</v>
      </c>
      <c r="E339">
        <v>415.30009999999999</v>
      </c>
      <c r="F339">
        <v>16.763000000000002</v>
      </c>
      <c r="G339">
        <v>88.227000000000004</v>
      </c>
      <c r="H339">
        <v>91.565100000000001</v>
      </c>
    </row>
    <row r="340" spans="1:8" x14ac:dyDescent="0.15">
      <c r="A340" t="s">
        <v>13</v>
      </c>
      <c r="B340">
        <v>10000</v>
      </c>
      <c r="C340">
        <v>19</v>
      </c>
      <c r="D340">
        <v>4.8205999999999998</v>
      </c>
      <c r="E340">
        <v>414.88959999999997</v>
      </c>
      <c r="F340">
        <v>16.747</v>
      </c>
      <c r="G340">
        <v>88.139799999999994</v>
      </c>
      <c r="H340">
        <v>91.655000000000001</v>
      </c>
    </row>
    <row r="341" spans="1:8" x14ac:dyDescent="0.15">
      <c r="A341" t="s">
        <v>13</v>
      </c>
      <c r="B341">
        <v>10000</v>
      </c>
      <c r="C341">
        <v>19</v>
      </c>
      <c r="D341">
        <v>5.0240999999999998</v>
      </c>
      <c r="E341">
        <v>398.07920000000001</v>
      </c>
      <c r="F341">
        <v>16.068000000000001</v>
      </c>
      <c r="G341">
        <v>84.5685</v>
      </c>
      <c r="H341">
        <v>95.523499999999999</v>
      </c>
    </row>
    <row r="342" spans="1:8" x14ac:dyDescent="0.15">
      <c r="A342" t="s">
        <v>13</v>
      </c>
      <c r="B342">
        <v>10000</v>
      </c>
      <c r="C342">
        <v>19</v>
      </c>
      <c r="D342">
        <v>5.0327000000000002</v>
      </c>
      <c r="E342">
        <v>397.39920000000001</v>
      </c>
      <c r="F342">
        <v>16.041</v>
      </c>
      <c r="G342">
        <v>84.424099999999996</v>
      </c>
      <c r="H342">
        <v>95.686499999999995</v>
      </c>
    </row>
    <row r="343" spans="1:8" x14ac:dyDescent="0.15">
      <c r="A343" t="s">
        <v>13</v>
      </c>
      <c r="B343">
        <v>10000</v>
      </c>
      <c r="C343">
        <v>19</v>
      </c>
      <c r="D343">
        <v>5.0351999999999997</v>
      </c>
      <c r="E343">
        <v>397.20359999999999</v>
      </c>
      <c r="F343">
        <v>16.033000000000001</v>
      </c>
      <c r="G343">
        <v>84.382499999999993</v>
      </c>
      <c r="H343">
        <v>95.739400000000003</v>
      </c>
    </row>
    <row r="344" spans="1:8" x14ac:dyDescent="0.15">
      <c r="A344" t="s">
        <v>13</v>
      </c>
      <c r="B344">
        <v>10000</v>
      </c>
      <c r="C344">
        <v>19</v>
      </c>
      <c r="D344">
        <v>5.0298999999999996</v>
      </c>
      <c r="E344">
        <v>397.6207</v>
      </c>
      <c r="F344">
        <v>16.05</v>
      </c>
      <c r="G344">
        <v>84.471100000000007</v>
      </c>
      <c r="H344">
        <v>95.638499999999993</v>
      </c>
    </row>
    <row r="345" spans="1:8" x14ac:dyDescent="0.15">
      <c r="A345" t="s">
        <v>13</v>
      </c>
      <c r="B345">
        <v>10000</v>
      </c>
      <c r="C345">
        <v>19</v>
      </c>
      <c r="D345">
        <v>5.0305</v>
      </c>
      <c r="E345">
        <v>397.5727</v>
      </c>
      <c r="F345">
        <v>16.047999999999998</v>
      </c>
      <c r="G345">
        <v>84.460899999999995</v>
      </c>
      <c r="H345">
        <v>95.6554</v>
      </c>
    </row>
    <row r="346" spans="1:8" x14ac:dyDescent="0.15">
      <c r="A346" t="s">
        <v>13</v>
      </c>
      <c r="B346">
        <v>10000</v>
      </c>
      <c r="C346">
        <v>19</v>
      </c>
      <c r="D346">
        <v>5.0388000000000002</v>
      </c>
      <c r="E346">
        <v>396.91969999999998</v>
      </c>
      <c r="F346">
        <v>16.021000000000001</v>
      </c>
      <c r="G346">
        <v>84.322199999999995</v>
      </c>
      <c r="H346">
        <v>95.8185</v>
      </c>
    </row>
    <row r="347" spans="1:8" x14ac:dyDescent="0.15">
      <c r="A347" t="s">
        <v>13</v>
      </c>
      <c r="B347">
        <v>10000</v>
      </c>
      <c r="C347">
        <v>19</v>
      </c>
      <c r="D347">
        <v>5.0442999999999998</v>
      </c>
      <c r="E347">
        <v>396.48680000000002</v>
      </c>
      <c r="F347">
        <v>16.004000000000001</v>
      </c>
      <c r="G347">
        <v>84.230199999999996</v>
      </c>
      <c r="H347">
        <v>95.919399999999996</v>
      </c>
    </row>
    <row r="348" spans="1:8" x14ac:dyDescent="0.15">
      <c r="A348" t="s">
        <v>13</v>
      </c>
      <c r="B348">
        <v>10000</v>
      </c>
      <c r="C348">
        <v>19</v>
      </c>
      <c r="D348">
        <v>5.0445000000000002</v>
      </c>
      <c r="E348">
        <v>396.47129999999999</v>
      </c>
      <c r="F348">
        <v>16.003</v>
      </c>
      <c r="G348">
        <v>84.226900000000001</v>
      </c>
      <c r="H348">
        <v>95.926400000000001</v>
      </c>
    </row>
    <row r="349" spans="1:8" x14ac:dyDescent="0.15">
      <c r="A349" t="s">
        <v>13</v>
      </c>
      <c r="B349">
        <v>10000</v>
      </c>
      <c r="C349">
        <v>19</v>
      </c>
      <c r="D349">
        <v>5.0442</v>
      </c>
      <c r="E349">
        <v>396.49669999999998</v>
      </c>
      <c r="F349">
        <v>16.004000000000001</v>
      </c>
      <c r="G349">
        <v>84.232299999999995</v>
      </c>
      <c r="H349">
        <v>95.918499999999995</v>
      </c>
    </row>
    <row r="350" spans="1:8" x14ac:dyDescent="0.15">
      <c r="A350" t="s">
        <v>13</v>
      </c>
      <c r="B350">
        <v>10000</v>
      </c>
      <c r="C350">
        <v>19</v>
      </c>
      <c r="D350">
        <v>5.0468999999999999</v>
      </c>
      <c r="E350">
        <v>396.27960000000002</v>
      </c>
      <c r="F350">
        <v>15.994999999999999</v>
      </c>
      <c r="G350">
        <v>84.186199999999999</v>
      </c>
      <c r="H350">
        <v>95.972399999999993</v>
      </c>
    </row>
    <row r="351" spans="1:8" x14ac:dyDescent="0.15">
      <c r="A351" t="s">
        <v>13</v>
      </c>
      <c r="B351">
        <v>10000</v>
      </c>
      <c r="C351">
        <v>19</v>
      </c>
      <c r="D351">
        <v>5.0465999999999998</v>
      </c>
      <c r="E351">
        <v>396.30450000000002</v>
      </c>
      <c r="F351">
        <v>15.996</v>
      </c>
      <c r="G351">
        <v>84.191500000000005</v>
      </c>
      <c r="H351">
        <v>95.966300000000004</v>
      </c>
    </row>
    <row r="352" spans="1:8" x14ac:dyDescent="0.15">
      <c r="A352" t="s">
        <v>13</v>
      </c>
      <c r="B352">
        <v>10000</v>
      </c>
      <c r="C352">
        <v>19</v>
      </c>
      <c r="D352">
        <v>5.0484999999999998</v>
      </c>
      <c r="E352">
        <v>396.15530000000001</v>
      </c>
      <c r="F352">
        <v>15.99</v>
      </c>
      <c r="G352">
        <v>84.159800000000004</v>
      </c>
      <c r="H352">
        <v>96.002399999999994</v>
      </c>
    </row>
    <row r="353" spans="1:8" x14ac:dyDescent="0.15">
      <c r="A353" t="s">
        <v>13</v>
      </c>
      <c r="B353">
        <v>10000</v>
      </c>
      <c r="C353">
        <v>19</v>
      </c>
      <c r="D353">
        <v>5.0488</v>
      </c>
      <c r="E353">
        <v>396.13130000000001</v>
      </c>
      <c r="F353">
        <v>15.989000000000001</v>
      </c>
      <c r="G353">
        <v>84.154700000000005</v>
      </c>
      <c r="H353">
        <v>96.000500000000002</v>
      </c>
    </row>
    <row r="354" spans="1:8" x14ac:dyDescent="0.15">
      <c r="A354" t="s">
        <v>13</v>
      </c>
      <c r="B354">
        <v>10000</v>
      </c>
      <c r="C354">
        <v>19</v>
      </c>
      <c r="D354">
        <v>5.0499000000000001</v>
      </c>
      <c r="E354">
        <v>396.04469999999998</v>
      </c>
      <c r="F354">
        <v>15.986000000000001</v>
      </c>
      <c r="G354">
        <v>84.136300000000006</v>
      </c>
      <c r="H354">
        <v>96.019300000000001</v>
      </c>
    </row>
    <row r="355" spans="1:8" x14ac:dyDescent="0.15">
      <c r="A355" t="s">
        <v>13</v>
      </c>
      <c r="B355">
        <v>10000</v>
      </c>
      <c r="C355">
        <v>19</v>
      </c>
      <c r="D355">
        <v>5.0499000000000001</v>
      </c>
      <c r="E355">
        <v>396.0496</v>
      </c>
      <c r="F355">
        <v>15.986000000000001</v>
      </c>
      <c r="G355">
        <v>84.1374</v>
      </c>
      <c r="H355">
        <v>96.026399999999995</v>
      </c>
    </row>
    <row r="356" spans="1:8" x14ac:dyDescent="0.15">
      <c r="A356" t="s">
        <v>13</v>
      </c>
      <c r="B356">
        <v>10000</v>
      </c>
      <c r="C356">
        <v>19</v>
      </c>
      <c r="D356">
        <v>5.0494000000000003</v>
      </c>
      <c r="E356">
        <v>396.08269999999999</v>
      </c>
      <c r="F356">
        <v>15.987</v>
      </c>
      <c r="G356">
        <v>84.144400000000005</v>
      </c>
      <c r="H356">
        <v>96.013400000000004</v>
      </c>
    </row>
    <row r="357" spans="1:8" x14ac:dyDescent="0.15">
      <c r="A357" t="s">
        <v>13</v>
      </c>
      <c r="B357">
        <v>10000</v>
      </c>
      <c r="C357">
        <v>19</v>
      </c>
      <c r="D357">
        <v>5.0500999999999996</v>
      </c>
      <c r="E357">
        <v>396.02879999999999</v>
      </c>
      <c r="F357">
        <v>15.984999999999999</v>
      </c>
      <c r="G357">
        <v>84.132900000000006</v>
      </c>
      <c r="H357">
        <v>96.032499999999999</v>
      </c>
    </row>
    <row r="358" spans="1:8" x14ac:dyDescent="0.15">
      <c r="A358" t="s">
        <v>13</v>
      </c>
      <c r="B358">
        <v>10000</v>
      </c>
      <c r="C358">
        <v>19</v>
      </c>
      <c r="D358">
        <v>5.0511999999999997</v>
      </c>
      <c r="E358">
        <v>395.94200000000001</v>
      </c>
      <c r="F358">
        <v>15.981999999999999</v>
      </c>
      <c r="G358">
        <v>84.114500000000007</v>
      </c>
      <c r="H358">
        <v>96.0535</v>
      </c>
    </row>
    <row r="359" spans="1:8" x14ac:dyDescent="0.15">
      <c r="A359" t="s">
        <v>13</v>
      </c>
      <c r="B359">
        <v>10000</v>
      </c>
      <c r="C359">
        <v>19</v>
      </c>
      <c r="D359">
        <v>5.0514000000000001</v>
      </c>
      <c r="E359">
        <v>395.93</v>
      </c>
      <c r="F359">
        <v>15.981</v>
      </c>
      <c r="G359">
        <v>84.111999999999995</v>
      </c>
      <c r="H359">
        <v>96.053200000000004</v>
      </c>
    </row>
    <row r="360" spans="1:8" x14ac:dyDescent="0.15">
      <c r="A360" t="s">
        <v>13</v>
      </c>
      <c r="B360">
        <v>10000</v>
      </c>
      <c r="C360">
        <v>19</v>
      </c>
      <c r="D360">
        <v>5.0518999999999998</v>
      </c>
      <c r="E360">
        <v>395.89339999999999</v>
      </c>
      <c r="F360">
        <v>15.98</v>
      </c>
      <c r="G360">
        <v>84.104200000000006</v>
      </c>
      <c r="H360">
        <v>96.067599999999999</v>
      </c>
    </row>
    <row r="361" spans="1:8" x14ac:dyDescent="0.15">
      <c r="A361" t="s">
        <v>13</v>
      </c>
      <c r="B361">
        <v>10000</v>
      </c>
      <c r="C361">
        <v>19</v>
      </c>
      <c r="D361">
        <v>5.0529999999999999</v>
      </c>
      <c r="E361">
        <v>395.80610000000001</v>
      </c>
      <c r="F361">
        <v>15.976000000000001</v>
      </c>
      <c r="G361">
        <v>84.085599999999999</v>
      </c>
      <c r="H361">
        <v>96.087199999999996</v>
      </c>
    </row>
    <row r="362" spans="1:8" x14ac:dyDescent="0.15">
      <c r="A362" t="s">
        <v>13</v>
      </c>
      <c r="B362">
        <v>10000</v>
      </c>
      <c r="C362">
        <v>19</v>
      </c>
      <c r="D362">
        <v>5.0530999999999997</v>
      </c>
      <c r="E362">
        <v>395.79950000000002</v>
      </c>
      <c r="F362">
        <v>15.976000000000001</v>
      </c>
      <c r="G362">
        <v>84.084199999999996</v>
      </c>
      <c r="H362">
        <v>96.082499999999996</v>
      </c>
    </row>
    <row r="363" spans="1:8" x14ac:dyDescent="0.15">
      <c r="A363" t="s">
        <v>13</v>
      </c>
      <c r="B363">
        <v>10000</v>
      </c>
      <c r="C363">
        <v>19</v>
      </c>
      <c r="D363">
        <v>5.0541</v>
      </c>
      <c r="E363">
        <v>395.72190000000001</v>
      </c>
      <c r="F363">
        <v>15.973000000000001</v>
      </c>
      <c r="G363">
        <v>84.067700000000002</v>
      </c>
      <c r="H363">
        <v>96.108400000000003</v>
      </c>
    </row>
    <row r="364" spans="1:8" x14ac:dyDescent="0.15">
      <c r="A364" t="s">
        <v>13</v>
      </c>
      <c r="B364">
        <v>10000</v>
      </c>
      <c r="C364">
        <v>19</v>
      </c>
      <c r="D364">
        <v>5.0545999999999998</v>
      </c>
      <c r="E364">
        <v>395.68099999999998</v>
      </c>
      <c r="F364">
        <v>15.971</v>
      </c>
      <c r="G364">
        <v>84.058999999999997</v>
      </c>
      <c r="H364">
        <v>96.117400000000004</v>
      </c>
    </row>
    <row r="365" spans="1:8" x14ac:dyDescent="0.15">
      <c r="A365" t="s">
        <v>13</v>
      </c>
      <c r="B365">
        <v>10000</v>
      </c>
      <c r="C365">
        <v>19</v>
      </c>
      <c r="D365">
        <v>5.0560999999999998</v>
      </c>
      <c r="E365">
        <v>395.56310000000002</v>
      </c>
      <c r="F365">
        <v>15.965999999999999</v>
      </c>
      <c r="G365">
        <v>84.034000000000006</v>
      </c>
      <c r="H365">
        <v>96.145300000000006</v>
      </c>
    </row>
    <row r="366" spans="1:8" x14ac:dyDescent="0.15">
      <c r="A366" t="s">
        <v>13</v>
      </c>
      <c r="B366">
        <v>10000</v>
      </c>
      <c r="C366">
        <v>19</v>
      </c>
      <c r="D366">
        <v>5.0563000000000002</v>
      </c>
      <c r="E366">
        <v>395.54919999999998</v>
      </c>
      <c r="F366">
        <v>15.965999999999999</v>
      </c>
      <c r="G366">
        <v>84.031099999999995</v>
      </c>
      <c r="H366">
        <v>96.145499999999998</v>
      </c>
    </row>
    <row r="367" spans="1:8" x14ac:dyDescent="0.15">
      <c r="A367" t="s">
        <v>13</v>
      </c>
      <c r="B367">
        <v>10000</v>
      </c>
      <c r="C367">
        <v>19</v>
      </c>
      <c r="D367">
        <v>5.0564999999999998</v>
      </c>
      <c r="E367">
        <v>395.52760000000001</v>
      </c>
      <c r="F367">
        <v>15.965</v>
      </c>
      <c r="G367">
        <v>84.026399999999995</v>
      </c>
      <c r="H367">
        <v>96.153300000000002</v>
      </c>
    </row>
    <row r="368" spans="1:8" x14ac:dyDescent="0.15">
      <c r="A368" t="s">
        <v>13</v>
      </c>
      <c r="B368">
        <v>10000</v>
      </c>
      <c r="C368">
        <v>19</v>
      </c>
      <c r="D368">
        <v>5.0553999999999997</v>
      </c>
      <c r="E368">
        <v>395.61430000000001</v>
      </c>
      <c r="F368">
        <v>15.968999999999999</v>
      </c>
      <c r="G368">
        <v>84.044899999999998</v>
      </c>
      <c r="H368">
        <v>96.134299999999996</v>
      </c>
    </row>
    <row r="369" spans="1:8" x14ac:dyDescent="0.15">
      <c r="A369" t="s">
        <v>13</v>
      </c>
      <c r="B369">
        <v>10000</v>
      </c>
      <c r="C369">
        <v>19</v>
      </c>
      <c r="D369">
        <v>5.0568</v>
      </c>
      <c r="E369">
        <v>395.50839999999999</v>
      </c>
      <c r="F369">
        <v>15.964</v>
      </c>
      <c r="G369">
        <v>84.022400000000005</v>
      </c>
      <c r="H369">
        <v>96.159400000000005</v>
      </c>
    </row>
    <row r="370" spans="1:8" x14ac:dyDescent="0.15">
      <c r="A370" t="s">
        <v>13</v>
      </c>
      <c r="B370">
        <v>10000</v>
      </c>
      <c r="C370">
        <v>19</v>
      </c>
      <c r="D370">
        <v>5.0556000000000001</v>
      </c>
      <c r="E370">
        <v>395.59780000000001</v>
      </c>
      <c r="F370">
        <v>15.968</v>
      </c>
      <c r="G370">
        <v>84.041399999999996</v>
      </c>
      <c r="H370">
        <v>96.139399999999995</v>
      </c>
    </row>
    <row r="371" spans="1:8" x14ac:dyDescent="0.15">
      <c r="A371" t="s">
        <v>13</v>
      </c>
      <c r="B371">
        <v>10000</v>
      </c>
      <c r="C371">
        <v>19</v>
      </c>
      <c r="D371">
        <v>5.0564999999999998</v>
      </c>
      <c r="E371">
        <v>395.52710000000002</v>
      </c>
      <c r="F371">
        <v>15.965</v>
      </c>
      <c r="G371">
        <v>84.026399999999995</v>
      </c>
      <c r="H371">
        <v>96.144499999999994</v>
      </c>
    </row>
    <row r="372" spans="1:8" x14ac:dyDescent="0.15">
      <c r="A372" t="s">
        <v>13</v>
      </c>
      <c r="B372">
        <v>10000</v>
      </c>
      <c r="C372">
        <v>19</v>
      </c>
      <c r="D372">
        <v>5.0542999999999996</v>
      </c>
      <c r="E372">
        <v>395.7047</v>
      </c>
      <c r="F372">
        <v>15.972</v>
      </c>
      <c r="G372">
        <v>84.064099999999996</v>
      </c>
      <c r="H372">
        <v>96.106200000000001</v>
      </c>
    </row>
    <row r="373" spans="1:8" x14ac:dyDescent="0.15">
      <c r="A373" t="s">
        <v>13</v>
      </c>
      <c r="B373">
        <v>10000</v>
      </c>
      <c r="C373">
        <v>19</v>
      </c>
      <c r="D373">
        <v>5.0544000000000002</v>
      </c>
      <c r="E373">
        <v>395.69580000000002</v>
      </c>
      <c r="F373">
        <v>15.972</v>
      </c>
      <c r="G373">
        <v>84.062200000000004</v>
      </c>
      <c r="H373">
        <v>96.114500000000007</v>
      </c>
    </row>
    <row r="374" spans="1:8" x14ac:dyDescent="0.15">
      <c r="A374" t="s">
        <v>13</v>
      </c>
      <c r="B374">
        <v>10000</v>
      </c>
      <c r="C374">
        <v>19</v>
      </c>
      <c r="D374">
        <v>5.0548999999999999</v>
      </c>
      <c r="E374">
        <v>395.65620000000001</v>
      </c>
      <c r="F374">
        <v>15.97</v>
      </c>
      <c r="G374">
        <v>84.053799999999995</v>
      </c>
      <c r="H374">
        <v>96.122600000000006</v>
      </c>
    </row>
    <row r="375" spans="1:8" x14ac:dyDescent="0.15">
      <c r="A375" t="s">
        <v>13</v>
      </c>
      <c r="B375">
        <v>10000</v>
      </c>
      <c r="C375">
        <v>19</v>
      </c>
      <c r="D375">
        <v>5.0548999999999999</v>
      </c>
      <c r="E375">
        <v>395.65269999999998</v>
      </c>
      <c r="F375">
        <v>15.97</v>
      </c>
      <c r="G375">
        <v>84.052999999999997</v>
      </c>
      <c r="H375">
        <v>96.118200000000002</v>
      </c>
    </row>
    <row r="376" spans="1:8" x14ac:dyDescent="0.15">
      <c r="A376" t="s">
        <v>13</v>
      </c>
      <c r="B376">
        <v>10000</v>
      </c>
      <c r="C376">
        <v>19</v>
      </c>
      <c r="D376">
        <v>5.0548999999999999</v>
      </c>
      <c r="E376">
        <v>395.65350000000001</v>
      </c>
      <c r="F376">
        <v>15.97</v>
      </c>
      <c r="G376">
        <v>84.053200000000004</v>
      </c>
      <c r="H376">
        <v>96.125500000000002</v>
      </c>
    </row>
    <row r="377" spans="1:8" x14ac:dyDescent="0.15">
      <c r="A377" t="s">
        <v>13</v>
      </c>
      <c r="B377">
        <v>10000</v>
      </c>
      <c r="C377">
        <v>19</v>
      </c>
      <c r="D377">
        <v>5.0552000000000001</v>
      </c>
      <c r="E377">
        <v>395.63350000000003</v>
      </c>
      <c r="F377">
        <v>15.968999999999999</v>
      </c>
      <c r="G377">
        <v>84.049000000000007</v>
      </c>
      <c r="H377">
        <v>96.118200000000002</v>
      </c>
    </row>
    <row r="378" spans="1:8" x14ac:dyDescent="0.15">
      <c r="A378" t="s">
        <v>13</v>
      </c>
      <c r="B378">
        <v>10000</v>
      </c>
      <c r="C378">
        <v>19</v>
      </c>
      <c r="D378">
        <v>5.0552000000000001</v>
      </c>
      <c r="E378">
        <v>395.6318</v>
      </c>
      <c r="F378">
        <v>15.968999999999999</v>
      </c>
      <c r="G378">
        <v>84.048599999999993</v>
      </c>
      <c r="H378">
        <v>96.119600000000005</v>
      </c>
    </row>
    <row r="379" spans="1:8" x14ac:dyDescent="0.15">
      <c r="A379" t="s">
        <v>13</v>
      </c>
      <c r="B379">
        <v>10000</v>
      </c>
      <c r="C379">
        <v>19</v>
      </c>
      <c r="D379">
        <v>5.0536000000000003</v>
      </c>
      <c r="E379">
        <v>395.75400000000002</v>
      </c>
      <c r="F379">
        <v>15.974</v>
      </c>
      <c r="G379">
        <v>84.074600000000004</v>
      </c>
      <c r="H379">
        <v>96.100099999999998</v>
      </c>
    </row>
    <row r="380" spans="1:8" x14ac:dyDescent="0.15">
      <c r="A380" t="s">
        <v>13</v>
      </c>
      <c r="B380">
        <v>10000</v>
      </c>
      <c r="C380">
        <v>19</v>
      </c>
      <c r="D380">
        <v>5.0551000000000004</v>
      </c>
      <c r="E380">
        <v>395.6404</v>
      </c>
      <c r="F380">
        <v>15.97</v>
      </c>
      <c r="G380">
        <v>84.050399999999996</v>
      </c>
      <c r="H380">
        <v>96.122600000000006</v>
      </c>
    </row>
    <row r="381" spans="1:8" x14ac:dyDescent="0.15">
      <c r="A381" t="s">
        <v>13</v>
      </c>
      <c r="B381">
        <v>10000</v>
      </c>
      <c r="C381">
        <v>19</v>
      </c>
      <c r="D381">
        <v>5.0533000000000001</v>
      </c>
      <c r="E381">
        <v>395.77949999999998</v>
      </c>
      <c r="F381">
        <v>15.975</v>
      </c>
      <c r="G381">
        <v>84.08</v>
      </c>
      <c r="H381">
        <v>96.094200000000001</v>
      </c>
    </row>
    <row r="382" spans="1:8" x14ac:dyDescent="0.15">
      <c r="A382" t="s">
        <v>13</v>
      </c>
      <c r="B382">
        <v>10000</v>
      </c>
      <c r="C382">
        <v>19</v>
      </c>
      <c r="D382">
        <v>5.0570000000000004</v>
      </c>
      <c r="E382">
        <v>395.48860000000002</v>
      </c>
      <c r="F382">
        <v>15.962999999999999</v>
      </c>
      <c r="G382">
        <v>84.018199999999993</v>
      </c>
      <c r="H382">
        <v>96.161600000000007</v>
      </c>
    </row>
    <row r="383" spans="1:8" x14ac:dyDescent="0.15">
      <c r="A383" t="s">
        <v>13</v>
      </c>
      <c r="B383">
        <v>10000</v>
      </c>
      <c r="C383">
        <v>19</v>
      </c>
      <c r="D383">
        <v>5.0529000000000002</v>
      </c>
      <c r="E383">
        <v>395.81009999999998</v>
      </c>
      <c r="F383">
        <v>15.976000000000001</v>
      </c>
      <c r="G383">
        <v>84.086500000000001</v>
      </c>
      <c r="H383">
        <v>96.087400000000002</v>
      </c>
    </row>
    <row r="384" spans="1:8" x14ac:dyDescent="0.15">
      <c r="A384" t="s">
        <v>13</v>
      </c>
      <c r="B384">
        <v>10000</v>
      </c>
      <c r="C384">
        <v>19</v>
      </c>
      <c r="D384">
        <v>5.0572999999999997</v>
      </c>
      <c r="E384">
        <v>395.46550000000002</v>
      </c>
      <c r="F384">
        <v>15.962999999999999</v>
      </c>
      <c r="G384">
        <v>84.013300000000001</v>
      </c>
      <c r="H384">
        <v>96.166499999999999</v>
      </c>
    </row>
    <row r="385" spans="1:8" x14ac:dyDescent="0.15">
      <c r="A385" t="s">
        <v>13</v>
      </c>
      <c r="B385">
        <v>10000</v>
      </c>
      <c r="C385">
        <v>19</v>
      </c>
      <c r="D385">
        <v>5.0552999999999999</v>
      </c>
      <c r="E385">
        <v>395.62819999999999</v>
      </c>
      <c r="F385">
        <v>15.968999999999999</v>
      </c>
      <c r="G385">
        <v>84.047799999999995</v>
      </c>
      <c r="H385">
        <v>96.130399999999995</v>
      </c>
    </row>
    <row r="386" spans="1:8" x14ac:dyDescent="0.15">
      <c r="A386" t="s">
        <v>13</v>
      </c>
      <c r="B386">
        <v>10000</v>
      </c>
      <c r="C386">
        <v>19</v>
      </c>
      <c r="D386">
        <v>5.0582000000000003</v>
      </c>
      <c r="E386">
        <v>395.39449999999999</v>
      </c>
      <c r="F386">
        <v>15.96</v>
      </c>
      <c r="G386">
        <v>83.998199999999997</v>
      </c>
      <c r="H386">
        <v>96.182100000000005</v>
      </c>
    </row>
    <row r="387" spans="1:8" x14ac:dyDescent="0.15">
      <c r="A387" t="s">
        <v>13</v>
      </c>
      <c r="B387">
        <v>10000</v>
      </c>
      <c r="C387">
        <v>19</v>
      </c>
      <c r="D387">
        <v>5.0570000000000004</v>
      </c>
      <c r="E387">
        <v>395.49220000000003</v>
      </c>
      <c r="F387">
        <v>15.964</v>
      </c>
      <c r="G387">
        <v>84.018900000000002</v>
      </c>
      <c r="H387">
        <v>96.165499999999994</v>
      </c>
    </row>
    <row r="388" spans="1:8" x14ac:dyDescent="0.15">
      <c r="A388" t="s">
        <v>13</v>
      </c>
      <c r="B388">
        <v>10000</v>
      </c>
      <c r="C388">
        <v>20</v>
      </c>
      <c r="D388">
        <v>6.7824</v>
      </c>
      <c r="E388">
        <v>294.87990000000002</v>
      </c>
      <c r="F388">
        <v>11.901999999999999</v>
      </c>
      <c r="G388">
        <v>59.512500000000003</v>
      </c>
      <c r="H388">
        <v>128.9683</v>
      </c>
    </row>
    <row r="389" spans="1:8" x14ac:dyDescent="0.15">
      <c r="A389" t="s">
        <v>13</v>
      </c>
      <c r="B389">
        <v>10000</v>
      </c>
      <c r="C389">
        <v>20</v>
      </c>
      <c r="D389">
        <v>6.4306000000000001</v>
      </c>
      <c r="E389">
        <v>311.01119999999997</v>
      </c>
      <c r="F389">
        <v>12.554</v>
      </c>
      <c r="G389">
        <v>62.768099999999997</v>
      </c>
      <c r="H389">
        <v>122.2817</v>
      </c>
    </row>
    <row r="390" spans="1:8" x14ac:dyDescent="0.15">
      <c r="A390" t="s">
        <v>13</v>
      </c>
      <c r="B390">
        <v>10000</v>
      </c>
      <c r="C390">
        <v>20</v>
      </c>
      <c r="D390">
        <v>7.2178000000000004</v>
      </c>
      <c r="E390">
        <v>277.09120000000001</v>
      </c>
      <c r="F390">
        <v>11.183999999999999</v>
      </c>
      <c r="G390">
        <v>55.922400000000003</v>
      </c>
      <c r="H390">
        <v>137.25489999999999</v>
      </c>
    </row>
    <row r="391" spans="1:8" x14ac:dyDescent="0.15">
      <c r="A391" t="s">
        <v>13</v>
      </c>
      <c r="B391">
        <v>10000</v>
      </c>
      <c r="C391">
        <v>20</v>
      </c>
      <c r="D391">
        <v>6.4507000000000003</v>
      </c>
      <c r="E391">
        <v>310.04509999999999</v>
      </c>
      <c r="F391">
        <v>12.515000000000001</v>
      </c>
      <c r="G391">
        <v>62.573099999999997</v>
      </c>
      <c r="H391">
        <v>122.6694</v>
      </c>
    </row>
    <row r="392" spans="1:8" x14ac:dyDescent="0.15">
      <c r="A392" t="s">
        <v>13</v>
      </c>
      <c r="B392">
        <v>10000</v>
      </c>
      <c r="C392">
        <v>20</v>
      </c>
      <c r="D392">
        <v>6.6224999999999996</v>
      </c>
      <c r="E392">
        <v>302.00240000000002</v>
      </c>
      <c r="F392">
        <v>12.19</v>
      </c>
      <c r="G392">
        <v>60.95</v>
      </c>
      <c r="H392">
        <v>125.92870000000001</v>
      </c>
    </row>
    <row r="393" spans="1:8" x14ac:dyDescent="0.15">
      <c r="A393" t="s">
        <v>13</v>
      </c>
      <c r="B393">
        <v>10000</v>
      </c>
      <c r="C393">
        <v>20</v>
      </c>
      <c r="D393">
        <v>6.6195000000000004</v>
      </c>
      <c r="E393">
        <v>302.13569999999999</v>
      </c>
      <c r="F393">
        <v>12.195</v>
      </c>
      <c r="G393">
        <v>60.976799999999997</v>
      </c>
      <c r="H393">
        <v>125.876</v>
      </c>
    </row>
    <row r="394" spans="1:8" x14ac:dyDescent="0.15">
      <c r="A394" t="s">
        <v>13</v>
      </c>
      <c r="B394">
        <v>10000</v>
      </c>
      <c r="C394">
        <v>20</v>
      </c>
      <c r="D394">
        <v>6.4775</v>
      </c>
      <c r="E394">
        <v>308.76130000000001</v>
      </c>
      <c r="F394">
        <v>12.462999999999999</v>
      </c>
      <c r="G394">
        <v>62.314</v>
      </c>
      <c r="H394">
        <v>123.1772</v>
      </c>
    </row>
    <row r="395" spans="1:8" x14ac:dyDescent="0.15">
      <c r="A395" t="s">
        <v>13</v>
      </c>
      <c r="B395">
        <v>10000</v>
      </c>
      <c r="C395">
        <v>20</v>
      </c>
      <c r="D395">
        <v>6.6853999999999996</v>
      </c>
      <c r="E395">
        <v>299.1592</v>
      </c>
      <c r="F395">
        <v>12.074999999999999</v>
      </c>
      <c r="G395">
        <v>60.376100000000001</v>
      </c>
      <c r="H395">
        <v>127.12649999999999</v>
      </c>
    </row>
    <row r="396" spans="1:8" x14ac:dyDescent="0.15">
      <c r="A396" t="s">
        <v>13</v>
      </c>
      <c r="B396">
        <v>10000</v>
      </c>
      <c r="C396">
        <v>20</v>
      </c>
      <c r="D396">
        <v>6.5144000000000002</v>
      </c>
      <c r="E396">
        <v>307.01429999999999</v>
      </c>
      <c r="F396">
        <v>12.391999999999999</v>
      </c>
      <c r="G396">
        <v>61.961399999999998</v>
      </c>
      <c r="H396">
        <v>123.8755</v>
      </c>
    </row>
    <row r="397" spans="1:8" x14ac:dyDescent="0.15">
      <c r="A397" t="s">
        <v>13</v>
      </c>
      <c r="B397">
        <v>10000</v>
      </c>
      <c r="C397">
        <v>20</v>
      </c>
      <c r="D397">
        <v>6.7847999999999997</v>
      </c>
      <c r="E397">
        <v>294.77659999999997</v>
      </c>
      <c r="F397">
        <v>11.898</v>
      </c>
      <c r="G397">
        <v>59.491599999999998</v>
      </c>
      <c r="H397">
        <v>129.01900000000001</v>
      </c>
    </row>
    <row r="398" spans="1:8" x14ac:dyDescent="0.15">
      <c r="A398" t="s">
        <v>13</v>
      </c>
      <c r="B398">
        <v>10000</v>
      </c>
      <c r="C398">
        <v>20</v>
      </c>
      <c r="D398">
        <v>6.4371</v>
      </c>
      <c r="E398">
        <v>310.69990000000001</v>
      </c>
      <c r="F398">
        <v>12.541</v>
      </c>
      <c r="G398">
        <v>62.705300000000001</v>
      </c>
      <c r="H398">
        <v>122.40770000000001</v>
      </c>
    </row>
    <row r="399" spans="1:8" x14ac:dyDescent="0.15">
      <c r="A399" t="s">
        <v>13</v>
      </c>
      <c r="B399">
        <v>10000</v>
      </c>
      <c r="C399">
        <v>20</v>
      </c>
      <c r="D399">
        <v>6.7365000000000004</v>
      </c>
      <c r="E399">
        <v>296.88819999999998</v>
      </c>
      <c r="F399">
        <v>11.984</v>
      </c>
      <c r="G399">
        <v>59.9178</v>
      </c>
      <c r="H399">
        <v>128.10059999999999</v>
      </c>
    </row>
    <row r="400" spans="1:8" x14ac:dyDescent="0.15">
      <c r="A400" t="s">
        <v>13</v>
      </c>
      <c r="B400">
        <v>10000</v>
      </c>
      <c r="C400">
        <v>20</v>
      </c>
      <c r="D400">
        <v>6.4748999999999999</v>
      </c>
      <c r="E400">
        <v>308.88690000000003</v>
      </c>
      <c r="F400">
        <v>12.468</v>
      </c>
      <c r="G400">
        <v>62.339399999999998</v>
      </c>
      <c r="H400">
        <v>123.125</v>
      </c>
    </row>
    <row r="401" spans="1:8" x14ac:dyDescent="0.15">
      <c r="A401" t="s">
        <v>13</v>
      </c>
      <c r="B401">
        <v>10000</v>
      </c>
      <c r="C401">
        <v>20</v>
      </c>
      <c r="D401">
        <v>4.8917999999999999</v>
      </c>
      <c r="E401">
        <v>408.84899999999999</v>
      </c>
      <c r="F401">
        <v>16.503</v>
      </c>
      <c r="G401">
        <v>82.5137</v>
      </c>
      <c r="H401">
        <v>97.527299999999997</v>
      </c>
    </row>
    <row r="402" spans="1:8" x14ac:dyDescent="0.15">
      <c r="A402" t="s">
        <v>13</v>
      </c>
      <c r="B402">
        <v>10000</v>
      </c>
      <c r="C402">
        <v>20</v>
      </c>
      <c r="D402">
        <v>4.8080999999999996</v>
      </c>
      <c r="E402">
        <v>415.96339999999998</v>
      </c>
      <c r="F402">
        <v>16.79</v>
      </c>
      <c r="G402">
        <v>83.9495</v>
      </c>
      <c r="H402">
        <v>96.218299999999999</v>
      </c>
    </row>
    <row r="403" spans="1:8" x14ac:dyDescent="0.15">
      <c r="A403" t="s">
        <v>13</v>
      </c>
      <c r="B403">
        <v>10000</v>
      </c>
      <c r="C403">
        <v>20</v>
      </c>
      <c r="D403">
        <v>4.8091999999999997</v>
      </c>
      <c r="E403">
        <v>415.87389999999999</v>
      </c>
      <c r="F403">
        <v>16.786000000000001</v>
      </c>
      <c r="G403">
        <v>83.931399999999996</v>
      </c>
      <c r="H403">
        <v>96.235399999999998</v>
      </c>
    </row>
    <row r="404" spans="1:8" x14ac:dyDescent="0.15">
      <c r="A404" t="s">
        <v>13</v>
      </c>
      <c r="B404">
        <v>10000</v>
      </c>
      <c r="C404">
        <v>20</v>
      </c>
      <c r="D404">
        <v>4.8118999999999996</v>
      </c>
      <c r="E404">
        <v>415.63569999999999</v>
      </c>
      <c r="F404">
        <v>16.777000000000001</v>
      </c>
      <c r="G404">
        <v>83.883300000000006</v>
      </c>
      <c r="H404">
        <v>96.275400000000005</v>
      </c>
    </row>
    <row r="405" spans="1:8" x14ac:dyDescent="0.15">
      <c r="A405" t="s">
        <v>13</v>
      </c>
      <c r="B405">
        <v>10000</v>
      </c>
      <c r="C405">
        <v>20</v>
      </c>
      <c r="D405">
        <v>4.8112000000000004</v>
      </c>
      <c r="E405">
        <v>415.69830000000002</v>
      </c>
      <c r="F405">
        <v>16.779</v>
      </c>
      <c r="G405">
        <v>83.896000000000001</v>
      </c>
      <c r="H405">
        <v>96.282200000000003</v>
      </c>
    </row>
    <row r="406" spans="1:8" x14ac:dyDescent="0.15">
      <c r="A406" t="s">
        <v>13</v>
      </c>
      <c r="B406">
        <v>10000</v>
      </c>
      <c r="C406">
        <v>20</v>
      </c>
      <c r="D406">
        <v>4.8090999999999999</v>
      </c>
      <c r="E406">
        <v>415.88220000000001</v>
      </c>
      <c r="F406">
        <v>16.786999999999999</v>
      </c>
      <c r="G406">
        <v>83.933099999999996</v>
      </c>
      <c r="H406">
        <v>96.237799999999993</v>
      </c>
    </row>
    <row r="407" spans="1:8" x14ac:dyDescent="0.15">
      <c r="A407" t="s">
        <v>13</v>
      </c>
      <c r="B407">
        <v>10000</v>
      </c>
      <c r="C407">
        <v>20</v>
      </c>
      <c r="D407">
        <v>4.8090000000000002</v>
      </c>
      <c r="E407">
        <v>415.88639999999998</v>
      </c>
      <c r="F407">
        <v>16.786999999999999</v>
      </c>
      <c r="G407">
        <v>83.933899999999994</v>
      </c>
      <c r="H407">
        <v>96.238299999999995</v>
      </c>
    </row>
    <row r="408" spans="1:8" x14ac:dyDescent="0.15">
      <c r="A408" t="s">
        <v>13</v>
      </c>
      <c r="B408">
        <v>10000</v>
      </c>
      <c r="C408">
        <v>20</v>
      </c>
      <c r="D408">
        <v>4.8117999999999999</v>
      </c>
      <c r="E408">
        <v>415.64330000000001</v>
      </c>
      <c r="F408">
        <v>16.777000000000001</v>
      </c>
      <c r="G408">
        <v>83.884900000000002</v>
      </c>
      <c r="H408">
        <v>96.294399999999996</v>
      </c>
    </row>
    <row r="409" spans="1:8" x14ac:dyDescent="0.15">
      <c r="A409" t="s">
        <v>13</v>
      </c>
      <c r="B409">
        <v>10000</v>
      </c>
      <c r="C409">
        <v>20</v>
      </c>
      <c r="D409">
        <v>4.8099999999999996</v>
      </c>
      <c r="E409">
        <v>415.79820000000001</v>
      </c>
      <c r="F409">
        <v>16.783000000000001</v>
      </c>
      <c r="G409">
        <v>83.9161</v>
      </c>
      <c r="H409">
        <v>96.258300000000006</v>
      </c>
    </row>
    <row r="410" spans="1:8" x14ac:dyDescent="0.15">
      <c r="A410" t="s">
        <v>13</v>
      </c>
      <c r="B410">
        <v>10000</v>
      </c>
      <c r="C410">
        <v>20</v>
      </c>
      <c r="D410">
        <v>4.8075999999999999</v>
      </c>
      <c r="E410">
        <v>416.00650000000002</v>
      </c>
      <c r="F410">
        <v>16.792000000000002</v>
      </c>
      <c r="G410">
        <v>83.958200000000005</v>
      </c>
      <c r="H410">
        <v>96.197299999999998</v>
      </c>
    </row>
    <row r="411" spans="1:8" x14ac:dyDescent="0.15">
      <c r="A411" t="s">
        <v>13</v>
      </c>
      <c r="B411">
        <v>10000</v>
      </c>
      <c r="C411">
        <v>20</v>
      </c>
      <c r="D411">
        <v>4.8089000000000004</v>
      </c>
      <c r="E411">
        <v>415.89920000000001</v>
      </c>
      <c r="F411">
        <v>16.786999999999999</v>
      </c>
      <c r="G411">
        <v>83.936499999999995</v>
      </c>
      <c r="H411">
        <v>96.233400000000003</v>
      </c>
    </row>
    <row r="412" spans="1:8" x14ac:dyDescent="0.15">
      <c r="A412" t="s">
        <v>13</v>
      </c>
      <c r="B412">
        <v>10000</v>
      </c>
      <c r="C412">
        <v>20</v>
      </c>
      <c r="D412">
        <v>4.8103999999999996</v>
      </c>
      <c r="E412">
        <v>415.76819999999998</v>
      </c>
      <c r="F412">
        <v>16.782</v>
      </c>
      <c r="G412">
        <v>83.9101</v>
      </c>
      <c r="H412">
        <v>96.259299999999996</v>
      </c>
    </row>
    <row r="413" spans="1:8" x14ac:dyDescent="0.15">
      <c r="A413" t="s">
        <v>13</v>
      </c>
      <c r="B413">
        <v>10000</v>
      </c>
      <c r="C413">
        <v>20</v>
      </c>
      <c r="D413">
        <v>4.8124000000000002</v>
      </c>
      <c r="E413">
        <v>415.5917</v>
      </c>
      <c r="F413">
        <v>16.774999999999999</v>
      </c>
      <c r="G413">
        <v>83.874499999999998</v>
      </c>
      <c r="H413">
        <v>96.307100000000005</v>
      </c>
    </row>
    <row r="414" spans="1:8" x14ac:dyDescent="0.15">
      <c r="A414" t="s">
        <v>13</v>
      </c>
      <c r="B414">
        <v>10000</v>
      </c>
      <c r="C414">
        <v>20</v>
      </c>
      <c r="D414">
        <v>4.8080999999999996</v>
      </c>
      <c r="E414">
        <v>415.96530000000001</v>
      </c>
      <c r="F414">
        <v>16.79</v>
      </c>
      <c r="G414">
        <v>83.9499</v>
      </c>
      <c r="H414">
        <v>96.177700000000002</v>
      </c>
    </row>
    <row r="415" spans="1:8" x14ac:dyDescent="0.15">
      <c r="A415" t="s">
        <v>13</v>
      </c>
      <c r="B415">
        <v>10000</v>
      </c>
      <c r="C415">
        <v>20</v>
      </c>
      <c r="D415">
        <v>4.8101000000000003</v>
      </c>
      <c r="E415">
        <v>415.79180000000002</v>
      </c>
      <c r="F415">
        <v>16.783000000000001</v>
      </c>
      <c r="G415">
        <v>83.9148</v>
      </c>
      <c r="H415">
        <v>96.251999999999995</v>
      </c>
    </row>
    <row r="416" spans="1:8" x14ac:dyDescent="0.15">
      <c r="A416" t="s">
        <v>13</v>
      </c>
      <c r="B416">
        <v>10000</v>
      </c>
      <c r="C416">
        <v>20</v>
      </c>
      <c r="D416">
        <v>4.8110999999999997</v>
      </c>
      <c r="E416">
        <v>415.70760000000001</v>
      </c>
      <c r="F416">
        <v>16.78</v>
      </c>
      <c r="G416">
        <v>83.897800000000004</v>
      </c>
      <c r="H416">
        <v>96.276399999999995</v>
      </c>
    </row>
    <row r="417" spans="1:8" x14ac:dyDescent="0.15">
      <c r="A417" t="s">
        <v>13</v>
      </c>
      <c r="B417">
        <v>10000</v>
      </c>
      <c r="C417">
        <v>20</v>
      </c>
      <c r="D417">
        <v>4.8094000000000001</v>
      </c>
      <c r="E417">
        <v>415.85559999999998</v>
      </c>
      <c r="F417">
        <v>16.786000000000001</v>
      </c>
      <c r="G417">
        <v>83.927700000000002</v>
      </c>
      <c r="H417">
        <v>96.247100000000003</v>
      </c>
    </row>
    <row r="418" spans="1:8" x14ac:dyDescent="0.15">
      <c r="A418" t="s">
        <v>13</v>
      </c>
      <c r="B418">
        <v>10000</v>
      </c>
      <c r="C418">
        <v>20</v>
      </c>
      <c r="D418">
        <v>4.8018000000000001</v>
      </c>
      <c r="E418">
        <v>416.51369999999997</v>
      </c>
      <c r="F418">
        <v>16.812000000000001</v>
      </c>
      <c r="G418">
        <v>84.060500000000005</v>
      </c>
      <c r="H418">
        <v>96.082999999999998</v>
      </c>
    </row>
    <row r="419" spans="1:8" x14ac:dyDescent="0.15">
      <c r="A419" t="s">
        <v>13</v>
      </c>
      <c r="B419">
        <v>10000</v>
      </c>
      <c r="C419">
        <v>20</v>
      </c>
      <c r="D419">
        <v>4.8017000000000003</v>
      </c>
      <c r="E419">
        <v>416.52179999999998</v>
      </c>
      <c r="F419">
        <v>16.812000000000001</v>
      </c>
      <c r="G419">
        <v>84.062200000000004</v>
      </c>
      <c r="H419">
        <v>96.093800000000002</v>
      </c>
    </row>
    <row r="420" spans="1:8" x14ac:dyDescent="0.15">
      <c r="A420" t="s">
        <v>13</v>
      </c>
      <c r="B420">
        <v>10000</v>
      </c>
      <c r="C420">
        <v>20</v>
      </c>
      <c r="D420">
        <v>4.8079000000000001</v>
      </c>
      <c r="E420">
        <v>415.9862</v>
      </c>
      <c r="F420">
        <v>16.791</v>
      </c>
      <c r="G420">
        <v>83.954099999999997</v>
      </c>
      <c r="H420">
        <v>96.215800000000002</v>
      </c>
    </row>
    <row r="421" spans="1:8" x14ac:dyDescent="0.15">
      <c r="A421" t="s">
        <v>13</v>
      </c>
      <c r="B421">
        <v>10000</v>
      </c>
      <c r="C421">
        <v>20</v>
      </c>
      <c r="D421">
        <v>4.8074000000000003</v>
      </c>
      <c r="E421">
        <v>416.02420000000001</v>
      </c>
      <c r="F421">
        <v>16.792000000000002</v>
      </c>
      <c r="G421">
        <v>83.961799999999997</v>
      </c>
      <c r="H421">
        <v>96.2119</v>
      </c>
    </row>
    <row r="422" spans="1:8" x14ac:dyDescent="0.15">
      <c r="A422" t="s">
        <v>13</v>
      </c>
      <c r="B422">
        <v>10000</v>
      </c>
      <c r="C422">
        <v>20</v>
      </c>
      <c r="D422">
        <v>4.7980999999999998</v>
      </c>
      <c r="E422">
        <v>416.83100000000002</v>
      </c>
      <c r="F422">
        <v>16.824999999999999</v>
      </c>
      <c r="G422">
        <v>84.124600000000001</v>
      </c>
      <c r="H422">
        <v>96.032200000000003</v>
      </c>
    </row>
    <row r="423" spans="1:8" x14ac:dyDescent="0.15">
      <c r="A423" t="s">
        <v>13</v>
      </c>
      <c r="B423">
        <v>10000</v>
      </c>
      <c r="C423">
        <v>20</v>
      </c>
      <c r="D423">
        <v>4.8082000000000003</v>
      </c>
      <c r="E423">
        <v>415.95920000000001</v>
      </c>
      <c r="F423">
        <v>16.79</v>
      </c>
      <c r="G423">
        <v>83.948599999999999</v>
      </c>
      <c r="H423">
        <v>96.145499999999998</v>
      </c>
    </row>
    <row r="424" spans="1:8" x14ac:dyDescent="0.15">
      <c r="A424" t="s">
        <v>13</v>
      </c>
      <c r="B424">
        <v>10000</v>
      </c>
      <c r="C424">
        <v>20</v>
      </c>
      <c r="D424">
        <v>4.8018999999999998</v>
      </c>
      <c r="E424">
        <v>416.5034</v>
      </c>
      <c r="F424">
        <v>16.812000000000001</v>
      </c>
      <c r="G424">
        <v>84.058499999999995</v>
      </c>
      <c r="H424">
        <v>96.089799999999997</v>
      </c>
    </row>
    <row r="425" spans="1:8" x14ac:dyDescent="0.15">
      <c r="A425" t="s">
        <v>13</v>
      </c>
      <c r="B425">
        <v>10000</v>
      </c>
      <c r="C425">
        <v>20</v>
      </c>
      <c r="D425">
        <v>4.7999000000000001</v>
      </c>
      <c r="E425">
        <v>416.6712</v>
      </c>
      <c r="F425">
        <v>16.818000000000001</v>
      </c>
      <c r="G425">
        <v>84.092299999999994</v>
      </c>
      <c r="H425">
        <v>96.058599999999998</v>
      </c>
    </row>
    <row r="426" spans="1:8" x14ac:dyDescent="0.15">
      <c r="A426" t="s">
        <v>13</v>
      </c>
      <c r="B426">
        <v>10000</v>
      </c>
      <c r="C426">
        <v>20</v>
      </c>
      <c r="D426">
        <v>4.7995999999999999</v>
      </c>
      <c r="E426">
        <v>416.70350000000002</v>
      </c>
      <c r="F426">
        <v>16.82</v>
      </c>
      <c r="G426">
        <v>84.098799999999997</v>
      </c>
      <c r="H426">
        <v>96.049800000000005</v>
      </c>
    </row>
    <row r="427" spans="1:8" x14ac:dyDescent="0.15">
      <c r="A427" t="s">
        <v>13</v>
      </c>
      <c r="B427">
        <v>10000</v>
      </c>
      <c r="C427">
        <v>20</v>
      </c>
      <c r="D427">
        <v>4.8042999999999996</v>
      </c>
      <c r="E427">
        <v>416.29719999999998</v>
      </c>
      <c r="F427">
        <v>16.803000000000001</v>
      </c>
      <c r="G427">
        <v>84.016800000000003</v>
      </c>
      <c r="H427">
        <v>96.140600000000006</v>
      </c>
    </row>
    <row r="428" spans="1:8" x14ac:dyDescent="0.15">
      <c r="A428" t="s">
        <v>13</v>
      </c>
      <c r="B428">
        <v>10000</v>
      </c>
      <c r="C428">
        <v>20</v>
      </c>
      <c r="D428">
        <v>4.8053999999999997</v>
      </c>
      <c r="E428">
        <v>416.20030000000003</v>
      </c>
      <c r="F428">
        <v>16.798999999999999</v>
      </c>
      <c r="G428">
        <v>83.997299999999996</v>
      </c>
      <c r="H428">
        <v>96.167000000000002</v>
      </c>
    </row>
    <row r="429" spans="1:8" x14ac:dyDescent="0.15">
      <c r="A429" t="s">
        <v>13</v>
      </c>
      <c r="B429">
        <v>10000</v>
      </c>
      <c r="C429">
        <v>20</v>
      </c>
      <c r="D429">
        <v>4.8053999999999997</v>
      </c>
      <c r="E429">
        <v>416.19810000000001</v>
      </c>
      <c r="F429">
        <v>16.798999999999999</v>
      </c>
      <c r="G429">
        <v>83.996799999999993</v>
      </c>
      <c r="H429">
        <v>96.1357</v>
      </c>
    </row>
    <row r="430" spans="1:8" x14ac:dyDescent="0.15">
      <c r="A430" t="s">
        <v>13</v>
      </c>
      <c r="B430">
        <v>10000</v>
      </c>
      <c r="C430">
        <v>20</v>
      </c>
      <c r="D430">
        <v>4.8053999999999997</v>
      </c>
      <c r="E430">
        <v>416.19639999999998</v>
      </c>
      <c r="F430">
        <v>16.798999999999999</v>
      </c>
      <c r="G430">
        <v>83.996499999999997</v>
      </c>
      <c r="H430">
        <v>96.168899999999994</v>
      </c>
    </row>
    <row r="431" spans="1:8" x14ac:dyDescent="0.15">
      <c r="A431" t="s">
        <v>13</v>
      </c>
      <c r="B431">
        <v>10000</v>
      </c>
      <c r="C431">
        <v>20</v>
      </c>
      <c r="D431">
        <v>4.8026</v>
      </c>
      <c r="E431">
        <v>416.44459999999998</v>
      </c>
      <c r="F431">
        <v>16.809000000000001</v>
      </c>
      <c r="G431">
        <v>84.046599999999998</v>
      </c>
      <c r="H431">
        <v>96.104500000000002</v>
      </c>
    </row>
    <row r="432" spans="1:8" x14ac:dyDescent="0.15">
      <c r="A432" t="s">
        <v>13</v>
      </c>
      <c r="B432">
        <v>10000</v>
      </c>
      <c r="C432">
        <v>20</v>
      </c>
      <c r="D432">
        <v>4.8042999999999996</v>
      </c>
      <c r="E432">
        <v>416.2901</v>
      </c>
      <c r="F432">
        <v>16.803000000000001</v>
      </c>
      <c r="G432">
        <v>84.0154</v>
      </c>
      <c r="H432">
        <v>96.140600000000006</v>
      </c>
    </row>
    <row r="433" spans="1:8" x14ac:dyDescent="0.15">
      <c r="A433" t="s">
        <v>13</v>
      </c>
      <c r="B433">
        <v>10000</v>
      </c>
      <c r="C433">
        <v>20</v>
      </c>
      <c r="D433">
        <v>4.8018999999999998</v>
      </c>
      <c r="E433">
        <v>416.49849999999998</v>
      </c>
      <c r="F433">
        <v>16.811</v>
      </c>
      <c r="G433">
        <v>84.057500000000005</v>
      </c>
      <c r="H433">
        <v>96.093800000000002</v>
      </c>
    </row>
    <row r="434" spans="1:8" x14ac:dyDescent="0.15">
      <c r="A434" t="s">
        <v>13</v>
      </c>
      <c r="B434">
        <v>10000</v>
      </c>
      <c r="C434">
        <v>20</v>
      </c>
      <c r="D434">
        <v>4.8047000000000004</v>
      </c>
      <c r="E434">
        <v>416.262</v>
      </c>
      <c r="F434">
        <v>16.802</v>
      </c>
      <c r="G434">
        <v>84.009699999999995</v>
      </c>
      <c r="H434">
        <v>96.151399999999995</v>
      </c>
    </row>
    <row r="435" spans="1:8" x14ac:dyDescent="0.15">
      <c r="A435" t="s">
        <v>13</v>
      </c>
      <c r="B435">
        <v>10000</v>
      </c>
      <c r="C435">
        <v>20</v>
      </c>
      <c r="D435">
        <v>4.8045999999999998</v>
      </c>
      <c r="E435">
        <v>416.26760000000002</v>
      </c>
      <c r="F435">
        <v>16.802</v>
      </c>
      <c r="G435">
        <v>84.010900000000007</v>
      </c>
      <c r="H435">
        <v>96.1494</v>
      </c>
    </row>
    <row r="436" spans="1:8" x14ac:dyDescent="0.15">
      <c r="A436" t="s">
        <v>13</v>
      </c>
      <c r="B436">
        <v>10000</v>
      </c>
      <c r="C436">
        <v>20</v>
      </c>
      <c r="D436">
        <v>4.8066000000000004</v>
      </c>
      <c r="E436">
        <v>416.0908</v>
      </c>
      <c r="F436">
        <v>16.795000000000002</v>
      </c>
      <c r="G436">
        <v>83.975200000000001</v>
      </c>
      <c r="H436">
        <v>96.190399999999997</v>
      </c>
    </row>
    <row r="437" spans="1:8" x14ac:dyDescent="0.15">
      <c r="A437" t="s">
        <v>13</v>
      </c>
      <c r="B437">
        <v>10000</v>
      </c>
      <c r="C437">
        <v>20</v>
      </c>
      <c r="D437">
        <v>4.8080999999999996</v>
      </c>
      <c r="E437">
        <v>415.96339999999998</v>
      </c>
      <c r="F437">
        <v>16.79</v>
      </c>
      <c r="G437">
        <v>83.9495</v>
      </c>
      <c r="H437">
        <v>96.220699999999994</v>
      </c>
    </row>
    <row r="438" spans="1:8" x14ac:dyDescent="0.15">
      <c r="A438" t="s">
        <v>13</v>
      </c>
      <c r="B438">
        <v>10000</v>
      </c>
      <c r="C438">
        <v>20</v>
      </c>
      <c r="D438">
        <v>4.8072999999999997</v>
      </c>
      <c r="E438">
        <v>416.0299</v>
      </c>
      <c r="F438">
        <v>16.792999999999999</v>
      </c>
      <c r="G438">
        <v>83.962900000000005</v>
      </c>
      <c r="H438">
        <v>96.206100000000006</v>
      </c>
    </row>
    <row r="439" spans="1:8" x14ac:dyDescent="0.15">
      <c r="A439" t="s">
        <v>13</v>
      </c>
      <c r="B439">
        <v>10005</v>
      </c>
      <c r="C439">
        <v>1</v>
      </c>
      <c r="D439">
        <v>81.231399999999994</v>
      </c>
      <c r="E439">
        <v>24.658000000000001</v>
      </c>
      <c r="F439">
        <v>1</v>
      </c>
      <c r="G439">
        <v>100</v>
      </c>
      <c r="H439">
        <v>81.305599999999998</v>
      </c>
    </row>
    <row r="440" spans="1:8" x14ac:dyDescent="0.15">
      <c r="A440" t="s">
        <v>13</v>
      </c>
      <c r="B440">
        <v>10005</v>
      </c>
      <c r="C440">
        <v>1</v>
      </c>
      <c r="D440">
        <v>81.062200000000004</v>
      </c>
      <c r="E440">
        <v>24.709399999999999</v>
      </c>
      <c r="F440">
        <v>1.002</v>
      </c>
      <c r="G440">
        <v>100.20869999999999</v>
      </c>
      <c r="H440">
        <v>81.1357</v>
      </c>
    </row>
    <row r="441" spans="1:8" x14ac:dyDescent="0.15">
      <c r="A441" t="s">
        <v>13</v>
      </c>
      <c r="B441">
        <v>10005</v>
      </c>
      <c r="C441">
        <v>1</v>
      </c>
      <c r="D441">
        <v>81.063999999999993</v>
      </c>
      <c r="E441">
        <v>24.7089</v>
      </c>
      <c r="F441">
        <v>1.002</v>
      </c>
      <c r="G441">
        <v>100.20650000000001</v>
      </c>
      <c r="H441">
        <v>81.137699999999995</v>
      </c>
    </row>
    <row r="442" spans="1:8" x14ac:dyDescent="0.15">
      <c r="A442" t="s">
        <v>13</v>
      </c>
      <c r="B442">
        <v>10005</v>
      </c>
      <c r="C442">
        <v>1</v>
      </c>
      <c r="D442">
        <v>81.051400000000001</v>
      </c>
      <c r="E442">
        <v>24.712700000000002</v>
      </c>
      <c r="F442">
        <v>1.002</v>
      </c>
      <c r="G442">
        <v>100.2221</v>
      </c>
      <c r="H442">
        <v>81.124700000000004</v>
      </c>
    </row>
    <row r="443" spans="1:8" x14ac:dyDescent="0.15">
      <c r="A443" t="s">
        <v>13</v>
      </c>
      <c r="B443">
        <v>10005</v>
      </c>
      <c r="C443">
        <v>1</v>
      </c>
      <c r="D443">
        <v>81.061400000000006</v>
      </c>
      <c r="E443">
        <v>24.709700000000002</v>
      </c>
      <c r="F443">
        <v>1.002</v>
      </c>
      <c r="G443">
        <v>100.2097</v>
      </c>
      <c r="H443">
        <v>81.133700000000005</v>
      </c>
    </row>
    <row r="444" spans="1:8" x14ac:dyDescent="0.15">
      <c r="A444" t="s">
        <v>13</v>
      </c>
      <c r="B444">
        <v>10005</v>
      </c>
      <c r="C444">
        <v>1</v>
      </c>
      <c r="D444">
        <v>81.053700000000006</v>
      </c>
      <c r="E444">
        <v>24.712</v>
      </c>
      <c r="F444">
        <v>1.002</v>
      </c>
      <c r="G444">
        <v>100.2192</v>
      </c>
      <c r="H444">
        <v>81.127700000000004</v>
      </c>
    </row>
    <row r="445" spans="1:8" x14ac:dyDescent="0.15">
      <c r="A445" t="s">
        <v>13</v>
      </c>
      <c r="B445">
        <v>10005</v>
      </c>
      <c r="C445">
        <v>19</v>
      </c>
      <c r="D445">
        <v>4.7717999999999998</v>
      </c>
      <c r="E445">
        <v>419.75940000000003</v>
      </c>
      <c r="F445">
        <v>17.023</v>
      </c>
      <c r="G445">
        <v>89.596199999999996</v>
      </c>
      <c r="H445">
        <v>90.742199999999997</v>
      </c>
    </row>
    <row r="446" spans="1:8" x14ac:dyDescent="0.15">
      <c r="A446" t="s">
        <v>13</v>
      </c>
      <c r="B446">
        <v>10005</v>
      </c>
      <c r="C446">
        <v>19</v>
      </c>
      <c r="D446">
        <v>4.7690999999999999</v>
      </c>
      <c r="E446">
        <v>419.99369999999999</v>
      </c>
      <c r="F446">
        <v>17.033000000000001</v>
      </c>
      <c r="G446">
        <v>89.646199999999993</v>
      </c>
      <c r="H446">
        <v>90.693200000000004</v>
      </c>
    </row>
    <row r="447" spans="1:8" x14ac:dyDescent="0.15">
      <c r="A447" t="s">
        <v>13</v>
      </c>
      <c r="B447">
        <v>10005</v>
      </c>
      <c r="C447">
        <v>19</v>
      </c>
      <c r="D447">
        <v>4.7694000000000001</v>
      </c>
      <c r="E447">
        <v>419.96969999999999</v>
      </c>
      <c r="F447">
        <v>17.032</v>
      </c>
      <c r="G447">
        <v>89.641099999999994</v>
      </c>
      <c r="H447">
        <v>90.699200000000005</v>
      </c>
    </row>
    <row r="448" spans="1:8" x14ac:dyDescent="0.15">
      <c r="A448" t="s">
        <v>13</v>
      </c>
      <c r="B448">
        <v>10005</v>
      </c>
      <c r="C448">
        <v>19</v>
      </c>
      <c r="D448">
        <v>4.9702999999999999</v>
      </c>
      <c r="E448">
        <v>402.99579999999997</v>
      </c>
      <c r="F448">
        <v>16.343</v>
      </c>
      <c r="G448">
        <v>86.018100000000004</v>
      </c>
      <c r="H448">
        <v>94.518600000000006</v>
      </c>
    </row>
    <row r="449" spans="1:8" x14ac:dyDescent="0.15">
      <c r="A449" t="s">
        <v>13</v>
      </c>
      <c r="B449">
        <v>10005</v>
      </c>
      <c r="C449">
        <v>19</v>
      </c>
      <c r="D449">
        <v>5.1151</v>
      </c>
      <c r="E449">
        <v>391.5874</v>
      </c>
      <c r="F449">
        <v>15.881</v>
      </c>
      <c r="G449">
        <v>83.582999999999998</v>
      </c>
      <c r="H449">
        <v>97.273200000000003</v>
      </c>
    </row>
    <row r="450" spans="1:8" x14ac:dyDescent="0.15">
      <c r="A450" t="s">
        <v>13</v>
      </c>
      <c r="B450">
        <v>10005</v>
      </c>
      <c r="C450">
        <v>19</v>
      </c>
      <c r="D450">
        <v>5.1077000000000004</v>
      </c>
      <c r="E450">
        <v>392.1567</v>
      </c>
      <c r="F450">
        <v>15.904</v>
      </c>
      <c r="G450">
        <v>83.704499999999996</v>
      </c>
      <c r="H450">
        <v>97.132199999999997</v>
      </c>
    </row>
    <row r="451" spans="1:8" x14ac:dyDescent="0.15">
      <c r="A451" t="s">
        <v>13</v>
      </c>
      <c r="B451">
        <v>10005</v>
      </c>
      <c r="C451">
        <v>19</v>
      </c>
      <c r="D451">
        <v>5.1067</v>
      </c>
      <c r="E451">
        <v>392.23169999999999</v>
      </c>
      <c r="F451">
        <v>15.907</v>
      </c>
      <c r="G451">
        <v>83.720500000000001</v>
      </c>
      <c r="H451">
        <v>97.112300000000005</v>
      </c>
    </row>
    <row r="452" spans="1:8" x14ac:dyDescent="0.15">
      <c r="A452" t="s">
        <v>13</v>
      </c>
      <c r="B452">
        <v>10005</v>
      </c>
      <c r="C452">
        <v>19</v>
      </c>
      <c r="D452">
        <v>5.1124000000000001</v>
      </c>
      <c r="E452">
        <v>391.79219999999998</v>
      </c>
      <c r="F452">
        <v>15.888999999999999</v>
      </c>
      <c r="G452">
        <v>83.6267</v>
      </c>
      <c r="H452">
        <v>97.222200000000001</v>
      </c>
    </row>
    <row r="453" spans="1:8" x14ac:dyDescent="0.15">
      <c r="A453" t="s">
        <v>13</v>
      </c>
      <c r="B453">
        <v>10005</v>
      </c>
      <c r="C453">
        <v>19</v>
      </c>
      <c r="D453">
        <v>5.1197999999999997</v>
      </c>
      <c r="E453">
        <v>391.22300000000001</v>
      </c>
      <c r="F453">
        <v>15.866</v>
      </c>
      <c r="G453">
        <v>83.505200000000002</v>
      </c>
      <c r="H453">
        <v>97.363299999999995</v>
      </c>
    </row>
    <row r="454" spans="1:8" x14ac:dyDescent="0.15">
      <c r="A454" t="s">
        <v>13</v>
      </c>
      <c r="B454">
        <v>10005</v>
      </c>
      <c r="C454">
        <v>19</v>
      </c>
      <c r="D454">
        <v>5.1264000000000003</v>
      </c>
      <c r="E454">
        <v>390.71960000000001</v>
      </c>
      <c r="F454">
        <v>15.846</v>
      </c>
      <c r="G454">
        <v>83.3977</v>
      </c>
      <c r="H454">
        <v>97.490099999999998</v>
      </c>
    </row>
    <row r="455" spans="1:8" x14ac:dyDescent="0.15">
      <c r="A455" t="s">
        <v>13</v>
      </c>
      <c r="B455">
        <v>10005</v>
      </c>
      <c r="C455">
        <v>19</v>
      </c>
      <c r="D455">
        <v>5.1368999999999998</v>
      </c>
      <c r="E455">
        <v>389.92070000000001</v>
      </c>
      <c r="F455">
        <v>15.813000000000001</v>
      </c>
      <c r="G455">
        <v>83.227199999999996</v>
      </c>
      <c r="H455">
        <v>97.6892</v>
      </c>
    </row>
    <row r="456" spans="1:8" x14ac:dyDescent="0.15">
      <c r="A456" t="s">
        <v>13</v>
      </c>
      <c r="B456">
        <v>10005</v>
      </c>
      <c r="C456">
        <v>19</v>
      </c>
      <c r="D456">
        <v>5.1444999999999999</v>
      </c>
      <c r="E456">
        <v>389.3449</v>
      </c>
      <c r="F456">
        <v>15.79</v>
      </c>
      <c r="G456">
        <v>83.104299999999995</v>
      </c>
      <c r="H456">
        <v>97.833100000000002</v>
      </c>
    </row>
    <row r="457" spans="1:8" x14ac:dyDescent="0.15">
      <c r="A457" t="s">
        <v>13</v>
      </c>
      <c r="B457">
        <v>10005</v>
      </c>
      <c r="C457">
        <v>19</v>
      </c>
      <c r="D457">
        <v>5.1496000000000004</v>
      </c>
      <c r="E457">
        <v>388.96089999999998</v>
      </c>
      <c r="F457">
        <v>15.773999999999999</v>
      </c>
      <c r="G457">
        <v>83.022300000000001</v>
      </c>
      <c r="H457">
        <v>97.930099999999996</v>
      </c>
    </row>
    <row r="458" spans="1:8" x14ac:dyDescent="0.15">
      <c r="A458" t="s">
        <v>13</v>
      </c>
      <c r="B458">
        <v>10005</v>
      </c>
      <c r="C458">
        <v>19</v>
      </c>
      <c r="D458">
        <v>5.1531000000000002</v>
      </c>
      <c r="E458">
        <v>388.69909999999999</v>
      </c>
      <c r="F458">
        <v>15.763999999999999</v>
      </c>
      <c r="G458">
        <v>82.966499999999996</v>
      </c>
      <c r="H458">
        <v>97.996099999999998</v>
      </c>
    </row>
    <row r="459" spans="1:8" x14ac:dyDescent="0.15">
      <c r="A459" t="s">
        <v>13</v>
      </c>
      <c r="B459">
        <v>10005</v>
      </c>
      <c r="C459">
        <v>19</v>
      </c>
      <c r="D459">
        <v>5.1565000000000003</v>
      </c>
      <c r="E459">
        <v>388.44529999999997</v>
      </c>
      <c r="F459">
        <v>15.753</v>
      </c>
      <c r="G459">
        <v>82.912300000000002</v>
      </c>
      <c r="H459">
        <v>98.059100000000001</v>
      </c>
    </row>
    <row r="460" spans="1:8" x14ac:dyDescent="0.15">
      <c r="A460" t="s">
        <v>13</v>
      </c>
      <c r="B460">
        <v>10005</v>
      </c>
      <c r="C460">
        <v>19</v>
      </c>
      <c r="D460">
        <v>5.1624999999999996</v>
      </c>
      <c r="E460">
        <v>387.98860000000002</v>
      </c>
      <c r="F460">
        <v>15.734999999999999</v>
      </c>
      <c r="G460">
        <v>82.814800000000005</v>
      </c>
      <c r="H460">
        <v>98.175200000000004</v>
      </c>
    </row>
    <row r="461" spans="1:8" x14ac:dyDescent="0.15">
      <c r="A461" t="s">
        <v>13</v>
      </c>
      <c r="B461">
        <v>10005</v>
      </c>
      <c r="C461">
        <v>19</v>
      </c>
      <c r="D461">
        <v>5.1645000000000003</v>
      </c>
      <c r="E461">
        <v>387.83940000000001</v>
      </c>
      <c r="F461">
        <v>15.728999999999999</v>
      </c>
      <c r="G461">
        <v>82.783000000000001</v>
      </c>
      <c r="H461">
        <v>98.212999999999994</v>
      </c>
    </row>
    <row r="462" spans="1:8" x14ac:dyDescent="0.15">
      <c r="A462" t="s">
        <v>13</v>
      </c>
      <c r="B462">
        <v>10005</v>
      </c>
      <c r="C462">
        <v>19</v>
      </c>
      <c r="D462">
        <v>5.1626000000000003</v>
      </c>
      <c r="E462">
        <v>387.98349999999999</v>
      </c>
      <c r="F462">
        <v>15.734999999999999</v>
      </c>
      <c r="G462">
        <v>82.813699999999997</v>
      </c>
      <c r="H462">
        <v>98.177000000000007</v>
      </c>
    </row>
    <row r="463" spans="1:8" x14ac:dyDescent="0.15">
      <c r="A463" t="s">
        <v>13</v>
      </c>
      <c r="B463">
        <v>10005</v>
      </c>
      <c r="C463">
        <v>19</v>
      </c>
      <c r="D463">
        <v>5.1586999999999996</v>
      </c>
      <c r="E463">
        <v>388.27539999999999</v>
      </c>
      <c r="F463">
        <v>15.746</v>
      </c>
      <c r="G463">
        <v>82.876000000000005</v>
      </c>
      <c r="H463">
        <v>98.1023</v>
      </c>
    </row>
    <row r="464" spans="1:8" x14ac:dyDescent="0.15">
      <c r="A464" t="s">
        <v>13</v>
      </c>
      <c r="B464">
        <v>10005</v>
      </c>
      <c r="C464">
        <v>19</v>
      </c>
      <c r="D464">
        <v>5.1492000000000004</v>
      </c>
      <c r="E464">
        <v>388.99029999999999</v>
      </c>
      <c r="F464">
        <v>15.775</v>
      </c>
      <c r="G464">
        <v>83.028599999999997</v>
      </c>
      <c r="H464">
        <v>97.9221</v>
      </c>
    </row>
    <row r="465" spans="1:8" x14ac:dyDescent="0.15">
      <c r="A465" t="s">
        <v>13</v>
      </c>
      <c r="B465">
        <v>10005</v>
      </c>
      <c r="C465">
        <v>19</v>
      </c>
      <c r="D465">
        <v>5.1470000000000002</v>
      </c>
      <c r="E465">
        <v>389.15620000000001</v>
      </c>
      <c r="F465">
        <v>15.782</v>
      </c>
      <c r="G465">
        <v>83.063999999999993</v>
      </c>
      <c r="H465">
        <v>97.881100000000004</v>
      </c>
    </row>
    <row r="466" spans="1:8" x14ac:dyDescent="0.15">
      <c r="A466" t="s">
        <v>13</v>
      </c>
      <c r="B466">
        <v>10005</v>
      </c>
      <c r="C466">
        <v>19</v>
      </c>
      <c r="D466">
        <v>5.1444000000000001</v>
      </c>
      <c r="E466">
        <v>389.35500000000002</v>
      </c>
      <c r="F466">
        <v>15.79</v>
      </c>
      <c r="G466">
        <v>83.106499999999997</v>
      </c>
      <c r="H466">
        <v>97.830100000000002</v>
      </c>
    </row>
    <row r="467" spans="1:8" x14ac:dyDescent="0.15">
      <c r="A467" t="s">
        <v>13</v>
      </c>
      <c r="B467">
        <v>10005</v>
      </c>
      <c r="C467">
        <v>19</v>
      </c>
      <c r="D467">
        <v>5.1467000000000001</v>
      </c>
      <c r="E467">
        <v>389.1832</v>
      </c>
      <c r="F467">
        <v>15.782999999999999</v>
      </c>
      <c r="G467">
        <v>83.069800000000001</v>
      </c>
      <c r="H467">
        <v>97.873999999999995</v>
      </c>
    </row>
    <row r="468" spans="1:8" x14ac:dyDescent="0.15">
      <c r="A468" t="s">
        <v>13</v>
      </c>
      <c r="B468">
        <v>10005</v>
      </c>
      <c r="C468">
        <v>19</v>
      </c>
      <c r="D468">
        <v>5.1513999999999998</v>
      </c>
      <c r="E468">
        <v>388.82350000000002</v>
      </c>
      <c r="F468">
        <v>15.769</v>
      </c>
      <c r="G468">
        <v>82.992999999999995</v>
      </c>
      <c r="H468">
        <v>97.964100000000002</v>
      </c>
    </row>
    <row r="469" spans="1:8" x14ac:dyDescent="0.15">
      <c r="A469" t="s">
        <v>13</v>
      </c>
      <c r="B469">
        <v>10005</v>
      </c>
      <c r="C469">
        <v>19</v>
      </c>
      <c r="D469">
        <v>5.1543000000000001</v>
      </c>
      <c r="E469">
        <v>388.61160000000001</v>
      </c>
      <c r="F469">
        <v>15.76</v>
      </c>
      <c r="G469">
        <v>82.947800000000001</v>
      </c>
      <c r="H469">
        <v>98.018100000000004</v>
      </c>
    </row>
    <row r="470" spans="1:8" x14ac:dyDescent="0.15">
      <c r="A470" t="s">
        <v>13</v>
      </c>
      <c r="B470">
        <v>10005</v>
      </c>
      <c r="C470">
        <v>19</v>
      </c>
      <c r="D470">
        <v>5.1562999999999999</v>
      </c>
      <c r="E470">
        <v>388.45929999999998</v>
      </c>
      <c r="F470">
        <v>15.754</v>
      </c>
      <c r="G470">
        <v>82.915300000000002</v>
      </c>
      <c r="H470">
        <v>98.057100000000005</v>
      </c>
    </row>
    <row r="471" spans="1:8" x14ac:dyDescent="0.15">
      <c r="A471" t="s">
        <v>13</v>
      </c>
      <c r="B471">
        <v>10005</v>
      </c>
      <c r="C471">
        <v>19</v>
      </c>
      <c r="D471">
        <v>5.1612</v>
      </c>
      <c r="E471">
        <v>388.09140000000002</v>
      </c>
      <c r="F471">
        <v>15.739000000000001</v>
      </c>
      <c r="G471">
        <v>82.836799999999997</v>
      </c>
      <c r="H471">
        <v>98.150099999999995</v>
      </c>
    </row>
    <row r="472" spans="1:8" x14ac:dyDescent="0.15">
      <c r="A472" t="s">
        <v>13</v>
      </c>
      <c r="B472">
        <v>10005</v>
      </c>
      <c r="C472">
        <v>19</v>
      </c>
      <c r="D472">
        <v>5.1619000000000002</v>
      </c>
      <c r="E472">
        <v>388.0369</v>
      </c>
      <c r="F472">
        <v>15.737</v>
      </c>
      <c r="G472">
        <v>82.825100000000006</v>
      </c>
      <c r="H472">
        <v>98.1631</v>
      </c>
    </row>
    <row r="473" spans="1:8" x14ac:dyDescent="0.15">
      <c r="A473" t="s">
        <v>13</v>
      </c>
      <c r="B473">
        <v>10005</v>
      </c>
      <c r="C473">
        <v>19</v>
      </c>
      <c r="D473">
        <v>5.1612</v>
      </c>
      <c r="E473">
        <v>388.08699999999999</v>
      </c>
      <c r="F473">
        <v>15.739000000000001</v>
      </c>
      <c r="G473">
        <v>82.835800000000006</v>
      </c>
      <c r="H473">
        <v>98.1511</v>
      </c>
    </row>
    <row r="474" spans="1:8" x14ac:dyDescent="0.15">
      <c r="A474" t="s">
        <v>13</v>
      </c>
      <c r="B474">
        <v>10005</v>
      </c>
      <c r="C474">
        <v>19</v>
      </c>
      <c r="D474">
        <v>5.1645000000000003</v>
      </c>
      <c r="E474">
        <v>387.83679999999998</v>
      </c>
      <c r="F474">
        <v>15.728999999999999</v>
      </c>
      <c r="G474">
        <v>82.782399999999996</v>
      </c>
      <c r="H474">
        <v>98.212900000000005</v>
      </c>
    </row>
    <row r="475" spans="1:8" x14ac:dyDescent="0.15">
      <c r="A475" t="s">
        <v>13</v>
      </c>
      <c r="B475">
        <v>10005</v>
      </c>
      <c r="C475">
        <v>19</v>
      </c>
      <c r="D475">
        <v>5.1656000000000004</v>
      </c>
      <c r="E475">
        <v>387.76069999999999</v>
      </c>
      <c r="F475">
        <v>15.726000000000001</v>
      </c>
      <c r="G475">
        <v>82.766199999999998</v>
      </c>
      <c r="H475">
        <v>98.234099999999998</v>
      </c>
    </row>
    <row r="476" spans="1:8" x14ac:dyDescent="0.15">
      <c r="A476" t="s">
        <v>13</v>
      </c>
      <c r="B476">
        <v>10005</v>
      </c>
      <c r="C476">
        <v>19</v>
      </c>
      <c r="D476">
        <v>5.1691000000000003</v>
      </c>
      <c r="E476">
        <v>387.49380000000002</v>
      </c>
      <c r="F476">
        <v>15.715</v>
      </c>
      <c r="G476">
        <v>82.709199999999996</v>
      </c>
      <c r="H476">
        <v>98.301000000000002</v>
      </c>
    </row>
    <row r="477" spans="1:8" x14ac:dyDescent="0.15">
      <c r="A477" t="s">
        <v>13</v>
      </c>
      <c r="B477">
        <v>10005</v>
      </c>
      <c r="C477">
        <v>19</v>
      </c>
      <c r="D477">
        <v>5.1719999999999997</v>
      </c>
      <c r="E477">
        <v>387.28019999999998</v>
      </c>
      <c r="F477">
        <v>15.706</v>
      </c>
      <c r="G477">
        <v>82.663600000000002</v>
      </c>
      <c r="H477">
        <v>98.355199999999996</v>
      </c>
    </row>
    <row r="478" spans="1:8" x14ac:dyDescent="0.15">
      <c r="A478" t="s">
        <v>13</v>
      </c>
      <c r="B478">
        <v>10005</v>
      </c>
      <c r="C478">
        <v>19</v>
      </c>
      <c r="D478">
        <v>5.1677</v>
      </c>
      <c r="E478">
        <v>387.60289999999998</v>
      </c>
      <c r="F478">
        <v>15.718999999999999</v>
      </c>
      <c r="G478">
        <v>82.732500000000002</v>
      </c>
      <c r="H478">
        <v>98.272900000000007</v>
      </c>
    </row>
    <row r="479" spans="1:8" x14ac:dyDescent="0.15">
      <c r="A479" t="s">
        <v>13</v>
      </c>
      <c r="B479">
        <v>10005</v>
      </c>
      <c r="C479">
        <v>19</v>
      </c>
      <c r="D479">
        <v>5.1707000000000001</v>
      </c>
      <c r="E479">
        <v>387.3775</v>
      </c>
      <c r="F479">
        <v>15.71</v>
      </c>
      <c r="G479">
        <v>82.684399999999997</v>
      </c>
      <c r="H479">
        <v>98.330100000000002</v>
      </c>
    </row>
    <row r="480" spans="1:8" x14ac:dyDescent="0.15">
      <c r="A480" t="s">
        <v>13</v>
      </c>
      <c r="B480">
        <v>10005</v>
      </c>
      <c r="C480">
        <v>19</v>
      </c>
      <c r="D480">
        <v>5.1726000000000001</v>
      </c>
      <c r="E480">
        <v>387.23289999999997</v>
      </c>
      <c r="F480">
        <v>15.704000000000001</v>
      </c>
      <c r="G480">
        <v>82.653499999999994</v>
      </c>
      <c r="H480">
        <v>98.366900000000001</v>
      </c>
    </row>
    <row r="481" spans="1:8" x14ac:dyDescent="0.15">
      <c r="A481" t="s">
        <v>13</v>
      </c>
      <c r="B481">
        <v>10005</v>
      </c>
      <c r="C481">
        <v>19</v>
      </c>
      <c r="D481">
        <v>5.1691000000000003</v>
      </c>
      <c r="E481">
        <v>387.49639999999999</v>
      </c>
      <c r="F481">
        <v>15.715</v>
      </c>
      <c r="G481">
        <v>82.709800000000001</v>
      </c>
      <c r="H481">
        <v>98.3</v>
      </c>
    </row>
    <row r="482" spans="1:8" x14ac:dyDescent="0.15">
      <c r="A482" t="s">
        <v>13</v>
      </c>
      <c r="B482">
        <v>10005</v>
      </c>
      <c r="C482">
        <v>19</v>
      </c>
      <c r="D482">
        <v>5.1688999999999998</v>
      </c>
      <c r="E482">
        <v>387.5086</v>
      </c>
      <c r="F482">
        <v>15.715</v>
      </c>
      <c r="G482">
        <v>82.712400000000002</v>
      </c>
      <c r="H482">
        <v>98.2971</v>
      </c>
    </row>
    <row r="483" spans="1:8" x14ac:dyDescent="0.15">
      <c r="A483" t="s">
        <v>13</v>
      </c>
      <c r="B483">
        <v>10005</v>
      </c>
      <c r="C483">
        <v>19</v>
      </c>
      <c r="D483">
        <v>5.1689999999999996</v>
      </c>
      <c r="E483">
        <v>387.49950000000001</v>
      </c>
      <c r="F483">
        <v>15.715</v>
      </c>
      <c r="G483">
        <v>82.710400000000007</v>
      </c>
      <c r="H483">
        <v>98.300299999999993</v>
      </c>
    </row>
    <row r="484" spans="1:8" x14ac:dyDescent="0.15">
      <c r="A484" t="s">
        <v>13</v>
      </c>
      <c r="B484">
        <v>10005</v>
      </c>
      <c r="C484">
        <v>19</v>
      </c>
      <c r="D484">
        <v>5.1719999999999997</v>
      </c>
      <c r="E484">
        <v>387.2749</v>
      </c>
      <c r="F484">
        <v>15.706</v>
      </c>
      <c r="G484">
        <v>82.662499999999994</v>
      </c>
      <c r="H484">
        <v>98.355999999999995</v>
      </c>
    </row>
    <row r="485" spans="1:8" x14ac:dyDescent="0.15">
      <c r="A485" t="s">
        <v>13</v>
      </c>
      <c r="B485">
        <v>10005</v>
      </c>
      <c r="C485">
        <v>19</v>
      </c>
      <c r="D485">
        <v>5.1741999999999999</v>
      </c>
      <c r="E485">
        <v>387.1148</v>
      </c>
      <c r="F485">
        <v>15.699</v>
      </c>
      <c r="G485">
        <v>82.628299999999996</v>
      </c>
      <c r="H485">
        <v>98.397000000000006</v>
      </c>
    </row>
    <row r="486" spans="1:8" x14ac:dyDescent="0.15">
      <c r="A486" t="s">
        <v>13</v>
      </c>
      <c r="B486">
        <v>10005</v>
      </c>
      <c r="C486">
        <v>19</v>
      </c>
      <c r="D486">
        <v>5.1778000000000004</v>
      </c>
      <c r="E486">
        <v>386.84460000000001</v>
      </c>
      <c r="F486">
        <v>15.688000000000001</v>
      </c>
      <c r="G486">
        <v>82.570599999999999</v>
      </c>
      <c r="H486">
        <v>98.465800000000002</v>
      </c>
    </row>
    <row r="487" spans="1:8" x14ac:dyDescent="0.15">
      <c r="A487" t="s">
        <v>13</v>
      </c>
      <c r="B487">
        <v>10005</v>
      </c>
      <c r="C487">
        <v>19</v>
      </c>
      <c r="D487">
        <v>5.1817000000000002</v>
      </c>
      <c r="E487">
        <v>386.54969999999997</v>
      </c>
      <c r="F487">
        <v>15.676</v>
      </c>
      <c r="G487">
        <v>82.5077</v>
      </c>
      <c r="H487">
        <v>98.540999999999997</v>
      </c>
    </row>
    <row r="488" spans="1:8" x14ac:dyDescent="0.15">
      <c r="A488" t="s">
        <v>13</v>
      </c>
      <c r="B488">
        <v>10005</v>
      </c>
      <c r="C488">
        <v>19</v>
      </c>
      <c r="D488">
        <v>5.1791999999999998</v>
      </c>
      <c r="E488">
        <v>386.74059999999997</v>
      </c>
      <c r="F488">
        <v>15.683999999999999</v>
      </c>
      <c r="G488">
        <v>82.548400000000001</v>
      </c>
      <c r="H488">
        <v>98.493200000000002</v>
      </c>
    </row>
    <row r="489" spans="1:8" x14ac:dyDescent="0.15">
      <c r="A489" t="s">
        <v>13</v>
      </c>
      <c r="B489">
        <v>10005</v>
      </c>
      <c r="C489">
        <v>19</v>
      </c>
      <c r="D489">
        <v>5.1853999999999996</v>
      </c>
      <c r="E489">
        <v>386.28</v>
      </c>
      <c r="F489">
        <v>15.666</v>
      </c>
      <c r="G489">
        <v>82.450100000000006</v>
      </c>
      <c r="H489">
        <v>98.609899999999996</v>
      </c>
    </row>
    <row r="490" spans="1:8" x14ac:dyDescent="0.15">
      <c r="A490" t="s">
        <v>13</v>
      </c>
      <c r="B490">
        <v>10005</v>
      </c>
      <c r="C490">
        <v>19</v>
      </c>
      <c r="D490">
        <v>5.1863999999999999</v>
      </c>
      <c r="E490">
        <v>386.2002</v>
      </c>
      <c r="F490">
        <v>15.662000000000001</v>
      </c>
      <c r="G490">
        <v>82.433099999999996</v>
      </c>
      <c r="H490">
        <v>98.630399999999995</v>
      </c>
    </row>
    <row r="491" spans="1:8" x14ac:dyDescent="0.15">
      <c r="A491" t="s">
        <v>13</v>
      </c>
      <c r="B491">
        <v>10005</v>
      </c>
      <c r="C491">
        <v>19</v>
      </c>
      <c r="D491">
        <v>5.1875999999999998</v>
      </c>
      <c r="E491">
        <v>386.10980000000001</v>
      </c>
      <c r="F491">
        <v>15.659000000000001</v>
      </c>
      <c r="G491">
        <v>82.413799999999995</v>
      </c>
      <c r="H491">
        <v>98.652799999999999</v>
      </c>
    </row>
    <row r="492" spans="1:8" x14ac:dyDescent="0.15">
      <c r="A492" t="s">
        <v>13</v>
      </c>
      <c r="B492">
        <v>10005</v>
      </c>
      <c r="C492">
        <v>19</v>
      </c>
      <c r="D492">
        <v>5.1882999999999999</v>
      </c>
      <c r="E492">
        <v>386.06099999999998</v>
      </c>
      <c r="F492">
        <v>15.657</v>
      </c>
      <c r="G492">
        <v>82.403400000000005</v>
      </c>
      <c r="H492">
        <v>98.665999999999997</v>
      </c>
    </row>
    <row r="493" spans="1:8" x14ac:dyDescent="0.15">
      <c r="A493" t="s">
        <v>13</v>
      </c>
      <c r="B493">
        <v>10005</v>
      </c>
      <c r="C493">
        <v>19</v>
      </c>
      <c r="D493">
        <v>5.1902999999999997</v>
      </c>
      <c r="E493">
        <v>385.91359999999997</v>
      </c>
      <c r="F493">
        <v>15.651</v>
      </c>
      <c r="G493">
        <v>82.371899999999997</v>
      </c>
      <c r="H493">
        <v>98.703100000000006</v>
      </c>
    </row>
    <row r="494" spans="1:8" x14ac:dyDescent="0.15">
      <c r="A494" t="s">
        <v>13</v>
      </c>
      <c r="B494">
        <v>10005</v>
      </c>
      <c r="C494">
        <v>19</v>
      </c>
      <c r="D494">
        <v>5.1928999999999998</v>
      </c>
      <c r="E494">
        <v>385.72019999999998</v>
      </c>
      <c r="F494">
        <v>15.643000000000001</v>
      </c>
      <c r="G494">
        <v>82.330600000000004</v>
      </c>
      <c r="H494">
        <v>98.753900000000002</v>
      </c>
    </row>
    <row r="495" spans="1:8" x14ac:dyDescent="0.15">
      <c r="A495" t="s">
        <v>13</v>
      </c>
      <c r="B495">
        <v>10005</v>
      </c>
      <c r="C495">
        <v>19</v>
      </c>
      <c r="D495">
        <v>5.1886000000000001</v>
      </c>
      <c r="E495">
        <v>386.03910000000002</v>
      </c>
      <c r="F495">
        <v>15.656000000000001</v>
      </c>
      <c r="G495">
        <v>82.398700000000005</v>
      </c>
      <c r="H495">
        <v>98.670900000000003</v>
      </c>
    </row>
    <row r="496" spans="1:8" x14ac:dyDescent="0.15">
      <c r="A496" t="s">
        <v>13</v>
      </c>
      <c r="B496">
        <v>10005</v>
      </c>
      <c r="C496">
        <v>20</v>
      </c>
      <c r="D496">
        <v>4.8952999999999998</v>
      </c>
      <c r="E496">
        <v>409.16660000000002</v>
      </c>
      <c r="F496">
        <v>16.594000000000001</v>
      </c>
      <c r="G496">
        <v>82.968400000000003</v>
      </c>
      <c r="H496">
        <v>97.967299999999994</v>
      </c>
    </row>
    <row r="497" spans="1:8" x14ac:dyDescent="0.15">
      <c r="A497" t="s">
        <v>13</v>
      </c>
      <c r="B497">
        <v>10005</v>
      </c>
      <c r="C497">
        <v>20</v>
      </c>
      <c r="D497">
        <v>4.8920000000000003</v>
      </c>
      <c r="E497">
        <v>409.44170000000003</v>
      </c>
      <c r="F497">
        <v>16.605</v>
      </c>
      <c r="G497">
        <v>83.024199999999993</v>
      </c>
      <c r="H497">
        <v>97.876000000000005</v>
      </c>
    </row>
    <row r="498" spans="1:8" x14ac:dyDescent="0.15">
      <c r="A498" t="s">
        <v>13</v>
      </c>
      <c r="B498">
        <v>10005</v>
      </c>
      <c r="C498">
        <v>20</v>
      </c>
      <c r="D498">
        <v>4.8940999999999999</v>
      </c>
      <c r="E498">
        <v>409.26670000000001</v>
      </c>
      <c r="F498">
        <v>16.597999999999999</v>
      </c>
      <c r="G498">
        <v>82.988699999999994</v>
      </c>
      <c r="H498">
        <v>97.940899999999999</v>
      </c>
    </row>
    <row r="499" spans="1:8" x14ac:dyDescent="0.15">
      <c r="A499" t="s">
        <v>13</v>
      </c>
      <c r="B499">
        <v>10005</v>
      </c>
      <c r="C499">
        <v>20</v>
      </c>
      <c r="D499">
        <v>4.8933</v>
      </c>
      <c r="E499">
        <v>409.33940000000001</v>
      </c>
      <c r="F499">
        <v>16.600999999999999</v>
      </c>
      <c r="G499">
        <v>83.003500000000003</v>
      </c>
      <c r="H499">
        <v>97.921400000000006</v>
      </c>
    </row>
    <row r="500" spans="1:8" x14ac:dyDescent="0.15">
      <c r="A500" t="s">
        <v>13</v>
      </c>
      <c r="B500">
        <v>10005</v>
      </c>
      <c r="C500">
        <v>20</v>
      </c>
      <c r="D500">
        <v>4.8979999999999997</v>
      </c>
      <c r="E500">
        <v>408.94220000000001</v>
      </c>
      <c r="F500">
        <v>16.585000000000001</v>
      </c>
      <c r="G500">
        <v>82.922899999999998</v>
      </c>
      <c r="H500">
        <v>98.023899999999998</v>
      </c>
    </row>
    <row r="501" spans="1:8" x14ac:dyDescent="0.15">
      <c r="A501" t="s">
        <v>13</v>
      </c>
      <c r="B501">
        <v>10005</v>
      </c>
      <c r="C501">
        <v>20</v>
      </c>
      <c r="D501">
        <v>4.8948999999999998</v>
      </c>
      <c r="E501">
        <v>409.20519999999999</v>
      </c>
      <c r="F501">
        <v>16.594999999999999</v>
      </c>
      <c r="G501">
        <v>82.976200000000006</v>
      </c>
      <c r="H501">
        <v>97.914100000000005</v>
      </c>
    </row>
    <row r="502" spans="1:8" x14ac:dyDescent="0.15">
      <c r="A502" t="s">
        <v>13</v>
      </c>
      <c r="B502">
        <v>10005</v>
      </c>
      <c r="C502">
        <v>20</v>
      </c>
      <c r="D502">
        <v>4.9010999999999996</v>
      </c>
      <c r="E502">
        <v>408.68779999999998</v>
      </c>
      <c r="F502">
        <v>16.574000000000002</v>
      </c>
      <c r="G502">
        <v>82.871300000000005</v>
      </c>
      <c r="H502">
        <v>98.081999999999994</v>
      </c>
    </row>
    <row r="503" spans="1:8" x14ac:dyDescent="0.15">
      <c r="A503" t="s">
        <v>13</v>
      </c>
      <c r="B503">
        <v>10005</v>
      </c>
      <c r="C503">
        <v>20</v>
      </c>
      <c r="D503">
        <v>4.8992000000000004</v>
      </c>
      <c r="E503">
        <v>408.84500000000003</v>
      </c>
      <c r="F503">
        <v>16.581</v>
      </c>
      <c r="G503">
        <v>82.903199999999998</v>
      </c>
      <c r="H503">
        <v>98.023399999999995</v>
      </c>
    </row>
    <row r="504" spans="1:8" x14ac:dyDescent="0.15">
      <c r="A504" t="s">
        <v>13</v>
      </c>
      <c r="B504">
        <v>10005</v>
      </c>
      <c r="C504">
        <v>20</v>
      </c>
      <c r="D504">
        <v>4.8978999999999999</v>
      </c>
      <c r="E504">
        <v>408.94909999999999</v>
      </c>
      <c r="F504">
        <v>16.585000000000001</v>
      </c>
      <c r="G504">
        <v>82.924300000000002</v>
      </c>
      <c r="H504">
        <v>98.02</v>
      </c>
    </row>
    <row r="505" spans="1:8" x14ac:dyDescent="0.15">
      <c r="A505" t="s">
        <v>13</v>
      </c>
      <c r="B505">
        <v>10005</v>
      </c>
      <c r="C505">
        <v>20</v>
      </c>
      <c r="D505">
        <v>4.8898999999999999</v>
      </c>
      <c r="E505">
        <v>409.6223</v>
      </c>
      <c r="F505">
        <v>16.611999999999998</v>
      </c>
      <c r="G505">
        <v>83.0608</v>
      </c>
      <c r="H505">
        <v>97.873000000000005</v>
      </c>
    </row>
    <row r="506" spans="1:8" x14ac:dyDescent="0.15">
      <c r="A506" t="s">
        <v>13</v>
      </c>
      <c r="B506">
        <v>10005</v>
      </c>
      <c r="C506">
        <v>20</v>
      </c>
      <c r="D506">
        <v>4.8943000000000003</v>
      </c>
      <c r="E506">
        <v>409.2509</v>
      </c>
      <c r="F506">
        <v>16.597000000000001</v>
      </c>
      <c r="G506">
        <v>82.985500000000002</v>
      </c>
      <c r="H506">
        <v>97.949200000000005</v>
      </c>
    </row>
    <row r="507" spans="1:8" x14ac:dyDescent="0.15">
      <c r="A507" t="s">
        <v>13</v>
      </c>
      <c r="B507">
        <v>10005</v>
      </c>
      <c r="C507">
        <v>20</v>
      </c>
      <c r="D507">
        <v>4.8948</v>
      </c>
      <c r="E507">
        <v>409.21039999999999</v>
      </c>
      <c r="F507">
        <v>16.594999999999999</v>
      </c>
      <c r="G507">
        <v>82.9773</v>
      </c>
      <c r="H507">
        <v>97.96</v>
      </c>
    </row>
    <row r="508" spans="1:8" x14ac:dyDescent="0.15">
      <c r="A508" t="s">
        <v>13</v>
      </c>
      <c r="B508">
        <v>10005</v>
      </c>
      <c r="C508">
        <v>20</v>
      </c>
      <c r="D508">
        <v>4.8937999999999997</v>
      </c>
      <c r="E508">
        <v>409.29739999999998</v>
      </c>
      <c r="F508">
        <v>16.599</v>
      </c>
      <c r="G508">
        <v>82.994900000000001</v>
      </c>
      <c r="H508">
        <v>97.934100000000001</v>
      </c>
    </row>
    <row r="509" spans="1:8" x14ac:dyDescent="0.15">
      <c r="A509" t="s">
        <v>13</v>
      </c>
      <c r="B509">
        <v>10005</v>
      </c>
      <c r="C509">
        <v>20</v>
      </c>
      <c r="D509">
        <v>4.8979999999999997</v>
      </c>
      <c r="E509">
        <v>408.9418</v>
      </c>
      <c r="F509">
        <v>16.585000000000001</v>
      </c>
      <c r="G509">
        <v>82.922799999999995</v>
      </c>
      <c r="H509">
        <v>98.016099999999994</v>
      </c>
    </row>
    <row r="510" spans="1:8" x14ac:dyDescent="0.15">
      <c r="A510" t="s">
        <v>13</v>
      </c>
      <c r="B510">
        <v>10005</v>
      </c>
      <c r="C510">
        <v>20</v>
      </c>
      <c r="D510">
        <v>4.8994</v>
      </c>
      <c r="E510">
        <v>408.82299999999998</v>
      </c>
      <c r="F510">
        <v>16.579999999999998</v>
      </c>
      <c r="G510">
        <v>82.898799999999994</v>
      </c>
      <c r="H510">
        <v>98.051299999999998</v>
      </c>
    </row>
    <row r="511" spans="1:8" x14ac:dyDescent="0.15">
      <c r="A511" t="s">
        <v>13</v>
      </c>
      <c r="B511">
        <v>10005</v>
      </c>
      <c r="C511">
        <v>20</v>
      </c>
      <c r="D511">
        <v>4.8973000000000004</v>
      </c>
      <c r="E511">
        <v>409.00110000000001</v>
      </c>
      <c r="F511">
        <v>16.587</v>
      </c>
      <c r="G511">
        <v>82.934899999999999</v>
      </c>
      <c r="H511">
        <v>98.003900000000002</v>
      </c>
    </row>
    <row r="512" spans="1:8" x14ac:dyDescent="0.15">
      <c r="A512" t="s">
        <v>13</v>
      </c>
      <c r="B512">
        <v>10005</v>
      </c>
      <c r="C512">
        <v>20</v>
      </c>
      <c r="D512">
        <v>4.8940000000000001</v>
      </c>
      <c r="E512">
        <v>409.27879999999999</v>
      </c>
      <c r="F512">
        <v>16.597999999999999</v>
      </c>
      <c r="G512">
        <v>82.991200000000006</v>
      </c>
      <c r="H512">
        <v>97.938500000000005</v>
      </c>
    </row>
    <row r="513" spans="1:8" x14ac:dyDescent="0.15">
      <c r="A513" t="s">
        <v>13</v>
      </c>
      <c r="B513">
        <v>10005</v>
      </c>
      <c r="C513">
        <v>20</v>
      </c>
      <c r="D513">
        <v>4.8956</v>
      </c>
      <c r="E513">
        <v>409.14269999999999</v>
      </c>
      <c r="F513">
        <v>16.593</v>
      </c>
      <c r="G513">
        <v>82.9636</v>
      </c>
      <c r="H513">
        <v>97.975099999999998</v>
      </c>
    </row>
    <row r="514" spans="1:8" x14ac:dyDescent="0.15">
      <c r="A514" t="s">
        <v>13</v>
      </c>
      <c r="B514">
        <v>10005</v>
      </c>
      <c r="C514">
        <v>20</v>
      </c>
      <c r="D514">
        <v>4.8956</v>
      </c>
      <c r="E514">
        <v>409.14530000000002</v>
      </c>
      <c r="F514">
        <v>16.593</v>
      </c>
      <c r="G514">
        <v>82.964100000000002</v>
      </c>
      <c r="H514">
        <v>97.970699999999994</v>
      </c>
    </row>
    <row r="515" spans="1:8" x14ac:dyDescent="0.15">
      <c r="A515" t="s">
        <v>13</v>
      </c>
      <c r="B515">
        <v>10005</v>
      </c>
      <c r="C515">
        <v>20</v>
      </c>
      <c r="D515">
        <v>4.8948999999999998</v>
      </c>
      <c r="E515">
        <v>409.19909999999999</v>
      </c>
      <c r="F515">
        <v>16.594999999999999</v>
      </c>
      <c r="G515">
        <v>82.974999999999994</v>
      </c>
      <c r="H515">
        <v>97.961399999999998</v>
      </c>
    </row>
    <row r="516" spans="1:8" x14ac:dyDescent="0.15">
      <c r="A516" t="s">
        <v>13</v>
      </c>
      <c r="B516">
        <v>10005</v>
      </c>
      <c r="C516">
        <v>20</v>
      </c>
      <c r="D516">
        <v>4.8944999999999999</v>
      </c>
      <c r="E516">
        <v>409.23880000000003</v>
      </c>
      <c r="F516">
        <v>16.597000000000001</v>
      </c>
      <c r="G516">
        <v>82.983099999999993</v>
      </c>
      <c r="H516">
        <v>97.943799999999996</v>
      </c>
    </row>
    <row r="517" spans="1:8" x14ac:dyDescent="0.15">
      <c r="A517" t="s">
        <v>13</v>
      </c>
      <c r="B517">
        <v>10005</v>
      </c>
      <c r="C517">
        <v>20</v>
      </c>
      <c r="D517">
        <v>4.8952</v>
      </c>
      <c r="E517">
        <v>409.17910000000001</v>
      </c>
      <c r="F517">
        <v>16.594000000000001</v>
      </c>
      <c r="G517">
        <v>82.971000000000004</v>
      </c>
      <c r="H517">
        <v>97.963399999999993</v>
      </c>
    </row>
    <row r="518" spans="1:8" x14ac:dyDescent="0.15">
      <c r="A518" t="s">
        <v>13</v>
      </c>
      <c r="B518">
        <v>10005</v>
      </c>
      <c r="C518">
        <v>20</v>
      </c>
      <c r="D518">
        <v>4.8986000000000001</v>
      </c>
      <c r="E518">
        <v>408.89299999999997</v>
      </c>
      <c r="F518">
        <v>16.582999999999998</v>
      </c>
      <c r="G518">
        <v>82.912899999999993</v>
      </c>
      <c r="H518">
        <v>98.028800000000004</v>
      </c>
    </row>
    <row r="519" spans="1:8" x14ac:dyDescent="0.15">
      <c r="A519" t="s">
        <v>13</v>
      </c>
      <c r="B519">
        <v>10005</v>
      </c>
      <c r="C519">
        <v>20</v>
      </c>
      <c r="D519">
        <v>4.8993000000000002</v>
      </c>
      <c r="E519">
        <v>408.83629999999999</v>
      </c>
      <c r="F519">
        <v>16.579999999999998</v>
      </c>
      <c r="G519">
        <v>82.901499999999999</v>
      </c>
      <c r="H519">
        <v>98.040999999999997</v>
      </c>
    </row>
    <row r="520" spans="1:8" x14ac:dyDescent="0.15">
      <c r="A520" t="s">
        <v>13</v>
      </c>
      <c r="B520">
        <v>10005</v>
      </c>
      <c r="C520">
        <v>20</v>
      </c>
      <c r="D520">
        <v>4.8918999999999997</v>
      </c>
      <c r="E520">
        <v>409.4504</v>
      </c>
      <c r="F520">
        <v>16.605</v>
      </c>
      <c r="G520">
        <v>83.025999999999996</v>
      </c>
      <c r="H520">
        <v>97.892099999999999</v>
      </c>
    </row>
    <row r="521" spans="1:8" x14ac:dyDescent="0.15">
      <c r="A521" t="s">
        <v>13</v>
      </c>
      <c r="B521">
        <v>10005</v>
      </c>
      <c r="C521">
        <v>20</v>
      </c>
      <c r="D521">
        <v>4.8973000000000004</v>
      </c>
      <c r="E521">
        <v>408.9982</v>
      </c>
      <c r="F521">
        <v>16.587</v>
      </c>
      <c r="G521">
        <v>82.934299999999993</v>
      </c>
      <c r="H521">
        <v>98.009299999999996</v>
      </c>
    </row>
    <row r="522" spans="1:8" x14ac:dyDescent="0.15">
      <c r="A522" t="s">
        <v>13</v>
      </c>
      <c r="B522">
        <v>10005</v>
      </c>
      <c r="C522">
        <v>20</v>
      </c>
      <c r="D522">
        <v>4.8977000000000004</v>
      </c>
      <c r="E522">
        <v>408.96609999999998</v>
      </c>
      <c r="F522">
        <v>16.585999999999999</v>
      </c>
      <c r="G522">
        <v>82.927800000000005</v>
      </c>
      <c r="H522">
        <v>97.988299999999995</v>
      </c>
    </row>
    <row r="523" spans="1:8" x14ac:dyDescent="0.15">
      <c r="A523" t="s">
        <v>13</v>
      </c>
      <c r="B523">
        <v>10005</v>
      </c>
      <c r="C523">
        <v>20</v>
      </c>
      <c r="D523">
        <v>4.9010999999999996</v>
      </c>
      <c r="E523">
        <v>408.68349999999998</v>
      </c>
      <c r="F523">
        <v>16.574000000000002</v>
      </c>
      <c r="G523">
        <v>82.870500000000007</v>
      </c>
      <c r="H523">
        <v>98.076700000000002</v>
      </c>
    </row>
    <row r="524" spans="1:8" x14ac:dyDescent="0.15">
      <c r="A524" t="s">
        <v>13</v>
      </c>
      <c r="B524">
        <v>10005</v>
      </c>
      <c r="C524">
        <v>20</v>
      </c>
      <c r="D524">
        <v>4.9009999999999998</v>
      </c>
      <c r="E524">
        <v>408.69569999999999</v>
      </c>
      <c r="F524">
        <v>16.574999999999999</v>
      </c>
      <c r="G524">
        <v>82.872900000000001</v>
      </c>
      <c r="H524">
        <v>98.081999999999994</v>
      </c>
    </row>
    <row r="525" spans="1:8" x14ac:dyDescent="0.15">
      <c r="A525" t="s">
        <v>13</v>
      </c>
      <c r="B525">
        <v>10005</v>
      </c>
      <c r="C525">
        <v>20</v>
      </c>
      <c r="D525">
        <v>4.8985000000000003</v>
      </c>
      <c r="E525">
        <v>408.9008</v>
      </c>
      <c r="F525">
        <v>16.582999999999998</v>
      </c>
      <c r="G525">
        <v>82.914500000000004</v>
      </c>
      <c r="H525">
        <v>98.032200000000003</v>
      </c>
    </row>
    <row r="526" spans="1:8" x14ac:dyDescent="0.15">
      <c r="A526" t="s">
        <v>13</v>
      </c>
      <c r="B526">
        <v>10005</v>
      </c>
      <c r="C526">
        <v>20</v>
      </c>
      <c r="D526">
        <v>4.9013</v>
      </c>
      <c r="E526">
        <v>408.66559999999998</v>
      </c>
      <c r="F526">
        <v>16.573</v>
      </c>
      <c r="G526">
        <v>82.866799999999998</v>
      </c>
      <c r="H526">
        <v>98.088899999999995</v>
      </c>
    </row>
    <row r="527" spans="1:8" x14ac:dyDescent="0.15">
      <c r="A527" t="s">
        <v>13</v>
      </c>
      <c r="B527">
        <v>10005</v>
      </c>
      <c r="C527">
        <v>20</v>
      </c>
      <c r="D527">
        <v>4.8947000000000003</v>
      </c>
      <c r="E527">
        <v>409.21800000000002</v>
      </c>
      <c r="F527">
        <v>16.596</v>
      </c>
      <c r="G527">
        <v>82.978899999999996</v>
      </c>
      <c r="H527">
        <v>97.947299999999998</v>
      </c>
    </row>
    <row r="528" spans="1:8" x14ac:dyDescent="0.15">
      <c r="A528" t="s">
        <v>13</v>
      </c>
      <c r="B528">
        <v>10005</v>
      </c>
      <c r="C528">
        <v>20</v>
      </c>
      <c r="D528">
        <v>4.8909000000000002</v>
      </c>
      <c r="E528">
        <v>409.53579999999999</v>
      </c>
      <c r="F528">
        <v>16.609000000000002</v>
      </c>
      <c r="G528">
        <v>83.043300000000002</v>
      </c>
      <c r="H528">
        <v>97.853499999999997</v>
      </c>
    </row>
    <row r="529" spans="1:8" x14ac:dyDescent="0.15">
      <c r="A529" t="s">
        <v>13</v>
      </c>
      <c r="B529">
        <v>10005</v>
      </c>
      <c r="C529">
        <v>20</v>
      </c>
      <c r="D529">
        <v>4.8952999999999998</v>
      </c>
      <c r="E529">
        <v>409.16800000000001</v>
      </c>
      <c r="F529">
        <v>16.594000000000001</v>
      </c>
      <c r="G529">
        <v>82.968699999999998</v>
      </c>
      <c r="H529">
        <v>97.967799999999997</v>
      </c>
    </row>
    <row r="530" spans="1:8" x14ac:dyDescent="0.15">
      <c r="A530" t="s">
        <v>13</v>
      </c>
      <c r="B530">
        <v>10005</v>
      </c>
      <c r="C530">
        <v>20</v>
      </c>
      <c r="D530">
        <v>4.8956</v>
      </c>
      <c r="E530">
        <v>409.13929999999999</v>
      </c>
      <c r="F530">
        <v>16.593</v>
      </c>
      <c r="G530">
        <v>82.962900000000005</v>
      </c>
      <c r="H530">
        <v>97.976600000000005</v>
      </c>
    </row>
    <row r="531" spans="1:8" x14ac:dyDescent="0.15">
      <c r="A531" t="s">
        <v>13</v>
      </c>
      <c r="B531">
        <v>10005</v>
      </c>
      <c r="C531">
        <v>20</v>
      </c>
      <c r="D531">
        <v>4.8897000000000004</v>
      </c>
      <c r="E531">
        <v>409.63339999999999</v>
      </c>
      <c r="F531">
        <v>16.613</v>
      </c>
      <c r="G531">
        <v>83.063100000000006</v>
      </c>
      <c r="H531">
        <v>97.853499999999997</v>
      </c>
    </row>
    <row r="532" spans="1:8" x14ac:dyDescent="0.15">
      <c r="A532" t="s">
        <v>13</v>
      </c>
      <c r="B532">
        <v>10005</v>
      </c>
      <c r="C532">
        <v>20</v>
      </c>
      <c r="D532">
        <v>4.8841000000000001</v>
      </c>
      <c r="E532">
        <v>410.10289999999998</v>
      </c>
      <c r="F532">
        <v>16.632000000000001</v>
      </c>
      <c r="G532">
        <v>83.158299999999997</v>
      </c>
      <c r="H532">
        <v>97.746099999999998</v>
      </c>
    </row>
    <row r="533" spans="1:8" x14ac:dyDescent="0.15">
      <c r="A533" t="s">
        <v>13</v>
      </c>
      <c r="B533">
        <v>10005</v>
      </c>
      <c r="C533">
        <v>20</v>
      </c>
      <c r="D533">
        <v>4.8894000000000002</v>
      </c>
      <c r="E533">
        <v>409.66390000000001</v>
      </c>
      <c r="F533">
        <v>16.614000000000001</v>
      </c>
      <c r="G533">
        <v>83.069299999999998</v>
      </c>
      <c r="H533">
        <v>97.847700000000003</v>
      </c>
    </row>
    <row r="534" spans="1:8" x14ac:dyDescent="0.15">
      <c r="A534" t="s">
        <v>13</v>
      </c>
      <c r="B534">
        <v>10005</v>
      </c>
      <c r="C534">
        <v>20</v>
      </c>
      <c r="D534">
        <v>4.8926999999999996</v>
      </c>
      <c r="E534">
        <v>409.38440000000003</v>
      </c>
      <c r="F534">
        <v>16.603000000000002</v>
      </c>
      <c r="G534">
        <v>83.012600000000006</v>
      </c>
      <c r="H534">
        <v>97.917000000000002</v>
      </c>
    </row>
    <row r="535" spans="1:8" x14ac:dyDescent="0.15">
      <c r="A535" t="s">
        <v>13</v>
      </c>
      <c r="B535">
        <v>10005</v>
      </c>
      <c r="C535">
        <v>20</v>
      </c>
      <c r="D535">
        <v>4.8905000000000003</v>
      </c>
      <c r="E535">
        <v>409.56950000000001</v>
      </c>
      <c r="F535">
        <v>16.61</v>
      </c>
      <c r="G535">
        <v>83.0501</v>
      </c>
      <c r="H535">
        <v>97.865200000000002</v>
      </c>
    </row>
    <row r="536" spans="1:8" x14ac:dyDescent="0.15">
      <c r="A536" t="s">
        <v>13</v>
      </c>
      <c r="B536">
        <v>10005</v>
      </c>
      <c r="C536">
        <v>20</v>
      </c>
      <c r="D536">
        <v>4.8897000000000004</v>
      </c>
      <c r="E536">
        <v>409.63670000000002</v>
      </c>
      <c r="F536">
        <v>16.613</v>
      </c>
      <c r="G536">
        <v>83.063800000000001</v>
      </c>
      <c r="H536">
        <v>97.849599999999995</v>
      </c>
    </row>
    <row r="537" spans="1:8" x14ac:dyDescent="0.15">
      <c r="A537" t="s">
        <v>13</v>
      </c>
      <c r="B537">
        <v>10005</v>
      </c>
      <c r="C537">
        <v>20</v>
      </c>
      <c r="D537">
        <v>4.8912000000000004</v>
      </c>
      <c r="E537">
        <v>409.512</v>
      </c>
      <c r="F537">
        <v>16.608000000000001</v>
      </c>
      <c r="G537">
        <v>83.038499999999999</v>
      </c>
      <c r="H537">
        <v>97.886700000000005</v>
      </c>
    </row>
    <row r="538" spans="1:8" x14ac:dyDescent="0.15">
      <c r="A538" t="s">
        <v>13</v>
      </c>
      <c r="B538">
        <v>10005</v>
      </c>
      <c r="C538">
        <v>20</v>
      </c>
      <c r="D538">
        <v>4.8966000000000003</v>
      </c>
      <c r="E538">
        <v>409.0575</v>
      </c>
      <c r="F538">
        <v>16.588999999999999</v>
      </c>
      <c r="G538">
        <v>82.946299999999994</v>
      </c>
      <c r="H538">
        <v>97.993200000000002</v>
      </c>
    </row>
    <row r="539" spans="1:8" x14ac:dyDescent="0.15">
      <c r="A539" t="s">
        <v>13</v>
      </c>
      <c r="B539">
        <v>10005</v>
      </c>
      <c r="C539">
        <v>20</v>
      </c>
      <c r="D539">
        <v>4.8920000000000003</v>
      </c>
      <c r="E539">
        <v>409.44580000000002</v>
      </c>
      <c r="F539">
        <v>16.605</v>
      </c>
      <c r="G539">
        <v>83.025000000000006</v>
      </c>
      <c r="H539">
        <v>97.900400000000005</v>
      </c>
    </row>
    <row r="540" spans="1:8" x14ac:dyDescent="0.15">
      <c r="A540" t="s">
        <v>13</v>
      </c>
      <c r="B540">
        <v>10005</v>
      </c>
      <c r="C540">
        <v>20</v>
      </c>
      <c r="D540">
        <v>4.8891999999999998</v>
      </c>
      <c r="E540">
        <v>409.67739999999998</v>
      </c>
      <c r="F540">
        <v>16.614000000000001</v>
      </c>
      <c r="G540">
        <v>83.072000000000003</v>
      </c>
      <c r="H540">
        <v>97.839799999999997</v>
      </c>
    </row>
    <row r="541" spans="1:8" x14ac:dyDescent="0.15">
      <c r="A541" t="s">
        <v>13</v>
      </c>
      <c r="B541">
        <v>10005</v>
      </c>
      <c r="C541">
        <v>20</v>
      </c>
      <c r="D541">
        <v>4.8943000000000003</v>
      </c>
      <c r="E541">
        <v>409.24939999999998</v>
      </c>
      <c r="F541">
        <v>16.597000000000001</v>
      </c>
      <c r="G541">
        <v>82.985200000000006</v>
      </c>
      <c r="H541">
        <v>97.950199999999995</v>
      </c>
    </row>
    <row r="542" spans="1:8" x14ac:dyDescent="0.15">
      <c r="A542" t="s">
        <v>13</v>
      </c>
      <c r="B542">
        <v>10005</v>
      </c>
      <c r="C542">
        <v>20</v>
      </c>
      <c r="D542">
        <v>4.8897000000000004</v>
      </c>
      <c r="E542">
        <v>409.63630000000001</v>
      </c>
      <c r="F542">
        <v>16.613</v>
      </c>
      <c r="G542">
        <v>83.063699999999997</v>
      </c>
      <c r="H542">
        <v>97.857399999999998</v>
      </c>
    </row>
    <row r="543" spans="1:8" x14ac:dyDescent="0.15">
      <c r="A543" t="s">
        <v>13</v>
      </c>
      <c r="B543">
        <v>10005</v>
      </c>
      <c r="C543">
        <v>20</v>
      </c>
      <c r="D543">
        <v>4.8887</v>
      </c>
      <c r="E543">
        <v>409.721</v>
      </c>
      <c r="F543">
        <v>16.616</v>
      </c>
      <c r="G543">
        <v>83.080799999999996</v>
      </c>
      <c r="H543">
        <v>97.8369</v>
      </c>
    </row>
    <row r="544" spans="1:8" x14ac:dyDescent="0.15">
      <c r="A544" t="s">
        <v>13</v>
      </c>
      <c r="B544">
        <v>10005</v>
      </c>
      <c r="C544">
        <v>20</v>
      </c>
      <c r="D544">
        <v>4.8849</v>
      </c>
      <c r="E544">
        <v>410.03739999999999</v>
      </c>
      <c r="F544">
        <v>16.629000000000001</v>
      </c>
      <c r="G544">
        <v>83.144999999999996</v>
      </c>
      <c r="H544">
        <v>97.7607</v>
      </c>
    </row>
    <row r="545" spans="1:8" x14ac:dyDescent="0.15">
      <c r="A545" t="s">
        <v>13</v>
      </c>
      <c r="B545">
        <v>10005</v>
      </c>
      <c r="C545">
        <v>20</v>
      </c>
      <c r="D545">
        <v>4.8849999999999998</v>
      </c>
      <c r="E545">
        <v>410.03190000000001</v>
      </c>
      <c r="F545">
        <v>16.629000000000001</v>
      </c>
      <c r="G545">
        <v>83.143900000000002</v>
      </c>
      <c r="H545">
        <v>97.75</v>
      </c>
    </row>
    <row r="546" spans="1:8" x14ac:dyDescent="0.15">
      <c r="A546" t="s">
        <v>13</v>
      </c>
      <c r="B546">
        <v>10005</v>
      </c>
      <c r="C546">
        <v>20</v>
      </c>
      <c r="D546">
        <v>4.8815</v>
      </c>
      <c r="E546">
        <v>410.32220000000001</v>
      </c>
      <c r="F546">
        <v>16.640999999999998</v>
      </c>
      <c r="G546">
        <v>83.202799999999996</v>
      </c>
      <c r="H546">
        <v>97.677700000000002</v>
      </c>
    </row>
    <row r="547" spans="1:8" x14ac:dyDescent="0.15">
      <c r="A547" t="s">
        <v>13</v>
      </c>
      <c r="B547">
        <v>10010</v>
      </c>
      <c r="C547">
        <v>1</v>
      </c>
      <c r="D547">
        <v>80.593500000000006</v>
      </c>
      <c r="E547">
        <v>24.8904</v>
      </c>
      <c r="F547">
        <v>1</v>
      </c>
      <c r="G547">
        <v>100</v>
      </c>
      <c r="H547">
        <v>80.666700000000006</v>
      </c>
    </row>
    <row r="548" spans="1:8" x14ac:dyDescent="0.15">
      <c r="A548" t="s">
        <v>13</v>
      </c>
      <c r="B548">
        <v>10010</v>
      </c>
      <c r="C548">
        <v>1</v>
      </c>
      <c r="D548">
        <v>80.408299999999997</v>
      </c>
      <c r="E548">
        <v>24.947700000000001</v>
      </c>
      <c r="F548">
        <v>1.002</v>
      </c>
      <c r="G548">
        <v>100.2303</v>
      </c>
      <c r="H548">
        <v>80.480800000000002</v>
      </c>
    </row>
    <row r="549" spans="1:8" x14ac:dyDescent="0.15">
      <c r="A549" t="s">
        <v>13</v>
      </c>
      <c r="B549">
        <v>10010</v>
      </c>
      <c r="C549">
        <v>1</v>
      </c>
      <c r="D549">
        <v>80.415700000000001</v>
      </c>
      <c r="E549">
        <v>24.945499999999999</v>
      </c>
      <c r="F549">
        <v>1.002</v>
      </c>
      <c r="G549">
        <v>100.22110000000001</v>
      </c>
      <c r="H549">
        <v>80.489800000000002</v>
      </c>
    </row>
    <row r="550" spans="1:8" x14ac:dyDescent="0.15">
      <c r="A550" t="s">
        <v>13</v>
      </c>
      <c r="B550">
        <v>10010</v>
      </c>
      <c r="C550">
        <v>1</v>
      </c>
      <c r="D550">
        <v>80.421499999999995</v>
      </c>
      <c r="E550">
        <v>24.9437</v>
      </c>
      <c r="F550">
        <v>1.002</v>
      </c>
      <c r="G550">
        <v>100.2139</v>
      </c>
      <c r="H550">
        <v>80.492800000000003</v>
      </c>
    </row>
    <row r="551" spans="1:8" x14ac:dyDescent="0.15">
      <c r="A551" t="s">
        <v>13</v>
      </c>
      <c r="B551">
        <v>10010</v>
      </c>
      <c r="C551">
        <v>1</v>
      </c>
      <c r="D551">
        <v>80.415300000000002</v>
      </c>
      <c r="E551">
        <v>24.945599999999999</v>
      </c>
      <c r="F551">
        <v>1.002</v>
      </c>
      <c r="G551">
        <v>100.2216</v>
      </c>
      <c r="H551">
        <v>80.488799999999998</v>
      </c>
    </row>
    <row r="552" spans="1:8" x14ac:dyDescent="0.15">
      <c r="A552" t="s">
        <v>13</v>
      </c>
      <c r="B552">
        <v>10010</v>
      </c>
      <c r="C552">
        <v>1</v>
      </c>
      <c r="D552">
        <v>80.414599999999993</v>
      </c>
      <c r="E552">
        <v>24.945799999999998</v>
      </c>
      <c r="F552">
        <v>1.002</v>
      </c>
      <c r="G552">
        <v>100.2225</v>
      </c>
      <c r="H552">
        <v>80.486800000000002</v>
      </c>
    </row>
    <row r="553" spans="1:8" x14ac:dyDescent="0.15">
      <c r="A553" t="s">
        <v>13</v>
      </c>
      <c r="B553">
        <v>10010</v>
      </c>
      <c r="C553">
        <v>19</v>
      </c>
      <c r="D553">
        <v>4.7779999999999996</v>
      </c>
      <c r="E553">
        <v>419.84249999999997</v>
      </c>
      <c r="F553">
        <v>16.867999999999999</v>
      </c>
      <c r="G553">
        <v>88.777000000000001</v>
      </c>
      <c r="H553">
        <v>90.857200000000006</v>
      </c>
    </row>
    <row r="554" spans="1:8" x14ac:dyDescent="0.15">
      <c r="A554" t="s">
        <v>13</v>
      </c>
      <c r="B554">
        <v>10010</v>
      </c>
      <c r="C554">
        <v>19</v>
      </c>
      <c r="D554">
        <v>4.7743000000000002</v>
      </c>
      <c r="E554">
        <v>420.16699999999997</v>
      </c>
      <c r="F554">
        <v>16.881</v>
      </c>
      <c r="G554">
        <v>88.845600000000005</v>
      </c>
      <c r="H554">
        <v>90.792199999999994</v>
      </c>
    </row>
    <row r="555" spans="1:8" x14ac:dyDescent="0.15">
      <c r="A555" t="s">
        <v>13</v>
      </c>
      <c r="B555">
        <v>10010</v>
      </c>
      <c r="C555">
        <v>19</v>
      </c>
      <c r="D555">
        <v>4.774</v>
      </c>
      <c r="E555">
        <v>420.19099999999997</v>
      </c>
      <c r="F555">
        <v>16.882000000000001</v>
      </c>
      <c r="G555">
        <v>88.850700000000003</v>
      </c>
      <c r="H555">
        <v>90.786199999999994</v>
      </c>
    </row>
    <row r="556" spans="1:8" x14ac:dyDescent="0.15">
      <c r="A556" t="s">
        <v>13</v>
      </c>
      <c r="B556">
        <v>10010</v>
      </c>
      <c r="C556">
        <v>19</v>
      </c>
      <c r="D556">
        <v>4.9602000000000004</v>
      </c>
      <c r="E556">
        <v>404.41809999999998</v>
      </c>
      <c r="F556">
        <v>16.248000000000001</v>
      </c>
      <c r="G556">
        <v>85.515500000000003</v>
      </c>
      <c r="H556">
        <v>94.327600000000004</v>
      </c>
    </row>
    <row r="557" spans="1:8" x14ac:dyDescent="0.15">
      <c r="A557" t="s">
        <v>13</v>
      </c>
      <c r="B557">
        <v>10010</v>
      </c>
      <c r="C557">
        <v>19</v>
      </c>
      <c r="D557">
        <v>5.0868000000000002</v>
      </c>
      <c r="E557">
        <v>394.35509999999999</v>
      </c>
      <c r="F557">
        <v>15.843999999999999</v>
      </c>
      <c r="G557">
        <v>83.387600000000006</v>
      </c>
      <c r="H557">
        <v>96.7333</v>
      </c>
    </row>
    <row r="558" spans="1:8" x14ac:dyDescent="0.15">
      <c r="A558" t="s">
        <v>13</v>
      </c>
      <c r="B558">
        <v>10010</v>
      </c>
      <c r="C558">
        <v>19</v>
      </c>
      <c r="D558">
        <v>5.0865999999999998</v>
      </c>
      <c r="E558">
        <v>394.3682</v>
      </c>
      <c r="F558">
        <v>15.843999999999999</v>
      </c>
      <c r="G558">
        <v>83.3904</v>
      </c>
      <c r="H558">
        <v>96.731300000000005</v>
      </c>
    </row>
    <row r="559" spans="1:8" x14ac:dyDescent="0.15">
      <c r="A559" t="s">
        <v>13</v>
      </c>
      <c r="B559">
        <v>10010</v>
      </c>
      <c r="C559">
        <v>19</v>
      </c>
      <c r="D559">
        <v>5.0792000000000002</v>
      </c>
      <c r="E559">
        <v>394.94310000000002</v>
      </c>
      <c r="F559">
        <v>15.867000000000001</v>
      </c>
      <c r="G559">
        <v>83.512</v>
      </c>
      <c r="H559">
        <v>96.590299999999999</v>
      </c>
    </row>
    <row r="560" spans="1:8" x14ac:dyDescent="0.15">
      <c r="A560" t="s">
        <v>13</v>
      </c>
      <c r="B560">
        <v>10010</v>
      </c>
      <c r="C560">
        <v>19</v>
      </c>
      <c r="D560">
        <v>5.0808</v>
      </c>
      <c r="E560">
        <v>394.8218</v>
      </c>
      <c r="F560">
        <v>15.862</v>
      </c>
      <c r="G560">
        <v>83.4863</v>
      </c>
      <c r="H560">
        <v>96.618399999999994</v>
      </c>
    </row>
    <row r="561" spans="1:8" x14ac:dyDescent="0.15">
      <c r="A561" t="s">
        <v>13</v>
      </c>
      <c r="B561">
        <v>10010</v>
      </c>
      <c r="C561">
        <v>19</v>
      </c>
      <c r="D561">
        <v>5.0887000000000002</v>
      </c>
      <c r="E561">
        <v>394.20609999999999</v>
      </c>
      <c r="F561">
        <v>15.837999999999999</v>
      </c>
      <c r="G561">
        <v>83.356099999999998</v>
      </c>
      <c r="H561">
        <v>96.767200000000003</v>
      </c>
    </row>
    <row r="562" spans="1:8" x14ac:dyDescent="0.15">
      <c r="A562" t="s">
        <v>13</v>
      </c>
      <c r="B562">
        <v>10010</v>
      </c>
      <c r="C562">
        <v>19</v>
      </c>
      <c r="D562">
        <v>5.0963000000000003</v>
      </c>
      <c r="E562">
        <v>393.6232</v>
      </c>
      <c r="F562">
        <v>15.814</v>
      </c>
      <c r="G562">
        <v>83.232900000000001</v>
      </c>
      <c r="H562">
        <v>96.914299999999997</v>
      </c>
    </row>
    <row r="563" spans="1:8" x14ac:dyDescent="0.15">
      <c r="A563" t="s">
        <v>13</v>
      </c>
      <c r="B563">
        <v>10010</v>
      </c>
      <c r="C563">
        <v>19</v>
      </c>
      <c r="D563">
        <v>5.1031000000000004</v>
      </c>
      <c r="E563">
        <v>393.09219999999999</v>
      </c>
      <c r="F563">
        <v>15.792999999999999</v>
      </c>
      <c r="G563">
        <v>83.120599999999996</v>
      </c>
      <c r="H563">
        <v>97.045299999999997</v>
      </c>
    </row>
    <row r="564" spans="1:8" x14ac:dyDescent="0.15">
      <c r="A564" t="s">
        <v>13</v>
      </c>
      <c r="B564">
        <v>10010</v>
      </c>
      <c r="C564">
        <v>19</v>
      </c>
      <c r="D564">
        <v>5.1077000000000004</v>
      </c>
      <c r="E564">
        <v>392.73820000000001</v>
      </c>
      <c r="F564">
        <v>15.779</v>
      </c>
      <c r="G564">
        <v>83.045699999999997</v>
      </c>
      <c r="H564">
        <v>97.132199999999997</v>
      </c>
    </row>
    <row r="565" spans="1:8" x14ac:dyDescent="0.15">
      <c r="A565" t="s">
        <v>13</v>
      </c>
      <c r="B565">
        <v>10010</v>
      </c>
      <c r="C565">
        <v>19</v>
      </c>
      <c r="D565">
        <v>5.1130000000000004</v>
      </c>
      <c r="E565">
        <v>392.33629999999999</v>
      </c>
      <c r="F565">
        <v>15.763</v>
      </c>
      <c r="G565">
        <v>82.960700000000003</v>
      </c>
      <c r="H565">
        <v>97.232200000000006</v>
      </c>
    </row>
    <row r="566" spans="1:8" x14ac:dyDescent="0.15">
      <c r="A566" t="s">
        <v>13</v>
      </c>
      <c r="B566">
        <v>10010</v>
      </c>
      <c r="C566">
        <v>19</v>
      </c>
      <c r="D566">
        <v>5.1193</v>
      </c>
      <c r="E566">
        <v>391.84789999999998</v>
      </c>
      <c r="F566">
        <v>15.743</v>
      </c>
      <c r="G566">
        <v>82.857500000000002</v>
      </c>
      <c r="H566">
        <v>97.354200000000006</v>
      </c>
    </row>
    <row r="567" spans="1:8" x14ac:dyDescent="0.15">
      <c r="A567" t="s">
        <v>13</v>
      </c>
      <c r="B567">
        <v>10010</v>
      </c>
      <c r="C567">
        <v>19</v>
      </c>
      <c r="D567">
        <v>5.1238999999999999</v>
      </c>
      <c r="E567">
        <v>391.49680000000001</v>
      </c>
      <c r="F567">
        <v>15.728999999999999</v>
      </c>
      <c r="G567">
        <v>82.783199999999994</v>
      </c>
      <c r="H567">
        <v>97.440200000000004</v>
      </c>
    </row>
    <row r="568" spans="1:8" x14ac:dyDescent="0.15">
      <c r="A568" t="s">
        <v>13</v>
      </c>
      <c r="B568">
        <v>10010</v>
      </c>
      <c r="C568">
        <v>19</v>
      </c>
      <c r="D568">
        <v>5.1243999999999996</v>
      </c>
      <c r="E568">
        <v>391.46069999999997</v>
      </c>
      <c r="F568">
        <v>15.727</v>
      </c>
      <c r="G568">
        <v>82.775599999999997</v>
      </c>
      <c r="H568">
        <v>97.450199999999995</v>
      </c>
    </row>
    <row r="569" spans="1:8" x14ac:dyDescent="0.15">
      <c r="A569" t="s">
        <v>13</v>
      </c>
      <c r="B569">
        <v>10010</v>
      </c>
      <c r="C569">
        <v>19</v>
      </c>
      <c r="D569">
        <v>5.1277999999999997</v>
      </c>
      <c r="E569">
        <v>391.2029</v>
      </c>
      <c r="F569">
        <v>15.717000000000001</v>
      </c>
      <c r="G569">
        <v>82.721100000000007</v>
      </c>
      <c r="H569">
        <v>97.513199999999998</v>
      </c>
    </row>
    <row r="570" spans="1:8" x14ac:dyDescent="0.15">
      <c r="A570" t="s">
        <v>13</v>
      </c>
      <c r="B570">
        <v>10010</v>
      </c>
      <c r="C570">
        <v>19</v>
      </c>
      <c r="D570">
        <v>5.1372</v>
      </c>
      <c r="E570">
        <v>390.48759999999999</v>
      </c>
      <c r="F570">
        <v>15.688000000000001</v>
      </c>
      <c r="G570">
        <v>82.569800000000001</v>
      </c>
      <c r="H570">
        <v>97.692099999999996</v>
      </c>
    </row>
    <row r="571" spans="1:8" x14ac:dyDescent="0.15">
      <c r="A571" t="s">
        <v>13</v>
      </c>
      <c r="B571">
        <v>10010</v>
      </c>
      <c r="C571">
        <v>19</v>
      </c>
      <c r="D571">
        <v>5.1299000000000001</v>
      </c>
      <c r="E571">
        <v>391.0455</v>
      </c>
      <c r="F571">
        <v>15.711</v>
      </c>
      <c r="G571">
        <v>82.687799999999996</v>
      </c>
      <c r="H571">
        <v>97.553200000000004</v>
      </c>
    </row>
    <row r="572" spans="1:8" x14ac:dyDescent="0.15">
      <c r="A572" t="s">
        <v>13</v>
      </c>
      <c r="B572">
        <v>10010</v>
      </c>
      <c r="C572">
        <v>19</v>
      </c>
      <c r="D572">
        <v>5.1315999999999997</v>
      </c>
      <c r="E572">
        <v>390.91609999999997</v>
      </c>
      <c r="F572">
        <v>15.705</v>
      </c>
      <c r="G572">
        <v>82.660399999999996</v>
      </c>
      <c r="H572">
        <v>97.584999999999994</v>
      </c>
    </row>
    <row r="573" spans="1:8" x14ac:dyDescent="0.15">
      <c r="A573" t="s">
        <v>13</v>
      </c>
      <c r="B573">
        <v>10010</v>
      </c>
      <c r="C573">
        <v>19</v>
      </c>
      <c r="D573">
        <v>5.1261999999999999</v>
      </c>
      <c r="E573">
        <v>391.32600000000002</v>
      </c>
      <c r="F573">
        <v>15.722</v>
      </c>
      <c r="G573">
        <v>82.747100000000003</v>
      </c>
      <c r="H573">
        <v>97.484399999999994</v>
      </c>
    </row>
    <row r="574" spans="1:8" x14ac:dyDescent="0.15">
      <c r="A574" t="s">
        <v>13</v>
      </c>
      <c r="B574">
        <v>10010</v>
      </c>
      <c r="C574">
        <v>19</v>
      </c>
      <c r="D574">
        <v>5.1246999999999998</v>
      </c>
      <c r="E574">
        <v>391.44099999999997</v>
      </c>
      <c r="F574">
        <v>15.727</v>
      </c>
      <c r="G574">
        <v>82.7714</v>
      </c>
      <c r="H574">
        <v>97.452100000000002</v>
      </c>
    </row>
    <row r="575" spans="1:8" x14ac:dyDescent="0.15">
      <c r="A575" t="s">
        <v>13</v>
      </c>
      <c r="B575">
        <v>10010</v>
      </c>
      <c r="C575">
        <v>19</v>
      </c>
      <c r="D575">
        <v>5.1196000000000002</v>
      </c>
      <c r="E575">
        <v>391.82979999999998</v>
      </c>
      <c r="F575">
        <v>15.742000000000001</v>
      </c>
      <c r="G575">
        <v>82.8536</v>
      </c>
      <c r="H575">
        <v>97.358199999999997</v>
      </c>
    </row>
    <row r="576" spans="1:8" x14ac:dyDescent="0.15">
      <c r="A576" t="s">
        <v>13</v>
      </c>
      <c r="B576">
        <v>10010</v>
      </c>
      <c r="C576">
        <v>19</v>
      </c>
      <c r="D576">
        <v>5.1250999999999998</v>
      </c>
      <c r="E576">
        <v>391.40949999999998</v>
      </c>
      <c r="F576">
        <v>15.725</v>
      </c>
      <c r="G576">
        <v>82.764799999999994</v>
      </c>
      <c r="H576">
        <v>97.462199999999996</v>
      </c>
    </row>
    <row r="577" spans="1:8" x14ac:dyDescent="0.15">
      <c r="A577" t="s">
        <v>13</v>
      </c>
      <c r="B577">
        <v>10010</v>
      </c>
      <c r="C577">
        <v>19</v>
      </c>
      <c r="D577">
        <v>5.1279000000000003</v>
      </c>
      <c r="E577">
        <v>391.19630000000001</v>
      </c>
      <c r="F577">
        <v>15.717000000000001</v>
      </c>
      <c r="G577">
        <v>82.719700000000003</v>
      </c>
      <c r="H577">
        <v>97.515100000000004</v>
      </c>
    </row>
    <row r="578" spans="1:8" x14ac:dyDescent="0.15">
      <c r="A578" t="s">
        <v>13</v>
      </c>
      <c r="B578">
        <v>10010</v>
      </c>
      <c r="C578">
        <v>19</v>
      </c>
      <c r="D578">
        <v>5.1281999999999996</v>
      </c>
      <c r="E578">
        <v>391.17180000000002</v>
      </c>
      <c r="F578">
        <v>15.715999999999999</v>
      </c>
      <c r="G578">
        <v>82.714500000000001</v>
      </c>
      <c r="H578">
        <v>97.521199999999993</v>
      </c>
    </row>
    <row r="579" spans="1:8" x14ac:dyDescent="0.15">
      <c r="A579" t="s">
        <v>13</v>
      </c>
      <c r="B579">
        <v>10010</v>
      </c>
      <c r="C579">
        <v>19</v>
      </c>
      <c r="D579">
        <v>5.1384999999999996</v>
      </c>
      <c r="E579">
        <v>390.38720000000001</v>
      </c>
      <c r="F579">
        <v>15.683999999999999</v>
      </c>
      <c r="G579">
        <v>82.548599999999993</v>
      </c>
      <c r="H579">
        <v>97.718000000000004</v>
      </c>
    </row>
    <row r="580" spans="1:8" x14ac:dyDescent="0.15">
      <c r="A580" t="s">
        <v>13</v>
      </c>
      <c r="B580">
        <v>10010</v>
      </c>
      <c r="C580">
        <v>19</v>
      </c>
      <c r="D580">
        <v>5.1321000000000003</v>
      </c>
      <c r="E580">
        <v>390.87639999999999</v>
      </c>
      <c r="F580">
        <v>15.704000000000001</v>
      </c>
      <c r="G580">
        <v>82.652000000000001</v>
      </c>
      <c r="H580">
        <v>97.594200000000001</v>
      </c>
    </row>
    <row r="581" spans="1:8" x14ac:dyDescent="0.15">
      <c r="A581" t="s">
        <v>13</v>
      </c>
      <c r="B581">
        <v>10010</v>
      </c>
      <c r="C581">
        <v>19</v>
      </c>
      <c r="D581">
        <v>5.1334999999999997</v>
      </c>
      <c r="E581">
        <v>390.76729999999998</v>
      </c>
      <c r="F581">
        <v>15.7</v>
      </c>
      <c r="G581">
        <v>82.629000000000005</v>
      </c>
      <c r="H581">
        <v>97.6233</v>
      </c>
    </row>
    <row r="582" spans="1:8" x14ac:dyDescent="0.15">
      <c r="A582" t="s">
        <v>13</v>
      </c>
      <c r="B582">
        <v>10010</v>
      </c>
      <c r="C582">
        <v>19</v>
      </c>
      <c r="D582">
        <v>5.1395</v>
      </c>
      <c r="E582">
        <v>390.30889999999999</v>
      </c>
      <c r="F582">
        <v>15.680999999999999</v>
      </c>
      <c r="G582">
        <v>82.531999999999996</v>
      </c>
      <c r="H582">
        <v>97.737099999999998</v>
      </c>
    </row>
    <row r="583" spans="1:8" x14ac:dyDescent="0.15">
      <c r="A583" t="s">
        <v>13</v>
      </c>
      <c r="B583">
        <v>10010</v>
      </c>
      <c r="C583">
        <v>19</v>
      </c>
      <c r="D583">
        <v>5.1417000000000002</v>
      </c>
      <c r="E583">
        <v>390.14260000000002</v>
      </c>
      <c r="F583">
        <v>15.673999999999999</v>
      </c>
      <c r="G583">
        <v>82.496899999999997</v>
      </c>
      <c r="H583">
        <v>97.7791</v>
      </c>
    </row>
    <row r="584" spans="1:8" x14ac:dyDescent="0.15">
      <c r="A584" t="s">
        <v>13</v>
      </c>
      <c r="B584">
        <v>10010</v>
      </c>
      <c r="C584">
        <v>19</v>
      </c>
      <c r="D584">
        <v>5.1421000000000001</v>
      </c>
      <c r="E584">
        <v>390.11559999999997</v>
      </c>
      <c r="F584">
        <v>15.673</v>
      </c>
      <c r="G584">
        <v>82.491200000000006</v>
      </c>
      <c r="H584">
        <v>97.785200000000003</v>
      </c>
    </row>
    <row r="585" spans="1:8" x14ac:dyDescent="0.15">
      <c r="A585" t="s">
        <v>13</v>
      </c>
      <c r="B585">
        <v>10010</v>
      </c>
      <c r="C585">
        <v>19</v>
      </c>
      <c r="D585">
        <v>5.14</v>
      </c>
      <c r="E585">
        <v>390.2747</v>
      </c>
      <c r="F585">
        <v>15.68</v>
      </c>
      <c r="G585">
        <v>82.524799999999999</v>
      </c>
      <c r="H585">
        <v>97.746099999999998</v>
      </c>
    </row>
    <row r="586" spans="1:8" x14ac:dyDescent="0.15">
      <c r="A586" t="s">
        <v>13</v>
      </c>
      <c r="B586">
        <v>10010</v>
      </c>
      <c r="C586">
        <v>19</v>
      </c>
      <c r="D586">
        <v>5.1426999999999996</v>
      </c>
      <c r="E586">
        <v>390.0702</v>
      </c>
      <c r="F586">
        <v>15.670999999999999</v>
      </c>
      <c r="G586">
        <v>82.4816</v>
      </c>
      <c r="H586">
        <v>97.796099999999996</v>
      </c>
    </row>
    <row r="587" spans="1:8" x14ac:dyDescent="0.15">
      <c r="A587" t="s">
        <v>13</v>
      </c>
      <c r="B587">
        <v>10010</v>
      </c>
      <c r="C587">
        <v>19</v>
      </c>
      <c r="D587">
        <v>5.1440000000000001</v>
      </c>
      <c r="E587">
        <v>389.96809999999999</v>
      </c>
      <c r="F587">
        <v>15.667</v>
      </c>
      <c r="G587">
        <v>82.46</v>
      </c>
      <c r="H587">
        <v>97.8232</v>
      </c>
    </row>
    <row r="588" spans="1:8" x14ac:dyDescent="0.15">
      <c r="A588" t="s">
        <v>13</v>
      </c>
      <c r="B588">
        <v>10010</v>
      </c>
      <c r="C588">
        <v>19</v>
      </c>
      <c r="D588">
        <v>5.1471999999999998</v>
      </c>
      <c r="E588">
        <v>389.72699999999998</v>
      </c>
      <c r="F588">
        <v>15.657999999999999</v>
      </c>
      <c r="G588">
        <v>82.409000000000006</v>
      </c>
      <c r="H588">
        <v>97.883099999999999</v>
      </c>
    </row>
    <row r="589" spans="1:8" x14ac:dyDescent="0.15">
      <c r="A589" t="s">
        <v>13</v>
      </c>
      <c r="B589">
        <v>10010</v>
      </c>
      <c r="C589">
        <v>19</v>
      </c>
      <c r="D589">
        <v>5.1449999999999996</v>
      </c>
      <c r="E589">
        <v>389.89339999999999</v>
      </c>
      <c r="F589">
        <v>15.664</v>
      </c>
      <c r="G589">
        <v>82.444199999999995</v>
      </c>
      <c r="H589">
        <v>97.841099999999997</v>
      </c>
    </row>
    <row r="590" spans="1:8" x14ac:dyDescent="0.15">
      <c r="A590" t="s">
        <v>13</v>
      </c>
      <c r="B590">
        <v>10010</v>
      </c>
      <c r="C590">
        <v>19</v>
      </c>
      <c r="D590">
        <v>5.1478000000000002</v>
      </c>
      <c r="E590">
        <v>389.6798</v>
      </c>
      <c r="F590">
        <v>15.656000000000001</v>
      </c>
      <c r="G590">
        <v>82.399000000000001</v>
      </c>
      <c r="H590">
        <v>97.894999999999996</v>
      </c>
    </row>
    <row r="591" spans="1:8" x14ac:dyDescent="0.15">
      <c r="A591" t="s">
        <v>13</v>
      </c>
      <c r="B591">
        <v>10010</v>
      </c>
      <c r="C591">
        <v>19</v>
      </c>
      <c r="D591">
        <v>5.1474000000000002</v>
      </c>
      <c r="E591">
        <v>389.71080000000001</v>
      </c>
      <c r="F591">
        <v>15.657</v>
      </c>
      <c r="G591">
        <v>82.405600000000007</v>
      </c>
      <c r="H591">
        <v>97.887200000000007</v>
      </c>
    </row>
    <row r="592" spans="1:8" x14ac:dyDescent="0.15">
      <c r="A592" t="s">
        <v>13</v>
      </c>
      <c r="B592">
        <v>10010</v>
      </c>
      <c r="C592">
        <v>19</v>
      </c>
      <c r="D592">
        <v>5.15</v>
      </c>
      <c r="E592">
        <v>389.51679999999999</v>
      </c>
      <c r="F592">
        <v>15.648999999999999</v>
      </c>
      <c r="G592">
        <v>82.364500000000007</v>
      </c>
      <c r="H592">
        <v>97.935100000000006</v>
      </c>
    </row>
    <row r="593" spans="1:8" x14ac:dyDescent="0.15">
      <c r="A593" t="s">
        <v>13</v>
      </c>
      <c r="B593">
        <v>10010</v>
      </c>
      <c r="C593">
        <v>19</v>
      </c>
      <c r="D593">
        <v>5.149</v>
      </c>
      <c r="E593">
        <v>389.59379999999999</v>
      </c>
      <c r="F593">
        <v>15.651999999999999</v>
      </c>
      <c r="G593">
        <v>82.380799999999994</v>
      </c>
      <c r="H593">
        <v>97.9131</v>
      </c>
    </row>
    <row r="594" spans="1:8" x14ac:dyDescent="0.15">
      <c r="A594" t="s">
        <v>13</v>
      </c>
      <c r="B594">
        <v>10010</v>
      </c>
      <c r="C594">
        <v>19</v>
      </c>
      <c r="D594">
        <v>5.1506999999999996</v>
      </c>
      <c r="E594">
        <v>389.46480000000003</v>
      </c>
      <c r="F594">
        <v>15.647</v>
      </c>
      <c r="G594">
        <v>82.353499999999997</v>
      </c>
      <c r="H594">
        <v>97.949200000000005</v>
      </c>
    </row>
    <row r="595" spans="1:8" x14ac:dyDescent="0.15">
      <c r="A595" t="s">
        <v>13</v>
      </c>
      <c r="B595">
        <v>10010</v>
      </c>
      <c r="C595">
        <v>19</v>
      </c>
      <c r="D595">
        <v>5.1520999999999999</v>
      </c>
      <c r="E595">
        <v>389.35599999999999</v>
      </c>
      <c r="F595">
        <v>15.643000000000001</v>
      </c>
      <c r="G595">
        <v>82.330500000000001</v>
      </c>
      <c r="H595">
        <v>97.976100000000002</v>
      </c>
    </row>
    <row r="596" spans="1:8" x14ac:dyDescent="0.15">
      <c r="A596" t="s">
        <v>13</v>
      </c>
      <c r="B596">
        <v>10010</v>
      </c>
      <c r="C596">
        <v>19</v>
      </c>
      <c r="D596">
        <v>5.1493000000000002</v>
      </c>
      <c r="E596">
        <v>389.56920000000002</v>
      </c>
      <c r="F596">
        <v>15.651</v>
      </c>
      <c r="G596">
        <v>82.375600000000006</v>
      </c>
      <c r="H596">
        <v>97.923299999999998</v>
      </c>
    </row>
    <row r="597" spans="1:8" x14ac:dyDescent="0.15">
      <c r="A597" t="s">
        <v>13</v>
      </c>
      <c r="B597">
        <v>10010</v>
      </c>
      <c r="C597">
        <v>19</v>
      </c>
      <c r="D597">
        <v>5.1515000000000004</v>
      </c>
      <c r="E597">
        <v>389.4024</v>
      </c>
      <c r="F597">
        <v>15.645</v>
      </c>
      <c r="G597">
        <v>82.340400000000002</v>
      </c>
      <c r="H597">
        <v>97.964799999999997</v>
      </c>
    </row>
    <row r="598" spans="1:8" x14ac:dyDescent="0.15">
      <c r="A598" t="s">
        <v>13</v>
      </c>
      <c r="B598">
        <v>10010</v>
      </c>
      <c r="C598">
        <v>19</v>
      </c>
      <c r="D598">
        <v>5.1536</v>
      </c>
      <c r="E598">
        <v>389.24579999999997</v>
      </c>
      <c r="F598">
        <v>15.638</v>
      </c>
      <c r="G598">
        <v>82.307199999999995</v>
      </c>
      <c r="H598">
        <v>98.003399999999999</v>
      </c>
    </row>
    <row r="599" spans="1:8" x14ac:dyDescent="0.15">
      <c r="A599" t="s">
        <v>13</v>
      </c>
      <c r="B599">
        <v>10010</v>
      </c>
      <c r="C599">
        <v>19</v>
      </c>
      <c r="D599">
        <v>5.1540999999999997</v>
      </c>
      <c r="E599">
        <v>389.20940000000002</v>
      </c>
      <c r="F599">
        <v>15.637</v>
      </c>
      <c r="G599">
        <v>82.299499999999995</v>
      </c>
      <c r="H599">
        <v>98.011700000000005</v>
      </c>
    </row>
    <row r="600" spans="1:8" x14ac:dyDescent="0.15">
      <c r="A600" t="s">
        <v>13</v>
      </c>
      <c r="B600">
        <v>10010</v>
      </c>
      <c r="C600">
        <v>19</v>
      </c>
      <c r="D600">
        <v>5.1544999999999996</v>
      </c>
      <c r="E600">
        <v>389.1773</v>
      </c>
      <c r="F600">
        <v>15.635999999999999</v>
      </c>
      <c r="G600">
        <v>82.2928</v>
      </c>
      <c r="H600">
        <v>98.021500000000003</v>
      </c>
    </row>
    <row r="601" spans="1:8" x14ac:dyDescent="0.15">
      <c r="A601" t="s">
        <v>13</v>
      </c>
      <c r="B601">
        <v>10010</v>
      </c>
      <c r="C601">
        <v>19</v>
      </c>
      <c r="D601">
        <v>5.1576000000000004</v>
      </c>
      <c r="E601">
        <v>388.9393</v>
      </c>
      <c r="F601">
        <v>15.625999999999999</v>
      </c>
      <c r="G601">
        <v>82.242400000000004</v>
      </c>
      <c r="H601">
        <v>98.081999999999994</v>
      </c>
    </row>
    <row r="602" spans="1:8" x14ac:dyDescent="0.15">
      <c r="A602" t="s">
        <v>13</v>
      </c>
      <c r="B602">
        <v>10010</v>
      </c>
      <c r="C602">
        <v>19</v>
      </c>
      <c r="D602">
        <v>5.1570999999999998</v>
      </c>
      <c r="E602">
        <v>388.97629999999998</v>
      </c>
      <c r="F602">
        <v>15.628</v>
      </c>
      <c r="G602">
        <v>82.250200000000007</v>
      </c>
      <c r="H602">
        <v>98.071799999999996</v>
      </c>
    </row>
    <row r="603" spans="1:8" x14ac:dyDescent="0.15">
      <c r="A603" t="s">
        <v>13</v>
      </c>
      <c r="B603">
        <v>10010</v>
      </c>
      <c r="C603">
        <v>19</v>
      </c>
      <c r="D603">
        <v>5.1581000000000001</v>
      </c>
      <c r="E603">
        <v>388.90390000000002</v>
      </c>
      <c r="F603">
        <v>15.625</v>
      </c>
      <c r="G603">
        <v>82.234899999999996</v>
      </c>
      <c r="H603">
        <v>98.090299999999999</v>
      </c>
    </row>
    <row r="604" spans="1:8" x14ac:dyDescent="0.15">
      <c r="A604" t="s">
        <v>13</v>
      </c>
      <c r="B604">
        <v>10010</v>
      </c>
      <c r="C604">
        <v>20</v>
      </c>
      <c r="D604">
        <v>4.8608000000000002</v>
      </c>
      <c r="E604">
        <v>412.69290000000001</v>
      </c>
      <c r="F604">
        <v>16.579999999999998</v>
      </c>
      <c r="G604">
        <v>82.901899999999998</v>
      </c>
      <c r="H604">
        <v>97.254400000000004</v>
      </c>
    </row>
    <row r="605" spans="1:8" x14ac:dyDescent="0.15">
      <c r="A605" t="s">
        <v>13</v>
      </c>
      <c r="B605">
        <v>10010</v>
      </c>
      <c r="C605">
        <v>20</v>
      </c>
      <c r="D605">
        <v>4.8578000000000001</v>
      </c>
      <c r="E605">
        <v>412.94510000000002</v>
      </c>
      <c r="F605">
        <v>16.591000000000001</v>
      </c>
      <c r="G605">
        <v>82.952600000000004</v>
      </c>
      <c r="H605">
        <v>97.216800000000006</v>
      </c>
    </row>
    <row r="606" spans="1:8" x14ac:dyDescent="0.15">
      <c r="A606" t="s">
        <v>13</v>
      </c>
      <c r="B606">
        <v>10010</v>
      </c>
      <c r="C606">
        <v>20</v>
      </c>
      <c r="D606">
        <v>4.8571</v>
      </c>
      <c r="E606">
        <v>413.00889999999998</v>
      </c>
      <c r="F606">
        <v>16.593</v>
      </c>
      <c r="G606">
        <v>82.965400000000002</v>
      </c>
      <c r="H606">
        <v>97.195300000000003</v>
      </c>
    </row>
    <row r="607" spans="1:8" x14ac:dyDescent="0.15">
      <c r="A607" t="s">
        <v>13</v>
      </c>
      <c r="B607">
        <v>10010</v>
      </c>
      <c r="C607">
        <v>20</v>
      </c>
      <c r="D607">
        <v>4.8574999999999999</v>
      </c>
      <c r="E607">
        <v>412.96859999999998</v>
      </c>
      <c r="F607">
        <v>16.591000000000001</v>
      </c>
      <c r="G607">
        <v>82.957300000000004</v>
      </c>
      <c r="H607">
        <v>97.2012</v>
      </c>
    </row>
    <row r="608" spans="1:8" x14ac:dyDescent="0.15">
      <c r="A608" t="s">
        <v>13</v>
      </c>
      <c r="B608">
        <v>10010</v>
      </c>
      <c r="C608">
        <v>20</v>
      </c>
      <c r="D608">
        <v>4.8517999999999999</v>
      </c>
      <c r="E608">
        <v>413.45420000000001</v>
      </c>
      <c r="F608">
        <v>16.611000000000001</v>
      </c>
      <c r="G608">
        <v>83.054900000000004</v>
      </c>
      <c r="H608">
        <v>97.095200000000006</v>
      </c>
    </row>
    <row r="609" spans="1:8" x14ac:dyDescent="0.15">
      <c r="A609" t="s">
        <v>13</v>
      </c>
      <c r="B609">
        <v>10010</v>
      </c>
      <c r="C609">
        <v>20</v>
      </c>
      <c r="D609">
        <v>4.8545999999999996</v>
      </c>
      <c r="E609">
        <v>413.21449999999999</v>
      </c>
      <c r="F609">
        <v>16.600999999999999</v>
      </c>
      <c r="G609">
        <v>83.006699999999995</v>
      </c>
      <c r="H609">
        <v>97.153300000000002</v>
      </c>
    </row>
    <row r="610" spans="1:8" x14ac:dyDescent="0.15">
      <c r="A610" t="s">
        <v>13</v>
      </c>
      <c r="B610">
        <v>10010</v>
      </c>
      <c r="C610">
        <v>20</v>
      </c>
      <c r="D610">
        <v>4.8544</v>
      </c>
      <c r="E610">
        <v>413.23379999999997</v>
      </c>
      <c r="F610">
        <v>16.602</v>
      </c>
      <c r="G610">
        <v>83.010599999999997</v>
      </c>
      <c r="H610">
        <v>97.148399999999995</v>
      </c>
    </row>
    <row r="611" spans="1:8" x14ac:dyDescent="0.15">
      <c r="A611" t="s">
        <v>13</v>
      </c>
      <c r="B611">
        <v>10010</v>
      </c>
      <c r="C611">
        <v>20</v>
      </c>
      <c r="D611">
        <v>4.8574999999999999</v>
      </c>
      <c r="E611">
        <v>412.97109999999998</v>
      </c>
      <c r="F611">
        <v>16.591999999999999</v>
      </c>
      <c r="G611">
        <v>82.957800000000006</v>
      </c>
      <c r="H611">
        <v>97.206999999999994</v>
      </c>
    </row>
    <row r="612" spans="1:8" x14ac:dyDescent="0.15">
      <c r="A612" t="s">
        <v>13</v>
      </c>
      <c r="B612">
        <v>10010</v>
      </c>
      <c r="C612">
        <v>20</v>
      </c>
      <c r="D612">
        <v>4.8594999999999997</v>
      </c>
      <c r="E612">
        <v>412.80450000000002</v>
      </c>
      <c r="F612">
        <v>16.585000000000001</v>
      </c>
      <c r="G612">
        <v>82.924400000000006</v>
      </c>
      <c r="H612">
        <v>97.249499999999998</v>
      </c>
    </row>
    <row r="613" spans="1:8" x14ac:dyDescent="0.15">
      <c r="A613" t="s">
        <v>13</v>
      </c>
      <c r="B613">
        <v>10010</v>
      </c>
      <c r="C613">
        <v>20</v>
      </c>
      <c r="D613">
        <v>4.8578999999999999</v>
      </c>
      <c r="E613">
        <v>412.93860000000001</v>
      </c>
      <c r="F613">
        <v>16.59</v>
      </c>
      <c r="G613">
        <v>82.951300000000003</v>
      </c>
      <c r="H613">
        <v>97.219200000000001</v>
      </c>
    </row>
    <row r="614" spans="1:8" x14ac:dyDescent="0.15">
      <c r="A614" t="s">
        <v>13</v>
      </c>
      <c r="B614">
        <v>10010</v>
      </c>
      <c r="C614">
        <v>20</v>
      </c>
      <c r="D614">
        <v>4.8594999999999997</v>
      </c>
      <c r="E614">
        <v>412.8023</v>
      </c>
      <c r="F614">
        <v>16.585000000000001</v>
      </c>
      <c r="G614">
        <v>82.923900000000003</v>
      </c>
      <c r="H614">
        <v>97.251999999999995</v>
      </c>
    </row>
    <row r="615" spans="1:8" x14ac:dyDescent="0.15">
      <c r="A615" t="s">
        <v>13</v>
      </c>
      <c r="B615">
        <v>10010</v>
      </c>
      <c r="C615">
        <v>20</v>
      </c>
      <c r="D615">
        <v>4.8575999999999997</v>
      </c>
      <c r="E615">
        <v>412.9649</v>
      </c>
      <c r="F615">
        <v>16.591000000000001</v>
      </c>
      <c r="G615">
        <v>82.956599999999995</v>
      </c>
      <c r="H615">
        <v>97.202100000000002</v>
      </c>
    </row>
    <row r="616" spans="1:8" x14ac:dyDescent="0.15">
      <c r="A616" t="s">
        <v>13</v>
      </c>
      <c r="B616">
        <v>10010</v>
      </c>
      <c r="C616">
        <v>20</v>
      </c>
      <c r="D616">
        <v>4.8564999999999996</v>
      </c>
      <c r="E616">
        <v>413.05250000000001</v>
      </c>
      <c r="F616">
        <v>16.594999999999999</v>
      </c>
      <c r="G616">
        <v>82.974199999999996</v>
      </c>
      <c r="H616">
        <v>97.186499999999995</v>
      </c>
    </row>
    <row r="617" spans="1:8" x14ac:dyDescent="0.15">
      <c r="A617" t="s">
        <v>13</v>
      </c>
      <c r="B617">
        <v>10010</v>
      </c>
      <c r="C617">
        <v>20</v>
      </c>
      <c r="D617">
        <v>4.8575999999999997</v>
      </c>
      <c r="E617">
        <v>412.96230000000003</v>
      </c>
      <c r="F617">
        <v>16.591000000000001</v>
      </c>
      <c r="G617">
        <v>82.956100000000006</v>
      </c>
      <c r="H617">
        <v>97.212900000000005</v>
      </c>
    </row>
    <row r="618" spans="1:8" x14ac:dyDescent="0.15">
      <c r="A618" t="s">
        <v>13</v>
      </c>
      <c r="B618">
        <v>10010</v>
      </c>
      <c r="C618">
        <v>20</v>
      </c>
      <c r="D618">
        <v>4.8548</v>
      </c>
      <c r="E618">
        <v>413.20119999999997</v>
      </c>
      <c r="F618">
        <v>16.600999999999999</v>
      </c>
      <c r="G618">
        <v>83.004000000000005</v>
      </c>
      <c r="H618">
        <v>97.153300000000002</v>
      </c>
    </row>
    <row r="619" spans="1:8" x14ac:dyDescent="0.15">
      <c r="A619" t="s">
        <v>13</v>
      </c>
      <c r="B619">
        <v>10010</v>
      </c>
      <c r="C619">
        <v>20</v>
      </c>
      <c r="D619">
        <v>4.8581000000000003</v>
      </c>
      <c r="E619">
        <v>412.92270000000002</v>
      </c>
      <c r="F619">
        <v>16.59</v>
      </c>
      <c r="G619">
        <v>82.948099999999997</v>
      </c>
      <c r="H619">
        <v>97.221199999999996</v>
      </c>
    </row>
    <row r="620" spans="1:8" x14ac:dyDescent="0.15">
      <c r="A620" t="s">
        <v>13</v>
      </c>
      <c r="B620">
        <v>10010</v>
      </c>
      <c r="C620">
        <v>20</v>
      </c>
      <c r="D620">
        <v>4.8582000000000001</v>
      </c>
      <c r="E620">
        <v>412.90949999999998</v>
      </c>
      <c r="F620">
        <v>16.588999999999999</v>
      </c>
      <c r="G620">
        <v>82.945400000000006</v>
      </c>
      <c r="H620">
        <v>97.226100000000002</v>
      </c>
    </row>
    <row r="621" spans="1:8" x14ac:dyDescent="0.15">
      <c r="A621" t="s">
        <v>13</v>
      </c>
      <c r="B621">
        <v>10010</v>
      </c>
      <c r="C621">
        <v>20</v>
      </c>
      <c r="D621">
        <v>4.8598999999999997</v>
      </c>
      <c r="E621">
        <v>412.7663</v>
      </c>
      <c r="F621">
        <v>16.582999999999998</v>
      </c>
      <c r="G621">
        <v>82.916700000000006</v>
      </c>
      <c r="H621">
        <v>97.256299999999996</v>
      </c>
    </row>
    <row r="622" spans="1:8" x14ac:dyDescent="0.15">
      <c r="A622" t="s">
        <v>13</v>
      </c>
      <c r="B622">
        <v>10010</v>
      </c>
      <c r="C622">
        <v>20</v>
      </c>
      <c r="D622">
        <v>4.8598999999999997</v>
      </c>
      <c r="E622">
        <v>412.76400000000001</v>
      </c>
      <c r="F622">
        <v>16.582999999999998</v>
      </c>
      <c r="G622">
        <v>82.916200000000003</v>
      </c>
      <c r="H622">
        <v>97.229500000000002</v>
      </c>
    </row>
    <row r="623" spans="1:8" x14ac:dyDescent="0.15">
      <c r="A623" t="s">
        <v>13</v>
      </c>
      <c r="B623">
        <v>10010</v>
      </c>
      <c r="C623">
        <v>20</v>
      </c>
      <c r="D623">
        <v>4.8613999999999997</v>
      </c>
      <c r="E623">
        <v>412.63740000000001</v>
      </c>
      <c r="F623">
        <v>16.577999999999999</v>
      </c>
      <c r="G623">
        <v>82.890799999999999</v>
      </c>
      <c r="H623">
        <v>97.287099999999995</v>
      </c>
    </row>
    <row r="624" spans="1:8" x14ac:dyDescent="0.15">
      <c r="A624" t="s">
        <v>13</v>
      </c>
      <c r="B624">
        <v>10010</v>
      </c>
      <c r="C624">
        <v>20</v>
      </c>
      <c r="D624">
        <v>4.8613999999999997</v>
      </c>
      <c r="E624">
        <v>412.6354</v>
      </c>
      <c r="F624">
        <v>16.577999999999999</v>
      </c>
      <c r="G624">
        <v>82.8904</v>
      </c>
      <c r="H624">
        <v>97.282200000000003</v>
      </c>
    </row>
    <row r="625" spans="1:8" x14ac:dyDescent="0.15">
      <c r="A625" t="s">
        <v>13</v>
      </c>
      <c r="B625">
        <v>10010</v>
      </c>
      <c r="C625">
        <v>20</v>
      </c>
      <c r="D625">
        <v>4.8634000000000004</v>
      </c>
      <c r="E625">
        <v>412.47199999999998</v>
      </c>
      <c r="F625">
        <v>16.571999999999999</v>
      </c>
      <c r="G625">
        <v>82.857600000000005</v>
      </c>
      <c r="H625">
        <v>97.325199999999995</v>
      </c>
    </row>
    <row r="626" spans="1:8" x14ac:dyDescent="0.15">
      <c r="A626" t="s">
        <v>13</v>
      </c>
      <c r="B626">
        <v>10010</v>
      </c>
      <c r="C626">
        <v>20</v>
      </c>
      <c r="D626">
        <v>4.8605</v>
      </c>
      <c r="E626">
        <v>412.71530000000001</v>
      </c>
      <c r="F626">
        <v>16.581</v>
      </c>
      <c r="G626">
        <v>82.906400000000005</v>
      </c>
      <c r="H626">
        <v>97.27</v>
      </c>
    </row>
    <row r="627" spans="1:8" x14ac:dyDescent="0.15">
      <c r="A627" t="s">
        <v>13</v>
      </c>
      <c r="B627">
        <v>10010</v>
      </c>
      <c r="C627">
        <v>20</v>
      </c>
      <c r="D627">
        <v>4.8594999999999997</v>
      </c>
      <c r="E627">
        <v>412.79750000000001</v>
      </c>
      <c r="F627">
        <v>16.585000000000001</v>
      </c>
      <c r="G627">
        <v>82.923000000000002</v>
      </c>
      <c r="H627">
        <v>97.248500000000007</v>
      </c>
    </row>
    <row r="628" spans="1:8" x14ac:dyDescent="0.15">
      <c r="A628" t="s">
        <v>13</v>
      </c>
      <c r="B628">
        <v>10010</v>
      </c>
      <c r="C628">
        <v>20</v>
      </c>
      <c r="D628">
        <v>4.8583999999999996</v>
      </c>
      <c r="E628">
        <v>412.89429999999999</v>
      </c>
      <c r="F628">
        <v>16.588000000000001</v>
      </c>
      <c r="G628">
        <v>82.942400000000006</v>
      </c>
      <c r="H628">
        <v>97.206100000000006</v>
      </c>
    </row>
    <row r="629" spans="1:8" x14ac:dyDescent="0.15">
      <c r="A629" t="s">
        <v>13</v>
      </c>
      <c r="B629">
        <v>10010</v>
      </c>
      <c r="C629">
        <v>20</v>
      </c>
      <c r="D629">
        <v>4.8590999999999998</v>
      </c>
      <c r="E629">
        <v>412.83879999999999</v>
      </c>
      <c r="F629">
        <v>16.585999999999999</v>
      </c>
      <c r="G629">
        <v>82.931299999999993</v>
      </c>
      <c r="H629">
        <v>97.241200000000006</v>
      </c>
    </row>
    <row r="630" spans="1:8" x14ac:dyDescent="0.15">
      <c r="A630" t="s">
        <v>13</v>
      </c>
      <c r="B630">
        <v>10010</v>
      </c>
      <c r="C630">
        <v>20</v>
      </c>
      <c r="D630">
        <v>4.8578000000000001</v>
      </c>
      <c r="E630">
        <v>412.94330000000002</v>
      </c>
      <c r="F630">
        <v>16.59</v>
      </c>
      <c r="G630">
        <v>82.952200000000005</v>
      </c>
      <c r="H630">
        <v>97.214399999999998</v>
      </c>
    </row>
    <row r="631" spans="1:8" x14ac:dyDescent="0.15">
      <c r="A631" t="s">
        <v>13</v>
      </c>
      <c r="B631">
        <v>10010</v>
      </c>
      <c r="C631">
        <v>20</v>
      </c>
      <c r="D631">
        <v>4.8616999999999999</v>
      </c>
      <c r="E631">
        <v>412.61070000000001</v>
      </c>
      <c r="F631">
        <v>16.577000000000002</v>
      </c>
      <c r="G631">
        <v>82.885400000000004</v>
      </c>
      <c r="H631">
        <v>97.299300000000002</v>
      </c>
    </row>
    <row r="632" spans="1:8" x14ac:dyDescent="0.15">
      <c r="A632" t="s">
        <v>13</v>
      </c>
      <c r="B632">
        <v>10010</v>
      </c>
      <c r="C632">
        <v>20</v>
      </c>
      <c r="D632">
        <v>4.8623000000000003</v>
      </c>
      <c r="E632">
        <v>412.56330000000003</v>
      </c>
      <c r="F632">
        <v>16.574999999999999</v>
      </c>
      <c r="G632">
        <v>82.875900000000001</v>
      </c>
      <c r="H632">
        <v>97.305700000000002</v>
      </c>
    </row>
    <row r="633" spans="1:8" x14ac:dyDescent="0.15">
      <c r="A633" t="s">
        <v>13</v>
      </c>
      <c r="B633">
        <v>10010</v>
      </c>
      <c r="C633">
        <v>20</v>
      </c>
      <c r="D633">
        <v>4.8623000000000003</v>
      </c>
      <c r="E633">
        <v>412.56709999999998</v>
      </c>
      <c r="F633">
        <v>16.574999999999999</v>
      </c>
      <c r="G633">
        <v>82.8767</v>
      </c>
      <c r="H633">
        <v>97.296899999999994</v>
      </c>
    </row>
    <row r="634" spans="1:8" x14ac:dyDescent="0.15">
      <c r="A634" t="s">
        <v>13</v>
      </c>
      <c r="B634">
        <v>10010</v>
      </c>
      <c r="C634">
        <v>20</v>
      </c>
      <c r="D634">
        <v>4.8620999999999999</v>
      </c>
      <c r="E634">
        <v>412.57900000000001</v>
      </c>
      <c r="F634">
        <v>16.576000000000001</v>
      </c>
      <c r="G634">
        <v>82.879099999999994</v>
      </c>
      <c r="H634">
        <v>97.304699999999997</v>
      </c>
    </row>
    <row r="635" spans="1:8" x14ac:dyDescent="0.15">
      <c r="A635" t="s">
        <v>13</v>
      </c>
      <c r="B635">
        <v>10010</v>
      </c>
      <c r="C635">
        <v>20</v>
      </c>
      <c r="D635">
        <v>4.8606999999999996</v>
      </c>
      <c r="E635">
        <v>412.69880000000001</v>
      </c>
      <c r="F635">
        <v>16.581</v>
      </c>
      <c r="G635">
        <v>82.903099999999995</v>
      </c>
      <c r="H635">
        <v>97.271500000000003</v>
      </c>
    </row>
    <row r="636" spans="1:8" x14ac:dyDescent="0.15">
      <c r="A636" t="s">
        <v>13</v>
      </c>
      <c r="B636">
        <v>10010</v>
      </c>
      <c r="C636">
        <v>20</v>
      </c>
      <c r="D636">
        <v>4.8640999999999996</v>
      </c>
      <c r="E636">
        <v>412.40879999999999</v>
      </c>
      <c r="F636">
        <v>16.568999999999999</v>
      </c>
      <c r="G636">
        <v>82.844899999999996</v>
      </c>
      <c r="H636">
        <v>97.316400000000002</v>
      </c>
    </row>
    <row r="637" spans="1:8" x14ac:dyDescent="0.15">
      <c r="A637" t="s">
        <v>13</v>
      </c>
      <c r="B637">
        <v>10010</v>
      </c>
      <c r="C637">
        <v>20</v>
      </c>
      <c r="D637">
        <v>4.8606999999999996</v>
      </c>
      <c r="E637">
        <v>412.69709999999998</v>
      </c>
      <c r="F637">
        <v>16.581</v>
      </c>
      <c r="G637">
        <v>82.902799999999999</v>
      </c>
      <c r="H637">
        <v>97.268600000000006</v>
      </c>
    </row>
    <row r="638" spans="1:8" x14ac:dyDescent="0.15">
      <c r="A638" t="s">
        <v>13</v>
      </c>
      <c r="B638">
        <v>10010</v>
      </c>
      <c r="C638">
        <v>20</v>
      </c>
      <c r="D638">
        <v>4.8577000000000004</v>
      </c>
      <c r="E638">
        <v>412.95280000000002</v>
      </c>
      <c r="F638">
        <v>16.591000000000001</v>
      </c>
      <c r="G638">
        <v>82.954099999999997</v>
      </c>
      <c r="H638">
        <v>97.213899999999995</v>
      </c>
    </row>
    <row r="639" spans="1:8" x14ac:dyDescent="0.15">
      <c r="A639" t="s">
        <v>13</v>
      </c>
      <c r="B639">
        <v>10010</v>
      </c>
      <c r="C639">
        <v>20</v>
      </c>
      <c r="D639">
        <v>4.8564999999999996</v>
      </c>
      <c r="E639">
        <v>413.05279999999999</v>
      </c>
      <c r="F639">
        <v>16.594999999999999</v>
      </c>
      <c r="G639">
        <v>82.974199999999996</v>
      </c>
      <c r="H639">
        <v>97.129900000000006</v>
      </c>
    </row>
    <row r="640" spans="1:8" x14ac:dyDescent="0.15">
      <c r="A640" t="s">
        <v>13</v>
      </c>
      <c r="B640">
        <v>10010</v>
      </c>
      <c r="C640">
        <v>20</v>
      </c>
      <c r="D640">
        <v>4.8555999999999999</v>
      </c>
      <c r="E640">
        <v>413.13189999999997</v>
      </c>
      <c r="F640">
        <v>16.597999999999999</v>
      </c>
      <c r="G640">
        <v>82.990099999999998</v>
      </c>
      <c r="H640">
        <v>97.172899999999998</v>
      </c>
    </row>
    <row r="641" spans="1:8" x14ac:dyDescent="0.15">
      <c r="A641" t="s">
        <v>13</v>
      </c>
      <c r="B641">
        <v>10010</v>
      </c>
      <c r="C641">
        <v>20</v>
      </c>
      <c r="D641">
        <v>4.8573000000000004</v>
      </c>
      <c r="E641">
        <v>412.98820000000001</v>
      </c>
      <c r="F641">
        <v>16.591999999999999</v>
      </c>
      <c r="G641">
        <v>82.961299999999994</v>
      </c>
      <c r="H641">
        <v>97.199200000000005</v>
      </c>
    </row>
    <row r="642" spans="1:8" x14ac:dyDescent="0.15">
      <c r="A642" t="s">
        <v>13</v>
      </c>
      <c r="B642">
        <v>10010</v>
      </c>
      <c r="C642">
        <v>20</v>
      </c>
      <c r="D642">
        <v>4.8574999999999999</v>
      </c>
      <c r="E642">
        <v>412.97</v>
      </c>
      <c r="F642">
        <v>16.591999999999999</v>
      </c>
      <c r="G642">
        <v>82.957599999999999</v>
      </c>
      <c r="H642">
        <v>97.212900000000005</v>
      </c>
    </row>
    <row r="643" spans="1:8" x14ac:dyDescent="0.15">
      <c r="A643" t="s">
        <v>13</v>
      </c>
      <c r="B643">
        <v>10010</v>
      </c>
      <c r="C643">
        <v>20</v>
      </c>
      <c r="D643">
        <v>4.8566000000000003</v>
      </c>
      <c r="E643">
        <v>413.04509999999999</v>
      </c>
      <c r="F643">
        <v>16.594999999999999</v>
      </c>
      <c r="G643">
        <v>82.972700000000003</v>
      </c>
      <c r="H643">
        <v>97.188500000000005</v>
      </c>
    </row>
    <row r="644" spans="1:8" x14ac:dyDescent="0.15">
      <c r="A644" t="s">
        <v>13</v>
      </c>
      <c r="B644">
        <v>10010</v>
      </c>
      <c r="C644">
        <v>20</v>
      </c>
      <c r="D644">
        <v>4.8570000000000002</v>
      </c>
      <c r="E644">
        <v>413.01659999999998</v>
      </c>
      <c r="F644">
        <v>16.593</v>
      </c>
      <c r="G644">
        <v>82.966999999999999</v>
      </c>
      <c r="H644">
        <v>97.199200000000005</v>
      </c>
    </row>
    <row r="645" spans="1:8" x14ac:dyDescent="0.15">
      <c r="A645" t="s">
        <v>13</v>
      </c>
      <c r="B645">
        <v>10010</v>
      </c>
      <c r="C645">
        <v>20</v>
      </c>
      <c r="D645">
        <v>4.8544999999999998</v>
      </c>
      <c r="E645">
        <v>413.22519999999997</v>
      </c>
      <c r="F645">
        <v>16.602</v>
      </c>
      <c r="G645">
        <v>83.008899999999997</v>
      </c>
      <c r="H645">
        <v>97.148399999999995</v>
      </c>
    </row>
    <row r="646" spans="1:8" x14ac:dyDescent="0.15">
      <c r="A646" t="s">
        <v>13</v>
      </c>
      <c r="B646">
        <v>10010</v>
      </c>
      <c r="C646">
        <v>20</v>
      </c>
      <c r="D646">
        <v>4.8569000000000004</v>
      </c>
      <c r="E646">
        <v>413.01850000000002</v>
      </c>
      <c r="F646">
        <v>16.593</v>
      </c>
      <c r="G646">
        <v>82.967299999999994</v>
      </c>
      <c r="H646">
        <v>97.200199999999995</v>
      </c>
    </row>
    <row r="647" spans="1:8" x14ac:dyDescent="0.15">
      <c r="A647" t="s">
        <v>13</v>
      </c>
      <c r="B647">
        <v>10010</v>
      </c>
      <c r="C647">
        <v>20</v>
      </c>
      <c r="D647">
        <v>4.8554000000000004</v>
      </c>
      <c r="E647">
        <v>413.14789999999999</v>
      </c>
      <c r="F647">
        <v>16.599</v>
      </c>
      <c r="G647">
        <v>82.993300000000005</v>
      </c>
      <c r="H647">
        <v>97.127899999999997</v>
      </c>
    </row>
    <row r="648" spans="1:8" x14ac:dyDescent="0.15">
      <c r="A648" t="s">
        <v>13</v>
      </c>
      <c r="B648">
        <v>10010</v>
      </c>
      <c r="C648">
        <v>20</v>
      </c>
      <c r="D648">
        <v>4.8563999999999998</v>
      </c>
      <c r="E648">
        <v>413.06270000000001</v>
      </c>
      <c r="F648">
        <v>16.594999999999999</v>
      </c>
      <c r="G648">
        <v>82.976200000000006</v>
      </c>
      <c r="H648">
        <v>97.184600000000003</v>
      </c>
    </row>
    <row r="649" spans="1:8" x14ac:dyDescent="0.15">
      <c r="A649" t="s">
        <v>13</v>
      </c>
      <c r="B649">
        <v>10010</v>
      </c>
      <c r="C649">
        <v>20</v>
      </c>
      <c r="D649">
        <v>4.8562000000000003</v>
      </c>
      <c r="E649">
        <v>413.0806</v>
      </c>
      <c r="F649">
        <v>16.596</v>
      </c>
      <c r="G649">
        <v>82.979799999999997</v>
      </c>
      <c r="H649">
        <v>97.185500000000005</v>
      </c>
    </row>
    <row r="650" spans="1:8" x14ac:dyDescent="0.15">
      <c r="A650" t="s">
        <v>13</v>
      </c>
      <c r="B650">
        <v>10010</v>
      </c>
      <c r="C650">
        <v>20</v>
      </c>
      <c r="D650">
        <v>4.8540999999999999</v>
      </c>
      <c r="E650">
        <v>413.25729999999999</v>
      </c>
      <c r="F650">
        <v>16.603000000000002</v>
      </c>
      <c r="G650">
        <v>83.015299999999996</v>
      </c>
      <c r="H650">
        <v>97.144499999999994</v>
      </c>
    </row>
    <row r="651" spans="1:8" x14ac:dyDescent="0.15">
      <c r="A651" t="s">
        <v>13</v>
      </c>
      <c r="B651">
        <v>10010</v>
      </c>
      <c r="C651">
        <v>20</v>
      </c>
      <c r="D651">
        <v>4.8551000000000002</v>
      </c>
      <c r="E651">
        <v>413.1782</v>
      </c>
      <c r="F651">
        <v>16.600000000000001</v>
      </c>
      <c r="G651">
        <v>82.999399999999994</v>
      </c>
      <c r="H651">
        <v>97.1631</v>
      </c>
    </row>
    <row r="652" spans="1:8" x14ac:dyDescent="0.15">
      <c r="A652" t="s">
        <v>13</v>
      </c>
      <c r="B652">
        <v>10010</v>
      </c>
      <c r="C652">
        <v>20</v>
      </c>
      <c r="D652">
        <v>4.8619000000000003</v>
      </c>
      <c r="E652">
        <v>412.59800000000001</v>
      </c>
      <c r="F652">
        <v>16.577000000000002</v>
      </c>
      <c r="G652">
        <v>82.882900000000006</v>
      </c>
      <c r="H652">
        <v>97.287099999999995</v>
      </c>
    </row>
    <row r="653" spans="1:8" x14ac:dyDescent="0.15">
      <c r="A653" t="s">
        <v>13</v>
      </c>
      <c r="B653">
        <v>10010</v>
      </c>
      <c r="C653">
        <v>20</v>
      </c>
      <c r="D653">
        <v>4.8628999999999998</v>
      </c>
      <c r="E653">
        <v>412.50869999999998</v>
      </c>
      <c r="F653">
        <v>16.573</v>
      </c>
      <c r="G653">
        <v>82.864900000000006</v>
      </c>
      <c r="H653">
        <v>97.296899999999994</v>
      </c>
    </row>
    <row r="654" spans="1:8" x14ac:dyDescent="0.15">
      <c r="A654" t="s">
        <v>13</v>
      </c>
      <c r="B654">
        <v>10010</v>
      </c>
      <c r="C654">
        <v>20</v>
      </c>
      <c r="D654">
        <v>4.8609</v>
      </c>
      <c r="E654">
        <v>412.68470000000002</v>
      </c>
      <c r="F654">
        <v>16.579999999999998</v>
      </c>
      <c r="G654">
        <v>82.900300000000001</v>
      </c>
      <c r="H654">
        <v>97.277299999999997</v>
      </c>
    </row>
    <row r="656" spans="1:8" x14ac:dyDescent="0.15">
      <c r="A656" s="66" t="s">
        <v>14</v>
      </c>
      <c r="B656" s="66"/>
      <c r="C656" s="66"/>
      <c r="D656" s="66"/>
      <c r="E656" s="66"/>
      <c r="F656" s="66"/>
      <c r="G656" s="66"/>
      <c r="H656" s="66"/>
    </row>
    <row r="658" spans="1:8" x14ac:dyDescent="0.15">
      <c r="A658" t="s">
        <v>5</v>
      </c>
      <c r="B658" t="s">
        <v>6</v>
      </c>
      <c r="C658" t="s">
        <v>7</v>
      </c>
      <c r="D658" t="s">
        <v>8</v>
      </c>
      <c r="E658" t="s">
        <v>9</v>
      </c>
      <c r="F658" t="s">
        <v>10</v>
      </c>
      <c r="G658" t="s">
        <v>11</v>
      </c>
      <c r="H658" t="s">
        <v>12</v>
      </c>
    </row>
    <row r="659" spans="1:8" x14ac:dyDescent="0.15">
      <c r="A659" t="s">
        <v>15</v>
      </c>
      <c r="B659">
        <v>2500</v>
      </c>
      <c r="C659">
        <v>1</v>
      </c>
      <c r="D659">
        <v>1.8935</v>
      </c>
      <c r="E659">
        <v>16.503599999999999</v>
      </c>
      <c r="F659">
        <v>1</v>
      </c>
      <c r="G659">
        <v>100</v>
      </c>
      <c r="H659">
        <v>8.1448</v>
      </c>
    </row>
    <row r="660" spans="1:8" x14ac:dyDescent="0.15">
      <c r="A660" t="s">
        <v>15</v>
      </c>
      <c r="B660">
        <v>2500</v>
      </c>
      <c r="C660">
        <v>1</v>
      </c>
      <c r="D660">
        <v>1.2767999999999999</v>
      </c>
      <c r="E660">
        <v>24.475300000000001</v>
      </c>
      <c r="F660">
        <v>1.4830000000000001</v>
      </c>
      <c r="G660">
        <v>148.303</v>
      </c>
      <c r="H660">
        <v>1.2778</v>
      </c>
    </row>
    <row r="661" spans="1:8" x14ac:dyDescent="0.15">
      <c r="A661" t="s">
        <v>15</v>
      </c>
      <c r="B661">
        <v>2500</v>
      </c>
      <c r="C661">
        <v>1</v>
      </c>
      <c r="D661">
        <v>1.2771999999999999</v>
      </c>
      <c r="E661">
        <v>24.467300000000002</v>
      </c>
      <c r="F661">
        <v>1.4830000000000001</v>
      </c>
      <c r="G661">
        <v>148.25460000000001</v>
      </c>
      <c r="H661">
        <v>1.2787999999999999</v>
      </c>
    </row>
    <row r="662" spans="1:8" x14ac:dyDescent="0.15">
      <c r="A662" t="s">
        <v>15</v>
      </c>
      <c r="B662">
        <v>2500</v>
      </c>
      <c r="C662">
        <v>1</v>
      </c>
      <c r="D662">
        <v>1.2778</v>
      </c>
      <c r="E662">
        <v>24.457000000000001</v>
      </c>
      <c r="F662">
        <v>1.482</v>
      </c>
      <c r="G662">
        <v>148.19229999999999</v>
      </c>
      <c r="H662">
        <v>1.2778</v>
      </c>
    </row>
    <row r="663" spans="1:8" x14ac:dyDescent="0.15">
      <c r="A663" t="s">
        <v>15</v>
      </c>
      <c r="B663">
        <v>2500</v>
      </c>
      <c r="C663">
        <v>1</v>
      </c>
      <c r="D663">
        <v>1.2776000000000001</v>
      </c>
      <c r="E663">
        <v>24.46</v>
      </c>
      <c r="F663">
        <v>1.482</v>
      </c>
      <c r="G663">
        <v>148.21019999999999</v>
      </c>
      <c r="H663">
        <v>1.2798</v>
      </c>
    </row>
    <row r="664" spans="1:8" x14ac:dyDescent="0.15">
      <c r="A664" t="s">
        <v>15</v>
      </c>
      <c r="B664">
        <v>2500</v>
      </c>
      <c r="C664">
        <v>1</v>
      </c>
      <c r="D664">
        <v>1.2778</v>
      </c>
      <c r="E664">
        <v>24.4559</v>
      </c>
      <c r="F664">
        <v>1.482</v>
      </c>
      <c r="G664">
        <v>148.18559999999999</v>
      </c>
      <c r="H664">
        <v>1.2787999999999999</v>
      </c>
    </row>
    <row r="665" spans="1:8" x14ac:dyDescent="0.15">
      <c r="A665" t="s">
        <v>15</v>
      </c>
      <c r="B665">
        <v>2500</v>
      </c>
      <c r="C665">
        <v>19</v>
      </c>
      <c r="D665">
        <v>9.8100000000000007E-2</v>
      </c>
      <c r="E665">
        <v>318.39350000000002</v>
      </c>
      <c r="F665">
        <v>19.292000000000002</v>
      </c>
      <c r="G665">
        <v>101.539</v>
      </c>
      <c r="H665">
        <v>1.7997000000000001</v>
      </c>
    </row>
    <row r="666" spans="1:8" x14ac:dyDescent="0.15">
      <c r="A666" t="s">
        <v>15</v>
      </c>
      <c r="B666">
        <v>2500</v>
      </c>
      <c r="C666">
        <v>19</v>
      </c>
      <c r="D666">
        <v>8.6800000000000002E-2</v>
      </c>
      <c r="E666">
        <v>359.93180000000001</v>
      </c>
      <c r="F666">
        <v>21.809000000000001</v>
      </c>
      <c r="G666">
        <v>114.786</v>
      </c>
      <c r="H666">
        <v>1.6516999999999999</v>
      </c>
    </row>
    <row r="667" spans="1:8" x14ac:dyDescent="0.15">
      <c r="A667" t="s">
        <v>15</v>
      </c>
      <c r="B667">
        <v>2500</v>
      </c>
      <c r="C667">
        <v>19</v>
      </c>
      <c r="D667">
        <v>9.11E-2</v>
      </c>
      <c r="E667">
        <v>343.01080000000002</v>
      </c>
      <c r="F667">
        <v>20.783999999999999</v>
      </c>
      <c r="G667">
        <v>109.3897</v>
      </c>
      <c r="H667">
        <v>1.7266999999999999</v>
      </c>
    </row>
    <row r="668" spans="1:8" x14ac:dyDescent="0.15">
      <c r="A668" t="s">
        <v>15</v>
      </c>
      <c r="B668">
        <v>2500</v>
      </c>
      <c r="C668">
        <v>19</v>
      </c>
      <c r="D668">
        <v>9.7299999999999998E-2</v>
      </c>
      <c r="E668">
        <v>321.19139999999999</v>
      </c>
      <c r="F668">
        <v>19.462</v>
      </c>
      <c r="G668">
        <v>102.43129999999999</v>
      </c>
      <c r="H668">
        <v>1.8376999999999999</v>
      </c>
    </row>
    <row r="669" spans="1:8" x14ac:dyDescent="0.15">
      <c r="A669" t="s">
        <v>15</v>
      </c>
      <c r="B669">
        <v>2500</v>
      </c>
      <c r="C669">
        <v>19</v>
      </c>
      <c r="D669">
        <v>8.6599999999999996E-2</v>
      </c>
      <c r="E669">
        <v>360.75450000000001</v>
      </c>
      <c r="F669">
        <v>21.859000000000002</v>
      </c>
      <c r="G669">
        <v>115.0484</v>
      </c>
      <c r="H669">
        <v>1.6476999999999999</v>
      </c>
    </row>
    <row r="670" spans="1:8" x14ac:dyDescent="0.15">
      <c r="A670" t="s">
        <v>15</v>
      </c>
      <c r="B670">
        <v>2500</v>
      </c>
      <c r="C670">
        <v>19</v>
      </c>
      <c r="D670">
        <v>8.7099999999999997E-2</v>
      </c>
      <c r="E670">
        <v>358.76240000000001</v>
      </c>
      <c r="F670">
        <v>21.738</v>
      </c>
      <c r="G670">
        <v>114.4131</v>
      </c>
      <c r="H670">
        <v>1.6448</v>
      </c>
    </row>
    <row r="671" spans="1:8" x14ac:dyDescent="0.15">
      <c r="A671" t="s">
        <v>15</v>
      </c>
      <c r="B671">
        <v>2500</v>
      </c>
      <c r="C671">
        <v>19</v>
      </c>
      <c r="D671">
        <v>8.6800000000000002E-2</v>
      </c>
      <c r="E671">
        <v>360.06040000000002</v>
      </c>
      <c r="F671">
        <v>21.817</v>
      </c>
      <c r="G671">
        <v>114.827</v>
      </c>
      <c r="H671">
        <v>1.6536999999999999</v>
      </c>
    </row>
    <row r="672" spans="1:8" x14ac:dyDescent="0.15">
      <c r="A672" t="s">
        <v>15</v>
      </c>
      <c r="B672">
        <v>2500</v>
      </c>
      <c r="C672">
        <v>19</v>
      </c>
      <c r="D672">
        <v>8.6900000000000005E-2</v>
      </c>
      <c r="E672">
        <v>359.7826</v>
      </c>
      <c r="F672">
        <v>21.8</v>
      </c>
      <c r="G672">
        <v>114.7385</v>
      </c>
      <c r="H672">
        <v>1.6607000000000001</v>
      </c>
    </row>
    <row r="673" spans="1:8" x14ac:dyDescent="0.15">
      <c r="A673" t="s">
        <v>15</v>
      </c>
      <c r="B673">
        <v>2500</v>
      </c>
      <c r="C673">
        <v>19</v>
      </c>
      <c r="D673">
        <v>8.6499999999999994E-2</v>
      </c>
      <c r="E673">
        <v>361.44299999999998</v>
      </c>
      <c r="F673">
        <v>21.901</v>
      </c>
      <c r="G673">
        <v>115.268</v>
      </c>
      <c r="H673">
        <v>1.6436999999999999</v>
      </c>
    </row>
    <row r="674" spans="1:8" x14ac:dyDescent="0.15">
      <c r="A674" t="s">
        <v>15</v>
      </c>
      <c r="B674">
        <v>2500</v>
      </c>
      <c r="C674">
        <v>19</v>
      </c>
      <c r="D674">
        <v>8.6699999999999999E-2</v>
      </c>
      <c r="E674">
        <v>360.31360000000001</v>
      </c>
      <c r="F674">
        <v>21.832000000000001</v>
      </c>
      <c r="G674">
        <v>114.90779999999999</v>
      </c>
      <c r="H674">
        <v>1.6496999999999999</v>
      </c>
    </row>
    <row r="675" spans="1:8" x14ac:dyDescent="0.15">
      <c r="A675" t="s">
        <v>15</v>
      </c>
      <c r="B675">
        <v>2500</v>
      </c>
      <c r="C675">
        <v>19</v>
      </c>
      <c r="D675">
        <v>8.6599999999999996E-2</v>
      </c>
      <c r="E675">
        <v>360.767</v>
      </c>
      <c r="F675">
        <v>21.86</v>
      </c>
      <c r="G675">
        <v>115.05240000000001</v>
      </c>
      <c r="H675">
        <v>1.6467000000000001</v>
      </c>
    </row>
    <row r="676" spans="1:8" x14ac:dyDescent="0.15">
      <c r="A676" t="s">
        <v>15</v>
      </c>
      <c r="B676">
        <v>2500</v>
      </c>
      <c r="C676">
        <v>19</v>
      </c>
      <c r="D676">
        <v>8.6699999999999999E-2</v>
      </c>
      <c r="E676">
        <v>360.42169999999999</v>
      </c>
      <c r="F676">
        <v>21.838999999999999</v>
      </c>
      <c r="G676">
        <v>114.9422</v>
      </c>
      <c r="H676">
        <v>1.6488</v>
      </c>
    </row>
    <row r="677" spans="1:8" x14ac:dyDescent="0.15">
      <c r="A677" t="s">
        <v>15</v>
      </c>
      <c r="B677">
        <v>2500</v>
      </c>
      <c r="C677">
        <v>19</v>
      </c>
      <c r="D677">
        <v>8.6999999999999994E-2</v>
      </c>
      <c r="E677">
        <v>359.30279999999999</v>
      </c>
      <c r="F677">
        <v>21.771000000000001</v>
      </c>
      <c r="G677">
        <v>114.58540000000001</v>
      </c>
      <c r="H677">
        <v>1.6536999999999999</v>
      </c>
    </row>
    <row r="678" spans="1:8" x14ac:dyDescent="0.15">
      <c r="A678" t="s">
        <v>15</v>
      </c>
      <c r="B678">
        <v>2500</v>
      </c>
      <c r="C678">
        <v>19</v>
      </c>
      <c r="D678">
        <v>8.6900000000000005E-2</v>
      </c>
      <c r="E678">
        <v>359.7081</v>
      </c>
      <c r="F678">
        <v>21.795999999999999</v>
      </c>
      <c r="G678">
        <v>114.71469999999999</v>
      </c>
      <c r="H678">
        <v>1.6516999999999999</v>
      </c>
    </row>
    <row r="679" spans="1:8" x14ac:dyDescent="0.15">
      <c r="A679" t="s">
        <v>15</v>
      </c>
      <c r="B679">
        <v>2500</v>
      </c>
      <c r="C679">
        <v>19</v>
      </c>
      <c r="D679">
        <v>8.6699999999999999E-2</v>
      </c>
      <c r="E679">
        <v>360.43</v>
      </c>
      <c r="F679">
        <v>21.84</v>
      </c>
      <c r="G679">
        <v>114.9449</v>
      </c>
      <c r="H679">
        <v>1.6488</v>
      </c>
    </row>
    <row r="680" spans="1:8" x14ac:dyDescent="0.15">
      <c r="A680" t="s">
        <v>15</v>
      </c>
      <c r="B680">
        <v>2500</v>
      </c>
      <c r="C680">
        <v>19</v>
      </c>
      <c r="D680">
        <v>8.6900000000000005E-2</v>
      </c>
      <c r="E680">
        <v>359.50119999999998</v>
      </c>
      <c r="F680">
        <v>21.783000000000001</v>
      </c>
      <c r="G680">
        <v>114.64870000000001</v>
      </c>
      <c r="H680">
        <v>1.6536999999999999</v>
      </c>
    </row>
    <row r="681" spans="1:8" x14ac:dyDescent="0.15">
      <c r="A681" t="s">
        <v>15</v>
      </c>
      <c r="B681">
        <v>2500</v>
      </c>
      <c r="C681">
        <v>19</v>
      </c>
      <c r="D681">
        <v>8.6999999999999994E-2</v>
      </c>
      <c r="E681">
        <v>359.3152</v>
      </c>
      <c r="F681">
        <v>21.771999999999998</v>
      </c>
      <c r="G681">
        <v>114.5894</v>
      </c>
      <c r="H681">
        <v>1.6536999999999999</v>
      </c>
    </row>
    <row r="682" spans="1:8" x14ac:dyDescent="0.15">
      <c r="A682" t="s">
        <v>15</v>
      </c>
      <c r="B682">
        <v>2500</v>
      </c>
      <c r="C682">
        <v>19</v>
      </c>
      <c r="D682">
        <v>8.6499999999999994E-2</v>
      </c>
      <c r="E682">
        <v>361.17559999999997</v>
      </c>
      <c r="F682">
        <v>21.885000000000002</v>
      </c>
      <c r="G682">
        <v>115.1827</v>
      </c>
      <c r="H682">
        <v>1.6448</v>
      </c>
    </row>
    <row r="683" spans="1:8" x14ac:dyDescent="0.15">
      <c r="A683" t="s">
        <v>15</v>
      </c>
      <c r="B683">
        <v>2500</v>
      </c>
      <c r="C683">
        <v>19</v>
      </c>
      <c r="D683">
        <v>8.6800000000000002E-2</v>
      </c>
      <c r="E683">
        <v>360.03140000000002</v>
      </c>
      <c r="F683">
        <v>21.815000000000001</v>
      </c>
      <c r="G683">
        <v>114.81780000000001</v>
      </c>
      <c r="H683">
        <v>1.6496999999999999</v>
      </c>
    </row>
    <row r="684" spans="1:8" x14ac:dyDescent="0.15">
      <c r="A684" t="s">
        <v>15</v>
      </c>
      <c r="B684">
        <v>2500</v>
      </c>
      <c r="C684">
        <v>19</v>
      </c>
      <c r="D684">
        <v>8.6999999999999994E-2</v>
      </c>
      <c r="E684">
        <v>359.37709999999998</v>
      </c>
      <c r="F684">
        <v>21.776</v>
      </c>
      <c r="G684">
        <v>114.6091</v>
      </c>
      <c r="H684">
        <v>1.6536999999999999</v>
      </c>
    </row>
    <row r="685" spans="1:8" x14ac:dyDescent="0.15">
      <c r="A685" t="s">
        <v>15</v>
      </c>
      <c r="B685">
        <v>2500</v>
      </c>
      <c r="C685">
        <v>19</v>
      </c>
      <c r="D685">
        <v>8.6999999999999994E-2</v>
      </c>
      <c r="E685">
        <v>359.27800000000002</v>
      </c>
      <c r="F685">
        <v>21.77</v>
      </c>
      <c r="G685">
        <v>114.5775</v>
      </c>
      <c r="H685">
        <v>1.6536999999999999</v>
      </c>
    </row>
    <row r="686" spans="1:8" x14ac:dyDescent="0.15">
      <c r="A686" t="s">
        <v>15</v>
      </c>
      <c r="B686">
        <v>2500</v>
      </c>
      <c r="C686">
        <v>19</v>
      </c>
      <c r="D686">
        <v>8.6499999999999994E-2</v>
      </c>
      <c r="E686">
        <v>361.33850000000001</v>
      </c>
      <c r="F686">
        <v>21.895</v>
      </c>
      <c r="G686">
        <v>115.2346</v>
      </c>
      <c r="H686">
        <v>1.6448</v>
      </c>
    </row>
    <row r="687" spans="1:8" x14ac:dyDescent="0.15">
      <c r="A687" t="s">
        <v>15</v>
      </c>
      <c r="B687">
        <v>2500</v>
      </c>
      <c r="C687">
        <v>19</v>
      </c>
      <c r="D687">
        <v>8.6900000000000005E-2</v>
      </c>
      <c r="E687">
        <v>359.77019999999999</v>
      </c>
      <c r="F687">
        <v>21.8</v>
      </c>
      <c r="G687">
        <v>114.7345</v>
      </c>
      <c r="H687">
        <v>1.6527000000000001</v>
      </c>
    </row>
    <row r="688" spans="1:8" x14ac:dyDescent="0.15">
      <c r="A688" t="s">
        <v>15</v>
      </c>
      <c r="B688">
        <v>2500</v>
      </c>
      <c r="C688">
        <v>19</v>
      </c>
      <c r="D688">
        <v>8.6900000000000005E-2</v>
      </c>
      <c r="E688">
        <v>359.48880000000003</v>
      </c>
      <c r="F688">
        <v>21.782</v>
      </c>
      <c r="G688">
        <v>114.6447</v>
      </c>
      <c r="H688">
        <v>1.6527000000000001</v>
      </c>
    </row>
    <row r="689" spans="1:8" x14ac:dyDescent="0.15">
      <c r="A689" t="s">
        <v>15</v>
      </c>
      <c r="B689">
        <v>2500</v>
      </c>
      <c r="C689">
        <v>19</v>
      </c>
      <c r="D689">
        <v>8.6699999999999999E-2</v>
      </c>
      <c r="E689">
        <v>360.43</v>
      </c>
      <c r="F689">
        <v>21.84</v>
      </c>
      <c r="G689">
        <v>114.9449</v>
      </c>
      <c r="H689">
        <v>1.6488</v>
      </c>
    </row>
    <row r="690" spans="1:8" x14ac:dyDescent="0.15">
      <c r="A690" t="s">
        <v>15</v>
      </c>
      <c r="B690">
        <v>2500</v>
      </c>
      <c r="C690">
        <v>19</v>
      </c>
      <c r="D690">
        <v>8.6900000000000005E-2</v>
      </c>
      <c r="E690">
        <v>359.6336</v>
      </c>
      <c r="F690">
        <v>21.791</v>
      </c>
      <c r="G690">
        <v>114.6909</v>
      </c>
      <c r="H690">
        <v>1.6507000000000001</v>
      </c>
    </row>
    <row r="691" spans="1:8" x14ac:dyDescent="0.15">
      <c r="A691" t="s">
        <v>15</v>
      </c>
      <c r="B691">
        <v>2500</v>
      </c>
      <c r="C691">
        <v>19</v>
      </c>
      <c r="D691">
        <v>8.6900000000000005E-2</v>
      </c>
      <c r="E691">
        <v>359.58390000000003</v>
      </c>
      <c r="F691">
        <v>21.788</v>
      </c>
      <c r="G691">
        <v>114.6751</v>
      </c>
      <c r="H691">
        <v>1.6536999999999999</v>
      </c>
    </row>
    <row r="692" spans="1:8" x14ac:dyDescent="0.15">
      <c r="A692" t="s">
        <v>15</v>
      </c>
      <c r="B692">
        <v>2500</v>
      </c>
      <c r="C692">
        <v>19</v>
      </c>
      <c r="D692">
        <v>8.6699999999999999E-2</v>
      </c>
      <c r="E692">
        <v>360.62130000000002</v>
      </c>
      <c r="F692">
        <v>21.850999999999999</v>
      </c>
      <c r="G692">
        <v>115.0059</v>
      </c>
      <c r="H692">
        <v>1.6477999999999999</v>
      </c>
    </row>
    <row r="693" spans="1:8" x14ac:dyDescent="0.15">
      <c r="A693" t="s">
        <v>15</v>
      </c>
      <c r="B693">
        <v>2500</v>
      </c>
      <c r="C693">
        <v>19</v>
      </c>
      <c r="D693">
        <v>8.7099999999999997E-2</v>
      </c>
      <c r="E693">
        <v>358.91079999999999</v>
      </c>
      <c r="F693">
        <v>21.747</v>
      </c>
      <c r="G693">
        <v>114.46040000000001</v>
      </c>
      <c r="H693">
        <v>1.6557999999999999</v>
      </c>
    </row>
    <row r="694" spans="1:8" x14ac:dyDescent="0.15">
      <c r="A694" t="s">
        <v>15</v>
      </c>
      <c r="B694">
        <v>2500</v>
      </c>
      <c r="C694">
        <v>19</v>
      </c>
      <c r="D694">
        <v>8.6900000000000005E-2</v>
      </c>
      <c r="E694">
        <v>359.6046</v>
      </c>
      <c r="F694">
        <v>21.79</v>
      </c>
      <c r="G694">
        <v>114.68170000000001</v>
      </c>
      <c r="H694">
        <v>1.6527000000000001</v>
      </c>
    </row>
    <row r="695" spans="1:8" x14ac:dyDescent="0.15">
      <c r="A695" t="s">
        <v>15</v>
      </c>
      <c r="B695">
        <v>2500</v>
      </c>
      <c r="C695">
        <v>19</v>
      </c>
      <c r="D695">
        <v>8.6699999999999999E-2</v>
      </c>
      <c r="E695">
        <v>360.53809999999999</v>
      </c>
      <c r="F695">
        <v>21.846</v>
      </c>
      <c r="G695">
        <v>114.9794</v>
      </c>
      <c r="H695">
        <v>1.6317999999999999</v>
      </c>
    </row>
    <row r="696" spans="1:8" x14ac:dyDescent="0.15">
      <c r="A696" t="s">
        <v>15</v>
      </c>
      <c r="B696">
        <v>2500</v>
      </c>
      <c r="C696">
        <v>19</v>
      </c>
      <c r="D696">
        <v>8.6599999999999996E-2</v>
      </c>
      <c r="E696">
        <v>360.9545</v>
      </c>
      <c r="F696">
        <v>21.870999999999999</v>
      </c>
      <c r="G696">
        <v>115.1122</v>
      </c>
      <c r="H696">
        <v>1.6548</v>
      </c>
    </row>
    <row r="697" spans="1:8" x14ac:dyDescent="0.15">
      <c r="A697" t="s">
        <v>15</v>
      </c>
      <c r="B697">
        <v>2500</v>
      </c>
      <c r="C697">
        <v>19</v>
      </c>
      <c r="D697">
        <v>8.6699999999999999E-2</v>
      </c>
      <c r="E697">
        <v>360.64210000000003</v>
      </c>
      <c r="F697">
        <v>21.852</v>
      </c>
      <c r="G697">
        <v>115.01260000000001</v>
      </c>
      <c r="H697">
        <v>1.6567000000000001</v>
      </c>
    </row>
    <row r="698" spans="1:8" x14ac:dyDescent="0.15">
      <c r="A698" t="s">
        <v>15</v>
      </c>
      <c r="B698">
        <v>2500</v>
      </c>
      <c r="C698">
        <v>19</v>
      </c>
      <c r="D698">
        <v>8.6900000000000005E-2</v>
      </c>
      <c r="E698">
        <v>359.45979999999997</v>
      </c>
      <c r="F698">
        <v>21.780999999999999</v>
      </c>
      <c r="G698">
        <v>114.63549999999999</v>
      </c>
      <c r="H698">
        <v>1.6536999999999999</v>
      </c>
    </row>
    <row r="699" spans="1:8" x14ac:dyDescent="0.15">
      <c r="A699" t="s">
        <v>15</v>
      </c>
      <c r="B699">
        <v>2500</v>
      </c>
      <c r="C699">
        <v>19</v>
      </c>
      <c r="D699">
        <v>8.6400000000000005E-2</v>
      </c>
      <c r="E699">
        <v>361.53500000000003</v>
      </c>
      <c r="F699">
        <v>21.905999999999999</v>
      </c>
      <c r="G699">
        <v>115.29730000000001</v>
      </c>
      <c r="H699">
        <v>1.6436999999999999</v>
      </c>
    </row>
    <row r="700" spans="1:8" x14ac:dyDescent="0.15">
      <c r="A700" t="s">
        <v>15</v>
      </c>
      <c r="B700">
        <v>2500</v>
      </c>
      <c r="C700">
        <v>19</v>
      </c>
      <c r="D700">
        <v>8.6900000000000005E-2</v>
      </c>
      <c r="E700">
        <v>359.67500000000001</v>
      </c>
      <c r="F700">
        <v>21.794</v>
      </c>
      <c r="G700">
        <v>114.7041</v>
      </c>
      <c r="H700">
        <v>1.6528</v>
      </c>
    </row>
    <row r="701" spans="1:8" x14ac:dyDescent="0.15">
      <c r="A701" t="s">
        <v>15</v>
      </c>
      <c r="B701">
        <v>2500</v>
      </c>
      <c r="C701">
        <v>19</v>
      </c>
      <c r="D701">
        <v>8.6800000000000002E-2</v>
      </c>
      <c r="E701">
        <v>359.9982</v>
      </c>
      <c r="F701">
        <v>21.812999999999999</v>
      </c>
      <c r="G701">
        <v>114.80719999999999</v>
      </c>
      <c r="H701">
        <v>1.6507000000000001</v>
      </c>
    </row>
    <row r="702" spans="1:8" x14ac:dyDescent="0.15">
      <c r="A702" t="s">
        <v>15</v>
      </c>
      <c r="B702">
        <v>2500</v>
      </c>
      <c r="C702">
        <v>19</v>
      </c>
      <c r="D702">
        <v>8.6199999999999999E-2</v>
      </c>
      <c r="E702">
        <v>362.35660000000001</v>
      </c>
      <c r="F702">
        <v>21.956</v>
      </c>
      <c r="G702">
        <v>115.55929999999999</v>
      </c>
      <c r="H702">
        <v>1.6387</v>
      </c>
    </row>
    <row r="703" spans="1:8" x14ac:dyDescent="0.15">
      <c r="A703" t="s">
        <v>15</v>
      </c>
      <c r="B703">
        <v>2500</v>
      </c>
      <c r="C703">
        <v>19</v>
      </c>
      <c r="D703">
        <v>8.6900000000000005E-2</v>
      </c>
      <c r="E703">
        <v>359.51769999999999</v>
      </c>
      <c r="F703">
        <v>21.783999999999999</v>
      </c>
      <c r="G703">
        <v>114.654</v>
      </c>
      <c r="H703">
        <v>1.6527000000000001</v>
      </c>
    </row>
    <row r="704" spans="1:8" x14ac:dyDescent="0.15">
      <c r="A704" t="s">
        <v>15</v>
      </c>
      <c r="B704">
        <v>2500</v>
      </c>
      <c r="C704">
        <v>19</v>
      </c>
      <c r="D704">
        <v>8.6800000000000002E-2</v>
      </c>
      <c r="E704">
        <v>359.9153</v>
      </c>
      <c r="F704">
        <v>21.808</v>
      </c>
      <c r="G704">
        <v>114.7807</v>
      </c>
      <c r="H704">
        <v>1.6516999999999999</v>
      </c>
    </row>
    <row r="705" spans="1:8" x14ac:dyDescent="0.15">
      <c r="A705" t="s">
        <v>15</v>
      </c>
      <c r="B705">
        <v>2500</v>
      </c>
      <c r="C705">
        <v>19</v>
      </c>
      <c r="D705">
        <v>8.6599999999999996E-2</v>
      </c>
      <c r="E705">
        <v>360.71710000000002</v>
      </c>
      <c r="F705">
        <v>21.856999999999999</v>
      </c>
      <c r="G705">
        <v>115.0364</v>
      </c>
      <c r="H705">
        <v>1.6468</v>
      </c>
    </row>
    <row r="706" spans="1:8" x14ac:dyDescent="0.15">
      <c r="A706" t="s">
        <v>15</v>
      </c>
      <c r="B706">
        <v>2500</v>
      </c>
      <c r="C706">
        <v>19</v>
      </c>
      <c r="D706">
        <v>8.6999999999999994E-2</v>
      </c>
      <c r="E706">
        <v>359.11279999999999</v>
      </c>
      <c r="F706">
        <v>21.76</v>
      </c>
      <c r="G706">
        <v>114.5248</v>
      </c>
      <c r="H706">
        <v>1.6547000000000001</v>
      </c>
    </row>
    <row r="707" spans="1:8" x14ac:dyDescent="0.15">
      <c r="A707" t="s">
        <v>15</v>
      </c>
      <c r="B707">
        <v>2500</v>
      </c>
      <c r="C707">
        <v>19</v>
      </c>
      <c r="D707">
        <v>8.72E-2</v>
      </c>
      <c r="E707">
        <v>358.36750000000001</v>
      </c>
      <c r="F707">
        <v>21.715</v>
      </c>
      <c r="G707">
        <v>114.2871</v>
      </c>
      <c r="H707">
        <v>1.6587000000000001</v>
      </c>
    </row>
    <row r="708" spans="1:8" x14ac:dyDescent="0.15">
      <c r="A708" t="s">
        <v>15</v>
      </c>
      <c r="B708">
        <v>2500</v>
      </c>
      <c r="C708">
        <v>19</v>
      </c>
      <c r="D708">
        <v>8.6999999999999994E-2</v>
      </c>
      <c r="E708">
        <v>359.05919999999998</v>
      </c>
      <c r="F708">
        <v>21.756</v>
      </c>
      <c r="G708">
        <v>114.5077</v>
      </c>
      <c r="H708">
        <v>1.6548</v>
      </c>
    </row>
    <row r="709" spans="1:8" x14ac:dyDescent="0.15">
      <c r="A709" t="s">
        <v>15</v>
      </c>
      <c r="B709">
        <v>2500</v>
      </c>
      <c r="C709">
        <v>19</v>
      </c>
      <c r="D709">
        <v>8.6499999999999994E-2</v>
      </c>
      <c r="E709">
        <v>361.15469999999999</v>
      </c>
      <c r="F709">
        <v>21.882999999999999</v>
      </c>
      <c r="G709">
        <v>115.176</v>
      </c>
      <c r="H709">
        <v>1.6456999999999999</v>
      </c>
    </row>
    <row r="710" spans="1:8" x14ac:dyDescent="0.15">
      <c r="A710" t="s">
        <v>15</v>
      </c>
      <c r="B710">
        <v>2500</v>
      </c>
      <c r="C710">
        <v>19</v>
      </c>
      <c r="D710">
        <v>8.6900000000000005E-2</v>
      </c>
      <c r="E710">
        <v>359.60050000000001</v>
      </c>
      <c r="F710">
        <v>21.789000000000001</v>
      </c>
      <c r="G710">
        <v>114.68040000000001</v>
      </c>
      <c r="H710">
        <v>1.6528</v>
      </c>
    </row>
    <row r="711" spans="1:8" x14ac:dyDescent="0.15">
      <c r="A711" t="s">
        <v>15</v>
      </c>
      <c r="B711">
        <v>2500</v>
      </c>
      <c r="C711">
        <v>19</v>
      </c>
      <c r="D711">
        <v>8.6800000000000002E-2</v>
      </c>
      <c r="E711">
        <v>360.12259999999998</v>
      </c>
      <c r="F711">
        <v>21.821000000000002</v>
      </c>
      <c r="G711">
        <v>114.84690000000001</v>
      </c>
      <c r="H711">
        <v>1.6507000000000001</v>
      </c>
    </row>
    <row r="712" spans="1:8" x14ac:dyDescent="0.15">
      <c r="A712" t="s">
        <v>15</v>
      </c>
      <c r="B712">
        <v>2500</v>
      </c>
      <c r="C712">
        <v>19</v>
      </c>
      <c r="D712">
        <v>8.6699999999999999E-2</v>
      </c>
      <c r="E712">
        <v>360.60879999999997</v>
      </c>
      <c r="F712">
        <v>21.85</v>
      </c>
      <c r="G712">
        <v>115.00190000000001</v>
      </c>
      <c r="H712">
        <v>1.6476999999999999</v>
      </c>
    </row>
    <row r="713" spans="1:8" x14ac:dyDescent="0.15">
      <c r="A713" t="s">
        <v>15</v>
      </c>
      <c r="B713">
        <v>2500</v>
      </c>
      <c r="C713">
        <v>19</v>
      </c>
      <c r="D713">
        <v>8.6900000000000005E-2</v>
      </c>
      <c r="E713">
        <v>359.52190000000002</v>
      </c>
      <c r="F713">
        <v>21.785</v>
      </c>
      <c r="G713">
        <v>114.6553</v>
      </c>
      <c r="H713">
        <v>1.6527000000000001</v>
      </c>
    </row>
    <row r="714" spans="1:8" x14ac:dyDescent="0.15">
      <c r="A714" t="s">
        <v>15</v>
      </c>
      <c r="B714">
        <v>2500</v>
      </c>
      <c r="C714">
        <v>19</v>
      </c>
      <c r="D714">
        <v>8.6800000000000002E-2</v>
      </c>
      <c r="E714">
        <v>359.81990000000002</v>
      </c>
      <c r="F714">
        <v>21.803000000000001</v>
      </c>
      <c r="G714">
        <v>114.7503</v>
      </c>
      <c r="H714">
        <v>1.6516999999999999</v>
      </c>
    </row>
    <row r="715" spans="1:8" x14ac:dyDescent="0.15">
      <c r="A715" t="s">
        <v>15</v>
      </c>
      <c r="B715">
        <v>2500</v>
      </c>
      <c r="C715">
        <v>19</v>
      </c>
      <c r="D715">
        <v>8.6599999999999996E-2</v>
      </c>
      <c r="E715">
        <v>360.8295</v>
      </c>
      <c r="F715">
        <v>21.864000000000001</v>
      </c>
      <c r="G715">
        <v>115.0723</v>
      </c>
      <c r="H715">
        <v>1.6468</v>
      </c>
    </row>
    <row r="716" spans="1:8" x14ac:dyDescent="0.15">
      <c r="A716" t="s">
        <v>15</v>
      </c>
      <c r="B716">
        <v>2500</v>
      </c>
      <c r="C716">
        <v>20</v>
      </c>
      <c r="D716">
        <v>7.8899999999999998E-2</v>
      </c>
      <c r="E716">
        <v>396.21660000000003</v>
      </c>
      <c r="F716">
        <v>24.007999999999999</v>
      </c>
      <c r="G716">
        <v>120.0397</v>
      </c>
      <c r="H716">
        <v>1.5427999999999999</v>
      </c>
    </row>
    <row r="717" spans="1:8" x14ac:dyDescent="0.15">
      <c r="A717" t="s">
        <v>15</v>
      </c>
      <c r="B717">
        <v>2500</v>
      </c>
      <c r="C717">
        <v>20</v>
      </c>
      <c r="D717">
        <v>7.6200000000000004E-2</v>
      </c>
      <c r="E717">
        <v>410.21260000000001</v>
      </c>
      <c r="F717">
        <v>24.856000000000002</v>
      </c>
      <c r="G717">
        <v>124.28</v>
      </c>
      <c r="H717">
        <v>1.5247999999999999</v>
      </c>
    </row>
    <row r="718" spans="1:8" x14ac:dyDescent="0.15">
      <c r="A718" t="s">
        <v>15</v>
      </c>
      <c r="B718">
        <v>2500</v>
      </c>
      <c r="C718">
        <v>20</v>
      </c>
      <c r="D718">
        <v>7.5300000000000006E-2</v>
      </c>
      <c r="E718">
        <v>414.83030000000002</v>
      </c>
      <c r="F718">
        <v>25.135999999999999</v>
      </c>
      <c r="G718">
        <v>125.67910000000001</v>
      </c>
      <c r="H718">
        <v>1.5087999999999999</v>
      </c>
    </row>
    <row r="719" spans="1:8" x14ac:dyDescent="0.15">
      <c r="A719" t="s">
        <v>15</v>
      </c>
      <c r="B719">
        <v>2500</v>
      </c>
      <c r="C719">
        <v>20</v>
      </c>
      <c r="D719">
        <v>7.6399999999999996E-2</v>
      </c>
      <c r="E719">
        <v>408.81740000000002</v>
      </c>
      <c r="F719">
        <v>24.771000000000001</v>
      </c>
      <c r="G719">
        <v>123.8573</v>
      </c>
      <c r="H719">
        <v>1.5298</v>
      </c>
    </row>
    <row r="720" spans="1:8" x14ac:dyDescent="0.15">
      <c r="A720" t="s">
        <v>15</v>
      </c>
      <c r="B720">
        <v>2500</v>
      </c>
      <c r="C720">
        <v>20</v>
      </c>
      <c r="D720">
        <v>7.5300000000000006E-2</v>
      </c>
      <c r="E720">
        <v>414.85789999999997</v>
      </c>
      <c r="F720">
        <v>25.137</v>
      </c>
      <c r="G720">
        <v>125.6874</v>
      </c>
      <c r="H720">
        <v>1.5087999999999999</v>
      </c>
    </row>
    <row r="721" spans="1:8" x14ac:dyDescent="0.15">
      <c r="A721" t="s">
        <v>15</v>
      </c>
      <c r="B721">
        <v>2500</v>
      </c>
      <c r="C721">
        <v>20</v>
      </c>
      <c r="D721">
        <v>7.6600000000000001E-2</v>
      </c>
      <c r="E721">
        <v>408.01670000000001</v>
      </c>
      <c r="F721">
        <v>24.722999999999999</v>
      </c>
      <c r="G721">
        <v>123.6148</v>
      </c>
      <c r="H721">
        <v>1.5267999999999999</v>
      </c>
    </row>
    <row r="722" spans="1:8" x14ac:dyDescent="0.15">
      <c r="A722" t="s">
        <v>15</v>
      </c>
      <c r="B722">
        <v>2500</v>
      </c>
      <c r="C722">
        <v>20</v>
      </c>
      <c r="D722">
        <v>7.5600000000000001E-2</v>
      </c>
      <c r="E722">
        <v>413.26139999999998</v>
      </c>
      <c r="F722">
        <v>25.041</v>
      </c>
      <c r="G722">
        <v>125.2037</v>
      </c>
      <c r="H722">
        <v>1.5078</v>
      </c>
    </row>
    <row r="723" spans="1:8" x14ac:dyDescent="0.15">
      <c r="A723" t="s">
        <v>15</v>
      </c>
      <c r="B723">
        <v>2500</v>
      </c>
      <c r="C723">
        <v>20</v>
      </c>
      <c r="D723">
        <v>7.6200000000000004E-2</v>
      </c>
      <c r="E723">
        <v>410.00810000000001</v>
      </c>
      <c r="F723">
        <v>24.844000000000001</v>
      </c>
      <c r="G723">
        <v>124.21810000000001</v>
      </c>
      <c r="H723">
        <v>1.5338000000000001</v>
      </c>
    </row>
    <row r="724" spans="1:8" x14ac:dyDescent="0.15">
      <c r="A724" t="s">
        <v>15</v>
      </c>
      <c r="B724">
        <v>2500</v>
      </c>
      <c r="C724">
        <v>20</v>
      </c>
      <c r="D724">
        <v>7.4999999999999997E-2</v>
      </c>
      <c r="E724">
        <v>416.78339999999997</v>
      </c>
      <c r="F724">
        <v>25.254000000000001</v>
      </c>
      <c r="G724">
        <v>126.27079999999999</v>
      </c>
      <c r="H724">
        <v>1.5047999999999999</v>
      </c>
    </row>
    <row r="725" spans="1:8" x14ac:dyDescent="0.15">
      <c r="A725" t="s">
        <v>15</v>
      </c>
      <c r="B725">
        <v>2500</v>
      </c>
      <c r="C725">
        <v>20</v>
      </c>
      <c r="D725">
        <v>7.5300000000000006E-2</v>
      </c>
      <c r="E725">
        <v>414.8689</v>
      </c>
      <c r="F725">
        <v>25.138000000000002</v>
      </c>
      <c r="G725">
        <v>125.69070000000001</v>
      </c>
      <c r="H725">
        <v>1.5087999999999999</v>
      </c>
    </row>
    <row r="726" spans="1:8" x14ac:dyDescent="0.15">
      <c r="A726" t="s">
        <v>15</v>
      </c>
      <c r="B726">
        <v>2500</v>
      </c>
      <c r="C726">
        <v>20</v>
      </c>
      <c r="D726">
        <v>7.6700000000000004E-2</v>
      </c>
      <c r="E726">
        <v>407.44220000000001</v>
      </c>
      <c r="F726">
        <v>24.687999999999999</v>
      </c>
      <c r="G726">
        <v>123.44070000000001</v>
      </c>
      <c r="H726">
        <v>1.5347999999999999</v>
      </c>
    </row>
    <row r="727" spans="1:8" x14ac:dyDescent="0.15">
      <c r="A727" t="s">
        <v>15</v>
      </c>
      <c r="B727">
        <v>2500</v>
      </c>
      <c r="C727">
        <v>20</v>
      </c>
      <c r="D727">
        <v>8.8200000000000001E-2</v>
      </c>
      <c r="E727">
        <v>354.44499999999999</v>
      </c>
      <c r="F727">
        <v>21.477</v>
      </c>
      <c r="G727">
        <v>107.3844</v>
      </c>
      <c r="H727">
        <v>1.7426999999999999</v>
      </c>
    </row>
    <row r="728" spans="1:8" x14ac:dyDescent="0.15">
      <c r="A728" t="s">
        <v>15</v>
      </c>
      <c r="B728">
        <v>2500</v>
      </c>
      <c r="C728">
        <v>20</v>
      </c>
      <c r="D728">
        <v>7.6200000000000004E-2</v>
      </c>
      <c r="E728">
        <v>410.06729999999999</v>
      </c>
      <c r="F728">
        <v>24.847000000000001</v>
      </c>
      <c r="G728">
        <v>124.236</v>
      </c>
      <c r="H728">
        <v>1.5258</v>
      </c>
    </row>
    <row r="729" spans="1:8" x14ac:dyDescent="0.15">
      <c r="A729" t="s">
        <v>15</v>
      </c>
      <c r="B729">
        <v>2500</v>
      </c>
      <c r="C729">
        <v>20</v>
      </c>
      <c r="D729">
        <v>7.51E-2</v>
      </c>
      <c r="E729">
        <v>416.03429999999997</v>
      </c>
      <c r="F729">
        <v>25.209</v>
      </c>
      <c r="G729">
        <v>126.0438</v>
      </c>
      <c r="H729">
        <v>1.5038</v>
      </c>
    </row>
    <row r="730" spans="1:8" x14ac:dyDescent="0.15">
      <c r="A730" t="s">
        <v>15</v>
      </c>
      <c r="B730">
        <v>2500</v>
      </c>
      <c r="C730">
        <v>20</v>
      </c>
      <c r="D730">
        <v>7.5600000000000001E-2</v>
      </c>
      <c r="E730">
        <v>413.26139999999998</v>
      </c>
      <c r="F730">
        <v>25.041</v>
      </c>
      <c r="G730">
        <v>125.2037</v>
      </c>
      <c r="H730">
        <v>1.5138</v>
      </c>
    </row>
    <row r="731" spans="1:8" x14ac:dyDescent="0.15">
      <c r="A731" t="s">
        <v>15</v>
      </c>
      <c r="B731">
        <v>2500</v>
      </c>
      <c r="C731">
        <v>20</v>
      </c>
      <c r="D731">
        <v>7.6399999999999996E-2</v>
      </c>
      <c r="E731">
        <v>409.25639999999999</v>
      </c>
      <c r="F731">
        <v>24.797999999999998</v>
      </c>
      <c r="G731">
        <v>123.99039999999999</v>
      </c>
      <c r="H731">
        <v>1.5278</v>
      </c>
    </row>
    <row r="732" spans="1:8" x14ac:dyDescent="0.15">
      <c r="A732" t="s">
        <v>15</v>
      </c>
      <c r="B732">
        <v>2500</v>
      </c>
      <c r="C732">
        <v>20</v>
      </c>
      <c r="D732">
        <v>7.5300000000000006E-2</v>
      </c>
      <c r="E732">
        <v>415.20510000000002</v>
      </c>
      <c r="F732">
        <v>25.158999999999999</v>
      </c>
      <c r="G732">
        <v>125.79259999999999</v>
      </c>
      <c r="H732">
        <v>1.5067999999999999</v>
      </c>
    </row>
    <row r="733" spans="1:8" x14ac:dyDescent="0.15">
      <c r="A733" t="s">
        <v>15</v>
      </c>
      <c r="B733">
        <v>2500</v>
      </c>
      <c r="C733">
        <v>20</v>
      </c>
      <c r="D733">
        <v>7.4800000000000005E-2</v>
      </c>
      <c r="E733">
        <v>417.64120000000003</v>
      </c>
      <c r="F733">
        <v>25.306000000000001</v>
      </c>
      <c r="G733">
        <v>126.53060000000001</v>
      </c>
      <c r="H733">
        <v>1.4978</v>
      </c>
    </row>
    <row r="734" spans="1:8" x14ac:dyDescent="0.15">
      <c r="A734" t="s">
        <v>15</v>
      </c>
      <c r="B734">
        <v>2500</v>
      </c>
      <c r="C734">
        <v>20</v>
      </c>
      <c r="D734">
        <v>7.4999999999999997E-2</v>
      </c>
      <c r="E734">
        <v>416.67779999999999</v>
      </c>
      <c r="F734">
        <v>25.248000000000001</v>
      </c>
      <c r="G734">
        <v>126.2388</v>
      </c>
      <c r="H734">
        <v>1.5018</v>
      </c>
    </row>
    <row r="735" spans="1:8" x14ac:dyDescent="0.15">
      <c r="A735" t="s">
        <v>15</v>
      </c>
      <c r="B735">
        <v>2500</v>
      </c>
      <c r="C735">
        <v>20</v>
      </c>
      <c r="D735">
        <v>7.5600000000000001E-2</v>
      </c>
      <c r="E735">
        <v>413.33249999999998</v>
      </c>
      <c r="F735">
        <v>25.045000000000002</v>
      </c>
      <c r="G735">
        <v>125.2252</v>
      </c>
      <c r="H735">
        <v>1.5138</v>
      </c>
    </row>
    <row r="736" spans="1:8" x14ac:dyDescent="0.15">
      <c r="A736" t="s">
        <v>15</v>
      </c>
      <c r="B736">
        <v>2500</v>
      </c>
      <c r="C736">
        <v>20</v>
      </c>
      <c r="D736">
        <v>7.4899999999999994E-2</v>
      </c>
      <c r="E736">
        <v>417.3288</v>
      </c>
      <c r="F736">
        <v>25.286999999999999</v>
      </c>
      <c r="G736">
        <v>126.43600000000001</v>
      </c>
      <c r="H736">
        <v>1.4987999999999999</v>
      </c>
    </row>
    <row r="737" spans="1:8" x14ac:dyDescent="0.15">
      <c r="A737" t="s">
        <v>15</v>
      </c>
      <c r="B737">
        <v>2500</v>
      </c>
      <c r="C737">
        <v>20</v>
      </c>
      <c r="D737">
        <v>7.4999999999999997E-2</v>
      </c>
      <c r="E737">
        <v>416.66109999999998</v>
      </c>
      <c r="F737">
        <v>25.247</v>
      </c>
      <c r="G737">
        <v>126.2337</v>
      </c>
      <c r="H737">
        <v>1.5007999999999999</v>
      </c>
    </row>
    <row r="738" spans="1:8" x14ac:dyDescent="0.15">
      <c r="A738" t="s">
        <v>15</v>
      </c>
      <c r="B738">
        <v>2500</v>
      </c>
      <c r="C738">
        <v>20</v>
      </c>
      <c r="D738">
        <v>7.4800000000000005E-2</v>
      </c>
      <c r="E738">
        <v>417.55739999999997</v>
      </c>
      <c r="F738">
        <v>25.300999999999998</v>
      </c>
      <c r="G738">
        <v>126.50530000000001</v>
      </c>
      <c r="H738">
        <v>1.4987999999999999</v>
      </c>
    </row>
    <row r="739" spans="1:8" x14ac:dyDescent="0.15">
      <c r="A739" t="s">
        <v>15</v>
      </c>
      <c r="B739">
        <v>2500</v>
      </c>
      <c r="C739">
        <v>20</v>
      </c>
      <c r="D739">
        <v>7.5200000000000003E-2</v>
      </c>
      <c r="E739">
        <v>415.56950000000001</v>
      </c>
      <c r="F739">
        <v>25.181000000000001</v>
      </c>
      <c r="G739">
        <v>125.90300000000001</v>
      </c>
      <c r="H739">
        <v>1.5047999999999999</v>
      </c>
    </row>
    <row r="740" spans="1:8" x14ac:dyDescent="0.15">
      <c r="A740" t="s">
        <v>15</v>
      </c>
      <c r="B740">
        <v>2500</v>
      </c>
      <c r="C740">
        <v>20</v>
      </c>
      <c r="D740">
        <v>7.51E-2</v>
      </c>
      <c r="E740">
        <v>415.96780000000001</v>
      </c>
      <c r="F740">
        <v>25.204999999999998</v>
      </c>
      <c r="G740">
        <v>126.02370000000001</v>
      </c>
      <c r="H740">
        <v>1.5038</v>
      </c>
    </row>
    <row r="741" spans="1:8" x14ac:dyDescent="0.15">
      <c r="A741" t="s">
        <v>15</v>
      </c>
      <c r="B741">
        <v>2500</v>
      </c>
      <c r="C741">
        <v>20</v>
      </c>
      <c r="D741">
        <v>7.51E-2</v>
      </c>
      <c r="E741">
        <v>416.0675</v>
      </c>
      <c r="F741">
        <v>25.210999999999999</v>
      </c>
      <c r="G741">
        <v>126.0539</v>
      </c>
      <c r="H741">
        <v>1.5038</v>
      </c>
    </row>
    <row r="742" spans="1:8" x14ac:dyDescent="0.15">
      <c r="A742" t="s">
        <v>15</v>
      </c>
      <c r="B742">
        <v>2500</v>
      </c>
      <c r="C742">
        <v>20</v>
      </c>
      <c r="D742">
        <v>7.5600000000000001E-2</v>
      </c>
      <c r="E742">
        <v>413.2833</v>
      </c>
      <c r="F742">
        <v>25.042000000000002</v>
      </c>
      <c r="G742">
        <v>125.2103</v>
      </c>
      <c r="H742">
        <v>1.5138</v>
      </c>
    </row>
    <row r="743" spans="1:8" x14ac:dyDescent="0.15">
      <c r="A743" t="s">
        <v>15</v>
      </c>
      <c r="B743">
        <v>2500</v>
      </c>
      <c r="C743">
        <v>20</v>
      </c>
      <c r="D743">
        <v>7.5200000000000003E-2</v>
      </c>
      <c r="E743">
        <v>415.68009999999998</v>
      </c>
      <c r="F743">
        <v>25.187000000000001</v>
      </c>
      <c r="G743">
        <v>125.9365</v>
      </c>
      <c r="H743">
        <v>1.5047999999999999</v>
      </c>
    </row>
    <row r="744" spans="1:8" x14ac:dyDescent="0.15">
      <c r="A744" t="s">
        <v>15</v>
      </c>
      <c r="B744">
        <v>2500</v>
      </c>
      <c r="C744">
        <v>20</v>
      </c>
      <c r="D744">
        <v>7.5899999999999995E-2</v>
      </c>
      <c r="E744">
        <v>411.72590000000002</v>
      </c>
      <c r="F744">
        <v>24.948</v>
      </c>
      <c r="G744">
        <v>124.7385</v>
      </c>
      <c r="H744">
        <v>1.5178</v>
      </c>
    </row>
    <row r="745" spans="1:8" x14ac:dyDescent="0.15">
      <c r="A745" t="s">
        <v>15</v>
      </c>
      <c r="B745">
        <v>2500</v>
      </c>
      <c r="C745">
        <v>20</v>
      </c>
      <c r="D745">
        <v>7.5200000000000003E-2</v>
      </c>
      <c r="E745">
        <v>415.66910000000001</v>
      </c>
      <c r="F745">
        <v>25.187000000000001</v>
      </c>
      <c r="G745">
        <v>125.9332</v>
      </c>
      <c r="H745">
        <v>1.5058</v>
      </c>
    </row>
    <row r="746" spans="1:8" x14ac:dyDescent="0.15">
      <c r="A746" t="s">
        <v>15</v>
      </c>
      <c r="B746">
        <v>2500</v>
      </c>
      <c r="C746">
        <v>20</v>
      </c>
      <c r="D746">
        <v>7.6399999999999996E-2</v>
      </c>
      <c r="E746">
        <v>409.26179999999999</v>
      </c>
      <c r="F746">
        <v>24.797999999999998</v>
      </c>
      <c r="G746">
        <v>123.992</v>
      </c>
      <c r="H746">
        <v>1.5287999999999999</v>
      </c>
    </row>
    <row r="747" spans="1:8" x14ac:dyDescent="0.15">
      <c r="A747" t="s">
        <v>15</v>
      </c>
      <c r="B747">
        <v>2500</v>
      </c>
      <c r="C747">
        <v>20</v>
      </c>
      <c r="D747">
        <v>7.5300000000000006E-2</v>
      </c>
      <c r="E747">
        <v>415.24930000000001</v>
      </c>
      <c r="F747">
        <v>25.161000000000001</v>
      </c>
      <c r="G747">
        <v>125.806</v>
      </c>
      <c r="H747">
        <v>1.5067999999999999</v>
      </c>
    </row>
    <row r="748" spans="1:8" x14ac:dyDescent="0.15">
      <c r="A748" t="s">
        <v>15</v>
      </c>
      <c r="B748">
        <v>2500</v>
      </c>
      <c r="C748">
        <v>20</v>
      </c>
      <c r="D748">
        <v>7.4800000000000005E-2</v>
      </c>
      <c r="E748">
        <v>417.58530000000002</v>
      </c>
      <c r="F748">
        <v>25.303000000000001</v>
      </c>
      <c r="G748">
        <v>126.5137</v>
      </c>
      <c r="H748">
        <v>1.4978</v>
      </c>
    </row>
    <row r="749" spans="1:8" x14ac:dyDescent="0.15">
      <c r="A749" t="s">
        <v>15</v>
      </c>
      <c r="B749">
        <v>2500</v>
      </c>
      <c r="C749">
        <v>20</v>
      </c>
      <c r="D749">
        <v>7.4999999999999997E-2</v>
      </c>
      <c r="E749">
        <v>416.57780000000002</v>
      </c>
      <c r="F749">
        <v>25.242000000000001</v>
      </c>
      <c r="G749">
        <v>126.2085</v>
      </c>
      <c r="H749">
        <v>1.5018</v>
      </c>
    </row>
    <row r="750" spans="1:8" x14ac:dyDescent="0.15">
      <c r="A750" t="s">
        <v>15</v>
      </c>
      <c r="B750">
        <v>2500</v>
      </c>
      <c r="C750">
        <v>20</v>
      </c>
      <c r="D750">
        <v>7.4899999999999994E-2</v>
      </c>
      <c r="E750">
        <v>417.262</v>
      </c>
      <c r="F750">
        <v>25.283000000000001</v>
      </c>
      <c r="G750">
        <v>126.4158</v>
      </c>
      <c r="H750">
        <v>1.4987999999999999</v>
      </c>
    </row>
    <row r="751" spans="1:8" x14ac:dyDescent="0.15">
      <c r="A751" t="s">
        <v>15</v>
      </c>
      <c r="B751">
        <v>2500</v>
      </c>
      <c r="C751">
        <v>20</v>
      </c>
      <c r="D751">
        <v>7.5300000000000006E-2</v>
      </c>
      <c r="E751">
        <v>414.8689</v>
      </c>
      <c r="F751">
        <v>25.138000000000002</v>
      </c>
      <c r="G751">
        <v>125.69070000000001</v>
      </c>
      <c r="H751">
        <v>1.5007999999999999</v>
      </c>
    </row>
    <row r="752" spans="1:8" x14ac:dyDescent="0.15">
      <c r="A752" t="s">
        <v>15</v>
      </c>
      <c r="B752">
        <v>2500</v>
      </c>
      <c r="C752">
        <v>20</v>
      </c>
      <c r="D752">
        <v>7.5200000000000003E-2</v>
      </c>
      <c r="E752">
        <v>415.43150000000003</v>
      </c>
      <c r="F752">
        <v>25.172000000000001</v>
      </c>
      <c r="G752">
        <v>125.8612</v>
      </c>
      <c r="H752">
        <v>1.5007999999999999</v>
      </c>
    </row>
    <row r="753" spans="1:8" x14ac:dyDescent="0.15">
      <c r="A753" t="s">
        <v>15</v>
      </c>
      <c r="B753">
        <v>2500</v>
      </c>
      <c r="C753">
        <v>20</v>
      </c>
      <c r="D753">
        <v>7.5499999999999998E-2</v>
      </c>
      <c r="E753">
        <v>413.94569999999999</v>
      </c>
      <c r="F753">
        <v>25.082000000000001</v>
      </c>
      <c r="G753">
        <v>125.411</v>
      </c>
      <c r="H753">
        <v>1.5247999999999999</v>
      </c>
    </row>
    <row r="754" spans="1:8" x14ac:dyDescent="0.15">
      <c r="A754" t="s">
        <v>15</v>
      </c>
      <c r="B754">
        <v>2500</v>
      </c>
      <c r="C754">
        <v>20</v>
      </c>
      <c r="D754">
        <v>7.4999999999999997E-2</v>
      </c>
      <c r="E754">
        <v>416.4889</v>
      </c>
      <c r="F754">
        <v>25.236000000000001</v>
      </c>
      <c r="G754">
        <v>126.1816</v>
      </c>
      <c r="H754">
        <v>1.5018</v>
      </c>
    </row>
    <row r="755" spans="1:8" x14ac:dyDescent="0.15">
      <c r="A755" t="s">
        <v>15</v>
      </c>
      <c r="B755">
        <v>2500</v>
      </c>
      <c r="C755">
        <v>20</v>
      </c>
      <c r="D755">
        <v>7.51E-2</v>
      </c>
      <c r="E755">
        <v>416.32249999999999</v>
      </c>
      <c r="F755">
        <v>25.225999999999999</v>
      </c>
      <c r="G755">
        <v>126.1311</v>
      </c>
      <c r="H755">
        <v>1.5027999999999999</v>
      </c>
    </row>
    <row r="756" spans="1:8" x14ac:dyDescent="0.15">
      <c r="A756" t="s">
        <v>15</v>
      </c>
      <c r="B756">
        <v>2500</v>
      </c>
      <c r="C756">
        <v>20</v>
      </c>
      <c r="D756">
        <v>7.4899999999999994E-2</v>
      </c>
      <c r="E756">
        <v>417.32330000000002</v>
      </c>
      <c r="F756">
        <v>25.286999999999999</v>
      </c>
      <c r="G756">
        <v>126.43429999999999</v>
      </c>
      <c r="H756">
        <v>1.4987999999999999</v>
      </c>
    </row>
    <row r="757" spans="1:8" x14ac:dyDescent="0.15">
      <c r="A757" t="s">
        <v>15</v>
      </c>
      <c r="B757">
        <v>2500</v>
      </c>
      <c r="C757">
        <v>20</v>
      </c>
      <c r="D757">
        <v>7.5200000000000003E-2</v>
      </c>
      <c r="E757">
        <v>415.65249999999997</v>
      </c>
      <c r="F757">
        <v>25.186</v>
      </c>
      <c r="G757">
        <v>125.9281</v>
      </c>
      <c r="H757">
        <v>1.5047999999999999</v>
      </c>
    </row>
    <row r="758" spans="1:8" x14ac:dyDescent="0.15">
      <c r="A758" t="s">
        <v>15</v>
      </c>
      <c r="B758">
        <v>2500</v>
      </c>
      <c r="C758">
        <v>20</v>
      </c>
      <c r="D758">
        <v>7.4800000000000005E-2</v>
      </c>
      <c r="E758">
        <v>417.9092</v>
      </c>
      <c r="F758">
        <v>25.321999999999999</v>
      </c>
      <c r="G758">
        <v>126.61190000000001</v>
      </c>
      <c r="H758">
        <v>1.4967999999999999</v>
      </c>
    </row>
    <row r="759" spans="1:8" x14ac:dyDescent="0.15">
      <c r="A759" t="s">
        <v>15</v>
      </c>
      <c r="B759">
        <v>2500</v>
      </c>
      <c r="C759">
        <v>20</v>
      </c>
      <c r="D759">
        <v>7.5200000000000003E-2</v>
      </c>
      <c r="E759">
        <v>415.72430000000003</v>
      </c>
      <c r="F759">
        <v>25.19</v>
      </c>
      <c r="G759">
        <v>125.9499</v>
      </c>
      <c r="H759">
        <v>1.5047999999999999</v>
      </c>
    </row>
    <row r="760" spans="1:8" x14ac:dyDescent="0.15">
      <c r="A760" t="s">
        <v>15</v>
      </c>
      <c r="B760">
        <v>2500</v>
      </c>
      <c r="C760">
        <v>20</v>
      </c>
      <c r="D760">
        <v>7.51E-2</v>
      </c>
      <c r="E760">
        <v>415.85160000000002</v>
      </c>
      <c r="F760">
        <v>25.198</v>
      </c>
      <c r="G760">
        <v>125.9885</v>
      </c>
      <c r="H760">
        <v>1.5038</v>
      </c>
    </row>
    <row r="761" spans="1:8" x14ac:dyDescent="0.15">
      <c r="A761" t="s">
        <v>15</v>
      </c>
      <c r="B761">
        <v>2500</v>
      </c>
      <c r="C761">
        <v>20</v>
      </c>
      <c r="D761">
        <v>7.4700000000000003E-2</v>
      </c>
      <c r="E761">
        <v>418.12169999999998</v>
      </c>
      <c r="F761">
        <v>25.335000000000001</v>
      </c>
      <c r="G761">
        <v>126.67619999999999</v>
      </c>
      <c r="H761">
        <v>1.4967999999999999</v>
      </c>
    </row>
    <row r="762" spans="1:8" x14ac:dyDescent="0.15">
      <c r="A762" t="s">
        <v>15</v>
      </c>
      <c r="B762">
        <v>2500</v>
      </c>
      <c r="C762">
        <v>20</v>
      </c>
      <c r="D762">
        <v>7.5600000000000001E-2</v>
      </c>
      <c r="E762">
        <v>413.26139999999998</v>
      </c>
      <c r="F762">
        <v>25.041</v>
      </c>
      <c r="G762">
        <v>125.2037</v>
      </c>
      <c r="H762">
        <v>1.5138</v>
      </c>
    </row>
    <row r="763" spans="1:8" x14ac:dyDescent="0.15">
      <c r="A763" t="s">
        <v>15</v>
      </c>
      <c r="B763">
        <v>2500</v>
      </c>
      <c r="C763">
        <v>20</v>
      </c>
      <c r="D763">
        <v>7.5200000000000003E-2</v>
      </c>
      <c r="E763">
        <v>415.68009999999998</v>
      </c>
      <c r="F763">
        <v>25.187000000000001</v>
      </c>
      <c r="G763">
        <v>125.9365</v>
      </c>
      <c r="H763">
        <v>1.5058</v>
      </c>
    </row>
    <row r="764" spans="1:8" x14ac:dyDescent="0.15">
      <c r="A764" t="s">
        <v>15</v>
      </c>
      <c r="B764">
        <v>2500</v>
      </c>
      <c r="C764">
        <v>20</v>
      </c>
      <c r="D764">
        <v>7.5200000000000003E-2</v>
      </c>
      <c r="E764">
        <v>415.64690000000002</v>
      </c>
      <c r="F764">
        <v>25.184999999999999</v>
      </c>
      <c r="G764">
        <v>125.9265</v>
      </c>
      <c r="H764">
        <v>1.5047999999999999</v>
      </c>
    </row>
    <row r="765" spans="1:8" x14ac:dyDescent="0.15">
      <c r="A765" t="s">
        <v>15</v>
      </c>
      <c r="B765">
        <v>2500</v>
      </c>
      <c r="C765">
        <v>20</v>
      </c>
      <c r="D765">
        <v>7.51E-2</v>
      </c>
      <c r="E765">
        <v>415.85160000000002</v>
      </c>
      <c r="F765">
        <v>25.198</v>
      </c>
      <c r="G765">
        <v>125.9885</v>
      </c>
      <c r="H765">
        <v>1.5038</v>
      </c>
    </row>
    <row r="766" spans="1:8" x14ac:dyDescent="0.15">
      <c r="A766" t="s">
        <v>15</v>
      </c>
      <c r="B766">
        <v>2500</v>
      </c>
      <c r="C766">
        <v>20</v>
      </c>
      <c r="D766">
        <v>7.4800000000000005E-2</v>
      </c>
      <c r="E766">
        <v>417.55189999999999</v>
      </c>
      <c r="F766">
        <v>25.300999999999998</v>
      </c>
      <c r="G766">
        <v>126.50360000000001</v>
      </c>
      <c r="H766">
        <v>1.4987999999999999</v>
      </c>
    </row>
    <row r="767" spans="1:8" x14ac:dyDescent="0.15">
      <c r="A767" t="s">
        <v>15</v>
      </c>
      <c r="B767">
        <v>2505</v>
      </c>
      <c r="C767">
        <v>1</v>
      </c>
      <c r="D767">
        <v>2.2610999999999999</v>
      </c>
      <c r="E767">
        <v>13.903700000000001</v>
      </c>
      <c r="F767">
        <v>1</v>
      </c>
      <c r="G767">
        <v>100</v>
      </c>
      <c r="H767">
        <v>8.9846000000000004</v>
      </c>
    </row>
    <row r="768" spans="1:8" x14ac:dyDescent="0.15">
      <c r="A768" t="s">
        <v>15</v>
      </c>
      <c r="B768">
        <v>2505</v>
      </c>
      <c r="C768">
        <v>1</v>
      </c>
      <c r="D768">
        <v>1.2864</v>
      </c>
      <c r="E768">
        <v>24.4377</v>
      </c>
      <c r="F768">
        <v>1.758</v>
      </c>
      <c r="G768">
        <v>175.76410000000001</v>
      </c>
      <c r="H768">
        <v>1.2887999999999999</v>
      </c>
    </row>
    <row r="769" spans="1:8" x14ac:dyDescent="0.15">
      <c r="A769" t="s">
        <v>15</v>
      </c>
      <c r="B769">
        <v>2505</v>
      </c>
      <c r="C769">
        <v>1</v>
      </c>
      <c r="D769">
        <v>1.2857000000000001</v>
      </c>
      <c r="E769">
        <v>24.4529</v>
      </c>
      <c r="F769">
        <v>1.7589999999999999</v>
      </c>
      <c r="G769">
        <v>175.87289999999999</v>
      </c>
      <c r="H769">
        <v>1.2858000000000001</v>
      </c>
    </row>
    <row r="770" spans="1:8" x14ac:dyDescent="0.15">
      <c r="A770" t="s">
        <v>15</v>
      </c>
      <c r="B770">
        <v>2505</v>
      </c>
      <c r="C770">
        <v>1</v>
      </c>
      <c r="D770">
        <v>1.2871999999999999</v>
      </c>
      <c r="E770">
        <v>24.4237</v>
      </c>
      <c r="F770">
        <v>1.7569999999999999</v>
      </c>
      <c r="G770">
        <v>175.66290000000001</v>
      </c>
      <c r="H770">
        <v>1.2887999999999999</v>
      </c>
    </row>
    <row r="771" spans="1:8" x14ac:dyDescent="0.15">
      <c r="A771" t="s">
        <v>15</v>
      </c>
      <c r="B771">
        <v>2505</v>
      </c>
      <c r="C771">
        <v>1</v>
      </c>
      <c r="D771">
        <v>1.2865</v>
      </c>
      <c r="E771">
        <v>24.4359</v>
      </c>
      <c r="F771">
        <v>1.758</v>
      </c>
      <c r="G771">
        <v>175.751</v>
      </c>
      <c r="H771">
        <v>1.2878000000000001</v>
      </c>
    </row>
    <row r="772" spans="1:8" x14ac:dyDescent="0.15">
      <c r="A772" t="s">
        <v>15</v>
      </c>
      <c r="B772">
        <v>2505</v>
      </c>
      <c r="C772">
        <v>1</v>
      </c>
      <c r="D772">
        <v>1.2862</v>
      </c>
      <c r="E772">
        <v>24.441800000000001</v>
      </c>
      <c r="F772">
        <v>1.758</v>
      </c>
      <c r="G772">
        <v>175.79310000000001</v>
      </c>
      <c r="H772">
        <v>1.2867999999999999</v>
      </c>
    </row>
    <row r="773" spans="1:8" x14ac:dyDescent="0.15">
      <c r="A773" t="s">
        <v>15</v>
      </c>
      <c r="B773">
        <v>2505</v>
      </c>
      <c r="C773">
        <v>19</v>
      </c>
      <c r="D773">
        <v>0.1105</v>
      </c>
      <c r="E773">
        <v>284.6164</v>
      </c>
      <c r="F773">
        <v>20.471</v>
      </c>
      <c r="G773">
        <v>107.7397</v>
      </c>
      <c r="H773">
        <v>1.9826999999999999</v>
      </c>
    </row>
    <row r="774" spans="1:8" x14ac:dyDescent="0.15">
      <c r="A774" t="s">
        <v>15</v>
      </c>
      <c r="B774">
        <v>2505</v>
      </c>
      <c r="C774">
        <v>19</v>
      </c>
      <c r="D774">
        <v>8.8599999999999998E-2</v>
      </c>
      <c r="E774">
        <v>354.82130000000001</v>
      </c>
      <c r="F774">
        <v>25.52</v>
      </c>
      <c r="G774">
        <v>134.3152</v>
      </c>
      <c r="H774">
        <v>1.6727000000000001</v>
      </c>
    </row>
    <row r="775" spans="1:8" x14ac:dyDescent="0.15">
      <c r="A775" t="s">
        <v>15</v>
      </c>
      <c r="B775">
        <v>2505</v>
      </c>
      <c r="C775">
        <v>19</v>
      </c>
      <c r="D775">
        <v>8.8700000000000001E-2</v>
      </c>
      <c r="E775">
        <v>354.5292</v>
      </c>
      <c r="F775">
        <v>25.498999999999999</v>
      </c>
      <c r="G775">
        <v>134.2047</v>
      </c>
      <c r="H775">
        <v>1.7027000000000001</v>
      </c>
    </row>
    <row r="776" spans="1:8" x14ac:dyDescent="0.15">
      <c r="A776" t="s">
        <v>15</v>
      </c>
      <c r="B776">
        <v>2505</v>
      </c>
      <c r="C776">
        <v>19</v>
      </c>
      <c r="D776">
        <v>8.8400000000000006E-2</v>
      </c>
      <c r="E776">
        <v>355.55970000000002</v>
      </c>
      <c r="F776">
        <v>25.573</v>
      </c>
      <c r="G776">
        <v>134.59479999999999</v>
      </c>
      <c r="H776">
        <v>1.6817</v>
      </c>
    </row>
    <row r="777" spans="1:8" x14ac:dyDescent="0.15">
      <c r="A777" t="s">
        <v>15</v>
      </c>
      <c r="B777">
        <v>2505</v>
      </c>
      <c r="C777">
        <v>19</v>
      </c>
      <c r="D777">
        <v>8.8700000000000001E-2</v>
      </c>
      <c r="E777">
        <v>354.60520000000002</v>
      </c>
      <c r="F777">
        <v>25.504000000000001</v>
      </c>
      <c r="G777">
        <v>134.23339999999999</v>
      </c>
      <c r="H777">
        <v>1.6857</v>
      </c>
    </row>
    <row r="778" spans="1:8" x14ac:dyDescent="0.15">
      <c r="A778" t="s">
        <v>15</v>
      </c>
      <c r="B778">
        <v>2505</v>
      </c>
      <c r="C778">
        <v>19</v>
      </c>
      <c r="D778">
        <v>8.8700000000000001E-2</v>
      </c>
      <c r="E778">
        <v>354.45319999999998</v>
      </c>
      <c r="F778">
        <v>25.492999999999999</v>
      </c>
      <c r="G778">
        <v>134.17590000000001</v>
      </c>
      <c r="H778">
        <v>1.6867000000000001</v>
      </c>
    </row>
    <row r="779" spans="1:8" x14ac:dyDescent="0.15">
      <c r="A779" t="s">
        <v>15</v>
      </c>
      <c r="B779">
        <v>2505</v>
      </c>
      <c r="C779">
        <v>19</v>
      </c>
      <c r="D779">
        <v>8.8400000000000006E-2</v>
      </c>
      <c r="E779">
        <v>355.66019999999997</v>
      </c>
      <c r="F779">
        <v>25.58</v>
      </c>
      <c r="G779">
        <v>134.6328</v>
      </c>
      <c r="H779">
        <v>1.6807000000000001</v>
      </c>
    </row>
    <row r="780" spans="1:8" x14ac:dyDescent="0.15">
      <c r="A780" t="s">
        <v>15</v>
      </c>
      <c r="B780">
        <v>2505</v>
      </c>
      <c r="C780">
        <v>19</v>
      </c>
      <c r="D780">
        <v>8.8700000000000001E-2</v>
      </c>
      <c r="E780">
        <v>354.53320000000002</v>
      </c>
      <c r="F780">
        <v>25.498999999999999</v>
      </c>
      <c r="G780">
        <v>134.2062</v>
      </c>
      <c r="H780">
        <v>1.6867000000000001</v>
      </c>
    </row>
    <row r="781" spans="1:8" x14ac:dyDescent="0.15">
      <c r="A781" t="s">
        <v>15</v>
      </c>
      <c r="B781">
        <v>2505</v>
      </c>
      <c r="C781">
        <v>19</v>
      </c>
      <c r="D781">
        <v>8.8800000000000004E-2</v>
      </c>
      <c r="E781">
        <v>354.11790000000002</v>
      </c>
      <c r="F781">
        <v>25.469000000000001</v>
      </c>
      <c r="G781">
        <v>134.04900000000001</v>
      </c>
      <c r="H781">
        <v>1.6877</v>
      </c>
    </row>
    <row r="782" spans="1:8" x14ac:dyDescent="0.15">
      <c r="A782" t="s">
        <v>15</v>
      </c>
      <c r="B782">
        <v>2505</v>
      </c>
      <c r="C782">
        <v>19</v>
      </c>
      <c r="D782">
        <v>8.8400000000000006E-2</v>
      </c>
      <c r="E782">
        <v>355.81319999999999</v>
      </c>
      <c r="F782">
        <v>25.591000000000001</v>
      </c>
      <c r="G782">
        <v>134.69069999999999</v>
      </c>
      <c r="H782">
        <v>1.6797</v>
      </c>
    </row>
    <row r="783" spans="1:8" x14ac:dyDescent="0.15">
      <c r="A783" t="s">
        <v>15</v>
      </c>
      <c r="B783">
        <v>2505</v>
      </c>
      <c r="C783">
        <v>19</v>
      </c>
      <c r="D783">
        <v>8.8599999999999998E-2</v>
      </c>
      <c r="E783">
        <v>354.68520000000001</v>
      </c>
      <c r="F783">
        <v>25.51</v>
      </c>
      <c r="G783">
        <v>134.2637</v>
      </c>
      <c r="H783">
        <v>1.6857</v>
      </c>
    </row>
    <row r="784" spans="1:8" x14ac:dyDescent="0.15">
      <c r="A784" t="s">
        <v>15</v>
      </c>
      <c r="B784">
        <v>2505</v>
      </c>
      <c r="C784">
        <v>19</v>
      </c>
      <c r="D784">
        <v>8.8599999999999998E-2</v>
      </c>
      <c r="E784">
        <v>354.68520000000001</v>
      </c>
      <c r="F784">
        <v>25.51</v>
      </c>
      <c r="G784">
        <v>134.2637</v>
      </c>
      <c r="H784">
        <v>1.6857</v>
      </c>
    </row>
    <row r="785" spans="1:8" x14ac:dyDescent="0.15">
      <c r="A785" t="s">
        <v>15</v>
      </c>
      <c r="B785">
        <v>2505</v>
      </c>
      <c r="C785">
        <v>19</v>
      </c>
      <c r="D785">
        <v>8.8700000000000001E-2</v>
      </c>
      <c r="E785">
        <v>354.3374</v>
      </c>
      <c r="F785">
        <v>25.484999999999999</v>
      </c>
      <c r="G785">
        <v>134.13210000000001</v>
      </c>
      <c r="H785">
        <v>1.6877</v>
      </c>
    </row>
    <row r="786" spans="1:8" x14ac:dyDescent="0.15">
      <c r="A786" t="s">
        <v>15</v>
      </c>
      <c r="B786">
        <v>2505</v>
      </c>
      <c r="C786">
        <v>19</v>
      </c>
      <c r="D786">
        <v>8.8499999999999995E-2</v>
      </c>
      <c r="E786">
        <v>355.23829999999998</v>
      </c>
      <c r="F786">
        <v>25.55</v>
      </c>
      <c r="G786">
        <v>134.47309999999999</v>
      </c>
      <c r="H786">
        <v>1.6827000000000001</v>
      </c>
    </row>
    <row r="787" spans="1:8" x14ac:dyDescent="0.15">
      <c r="A787" t="s">
        <v>15</v>
      </c>
      <c r="B787">
        <v>2505</v>
      </c>
      <c r="C787">
        <v>19</v>
      </c>
      <c r="D787">
        <v>8.8700000000000001E-2</v>
      </c>
      <c r="E787">
        <v>354.43329999999997</v>
      </c>
      <c r="F787">
        <v>25.492000000000001</v>
      </c>
      <c r="G787">
        <v>134.16839999999999</v>
      </c>
      <c r="H787">
        <v>1.6867000000000001</v>
      </c>
    </row>
    <row r="788" spans="1:8" x14ac:dyDescent="0.15">
      <c r="A788" t="s">
        <v>15</v>
      </c>
      <c r="B788">
        <v>2505</v>
      </c>
      <c r="C788">
        <v>19</v>
      </c>
      <c r="D788">
        <v>8.8700000000000001E-2</v>
      </c>
      <c r="E788">
        <v>354.51319999999998</v>
      </c>
      <c r="F788">
        <v>25.498000000000001</v>
      </c>
      <c r="G788">
        <v>134.1986</v>
      </c>
      <c r="H788">
        <v>1.6867000000000001</v>
      </c>
    </row>
    <row r="789" spans="1:8" x14ac:dyDescent="0.15">
      <c r="A789" t="s">
        <v>15</v>
      </c>
      <c r="B789">
        <v>2505</v>
      </c>
      <c r="C789">
        <v>19</v>
      </c>
      <c r="D789">
        <v>8.8400000000000006E-2</v>
      </c>
      <c r="E789">
        <v>355.78899999999999</v>
      </c>
      <c r="F789">
        <v>25.59</v>
      </c>
      <c r="G789">
        <v>134.6816</v>
      </c>
      <c r="H789">
        <v>1.6807000000000001</v>
      </c>
    </row>
    <row r="790" spans="1:8" x14ac:dyDescent="0.15">
      <c r="A790" t="s">
        <v>15</v>
      </c>
      <c r="B790">
        <v>2505</v>
      </c>
      <c r="C790">
        <v>19</v>
      </c>
      <c r="D790">
        <v>8.8700000000000001E-2</v>
      </c>
      <c r="E790">
        <v>354.40929999999997</v>
      </c>
      <c r="F790">
        <v>25.49</v>
      </c>
      <c r="G790">
        <v>134.1593</v>
      </c>
      <c r="H790">
        <v>1.6867000000000001</v>
      </c>
    </row>
    <row r="791" spans="1:8" x14ac:dyDescent="0.15">
      <c r="A791" t="s">
        <v>15</v>
      </c>
      <c r="B791">
        <v>2505</v>
      </c>
      <c r="C791">
        <v>19</v>
      </c>
      <c r="D791">
        <v>8.8700000000000001E-2</v>
      </c>
      <c r="E791">
        <v>354.40929999999997</v>
      </c>
      <c r="F791">
        <v>25.49</v>
      </c>
      <c r="G791">
        <v>134.1593</v>
      </c>
      <c r="H791">
        <v>1.6877</v>
      </c>
    </row>
    <row r="792" spans="1:8" x14ac:dyDescent="0.15">
      <c r="A792" t="s">
        <v>15</v>
      </c>
      <c r="B792">
        <v>2505</v>
      </c>
      <c r="C792">
        <v>19</v>
      </c>
      <c r="D792">
        <v>8.8599999999999998E-2</v>
      </c>
      <c r="E792">
        <v>354.66120000000001</v>
      </c>
      <c r="F792">
        <v>25.507999999999999</v>
      </c>
      <c r="G792">
        <v>134.25460000000001</v>
      </c>
      <c r="H792">
        <v>1.6857</v>
      </c>
    </row>
    <row r="793" spans="1:8" x14ac:dyDescent="0.15">
      <c r="A793" t="s">
        <v>15</v>
      </c>
      <c r="B793">
        <v>2505</v>
      </c>
      <c r="C793">
        <v>19</v>
      </c>
      <c r="D793">
        <v>8.8300000000000003E-2</v>
      </c>
      <c r="E793">
        <v>355.99450000000002</v>
      </c>
      <c r="F793">
        <v>25.603999999999999</v>
      </c>
      <c r="G793">
        <v>134.7594</v>
      </c>
      <c r="H793">
        <v>1.6787000000000001</v>
      </c>
    </row>
    <row r="794" spans="1:8" x14ac:dyDescent="0.15">
      <c r="A794" t="s">
        <v>15</v>
      </c>
      <c r="B794">
        <v>2505</v>
      </c>
      <c r="C794">
        <v>19</v>
      </c>
      <c r="D794">
        <v>8.8599999999999998E-2</v>
      </c>
      <c r="E794">
        <v>354.87740000000002</v>
      </c>
      <c r="F794">
        <v>25.524000000000001</v>
      </c>
      <c r="G794">
        <v>134.3365</v>
      </c>
      <c r="H794">
        <v>1.6857</v>
      </c>
    </row>
    <row r="795" spans="1:8" x14ac:dyDescent="0.15">
      <c r="A795" t="s">
        <v>15</v>
      </c>
      <c r="B795">
        <v>2505</v>
      </c>
      <c r="C795">
        <v>19</v>
      </c>
      <c r="D795">
        <v>8.8700000000000001E-2</v>
      </c>
      <c r="E795">
        <v>354.30939999999998</v>
      </c>
      <c r="F795">
        <v>25.483000000000001</v>
      </c>
      <c r="G795">
        <v>134.1215</v>
      </c>
      <c r="H795">
        <v>1.6877</v>
      </c>
    </row>
    <row r="796" spans="1:8" x14ac:dyDescent="0.15">
      <c r="A796" t="s">
        <v>15</v>
      </c>
      <c r="B796">
        <v>2505</v>
      </c>
      <c r="C796">
        <v>19</v>
      </c>
      <c r="D796">
        <v>8.8400000000000006E-2</v>
      </c>
      <c r="E796">
        <v>355.71249999999998</v>
      </c>
      <c r="F796">
        <v>25.584</v>
      </c>
      <c r="G796">
        <v>134.65260000000001</v>
      </c>
      <c r="H796">
        <v>1.6807000000000001</v>
      </c>
    </row>
    <row r="797" spans="1:8" x14ac:dyDescent="0.15">
      <c r="A797" t="s">
        <v>15</v>
      </c>
      <c r="B797">
        <v>2505</v>
      </c>
      <c r="C797">
        <v>19</v>
      </c>
      <c r="D797">
        <v>8.8599999999999998E-2</v>
      </c>
      <c r="E797">
        <v>354.66919999999999</v>
      </c>
      <c r="F797">
        <v>25.509</v>
      </c>
      <c r="G797">
        <v>134.2577</v>
      </c>
      <c r="H797">
        <v>1.6847000000000001</v>
      </c>
    </row>
    <row r="798" spans="1:8" x14ac:dyDescent="0.15">
      <c r="A798" t="s">
        <v>15</v>
      </c>
      <c r="B798">
        <v>2505</v>
      </c>
      <c r="C798">
        <v>19</v>
      </c>
      <c r="D798">
        <v>8.8700000000000001E-2</v>
      </c>
      <c r="E798">
        <v>354.40530000000001</v>
      </c>
      <c r="F798">
        <v>25.49</v>
      </c>
      <c r="G798">
        <v>134.15780000000001</v>
      </c>
      <c r="H798">
        <v>1.6787000000000001</v>
      </c>
    </row>
    <row r="799" spans="1:8" x14ac:dyDescent="0.15">
      <c r="A799" t="s">
        <v>15</v>
      </c>
      <c r="B799">
        <v>2505</v>
      </c>
      <c r="C799">
        <v>19</v>
      </c>
      <c r="D799">
        <v>8.8700000000000001E-2</v>
      </c>
      <c r="E799">
        <v>354.53719999999998</v>
      </c>
      <c r="F799">
        <v>25.498999999999999</v>
      </c>
      <c r="G799">
        <v>134.20769999999999</v>
      </c>
      <c r="H799">
        <v>1.6917</v>
      </c>
    </row>
    <row r="800" spans="1:8" x14ac:dyDescent="0.15">
      <c r="A800" t="s">
        <v>15</v>
      </c>
      <c r="B800">
        <v>2505</v>
      </c>
      <c r="C800">
        <v>19</v>
      </c>
      <c r="D800">
        <v>8.8400000000000006E-2</v>
      </c>
      <c r="E800">
        <v>355.76889999999997</v>
      </c>
      <c r="F800">
        <v>25.588000000000001</v>
      </c>
      <c r="G800">
        <v>134.67400000000001</v>
      </c>
      <c r="H800">
        <v>1.6847000000000001</v>
      </c>
    </row>
    <row r="801" spans="1:8" x14ac:dyDescent="0.15">
      <c r="A801" t="s">
        <v>15</v>
      </c>
      <c r="B801">
        <v>2505</v>
      </c>
      <c r="C801">
        <v>19</v>
      </c>
      <c r="D801">
        <v>8.8599999999999998E-2</v>
      </c>
      <c r="E801">
        <v>354.65719999999999</v>
      </c>
      <c r="F801">
        <v>25.507999999999999</v>
      </c>
      <c r="G801">
        <v>134.25309999999999</v>
      </c>
      <c r="H801">
        <v>1.6857</v>
      </c>
    </row>
    <row r="802" spans="1:8" x14ac:dyDescent="0.15">
      <c r="A802" t="s">
        <v>15</v>
      </c>
      <c r="B802">
        <v>2505</v>
      </c>
      <c r="C802">
        <v>19</v>
      </c>
      <c r="D802">
        <v>8.8700000000000001E-2</v>
      </c>
      <c r="E802">
        <v>354.4812</v>
      </c>
      <c r="F802">
        <v>25.495000000000001</v>
      </c>
      <c r="G802">
        <v>134.1865</v>
      </c>
      <c r="H802">
        <v>1.6867000000000001</v>
      </c>
    </row>
    <row r="803" spans="1:8" x14ac:dyDescent="0.15">
      <c r="A803" t="s">
        <v>15</v>
      </c>
      <c r="B803">
        <v>2505</v>
      </c>
      <c r="C803">
        <v>19</v>
      </c>
      <c r="D803">
        <v>8.8400000000000006E-2</v>
      </c>
      <c r="E803">
        <v>355.73270000000002</v>
      </c>
      <c r="F803">
        <v>25.585000000000001</v>
      </c>
      <c r="G803">
        <v>134.6602</v>
      </c>
      <c r="H803">
        <v>1.6807000000000001</v>
      </c>
    </row>
    <row r="804" spans="1:8" x14ac:dyDescent="0.15">
      <c r="A804" t="s">
        <v>15</v>
      </c>
      <c r="B804">
        <v>2505</v>
      </c>
      <c r="C804">
        <v>19</v>
      </c>
      <c r="D804">
        <v>8.8599999999999998E-2</v>
      </c>
      <c r="E804">
        <v>354.79320000000001</v>
      </c>
      <c r="F804">
        <v>25.518000000000001</v>
      </c>
      <c r="G804">
        <v>134.30459999999999</v>
      </c>
      <c r="H804">
        <v>1.6857</v>
      </c>
    </row>
    <row r="805" spans="1:8" x14ac:dyDescent="0.15">
      <c r="A805" t="s">
        <v>15</v>
      </c>
      <c r="B805">
        <v>2505</v>
      </c>
      <c r="C805">
        <v>19</v>
      </c>
      <c r="D805">
        <v>8.8599999999999998E-2</v>
      </c>
      <c r="E805">
        <v>354.68119999999999</v>
      </c>
      <c r="F805">
        <v>25.51</v>
      </c>
      <c r="G805">
        <v>134.26220000000001</v>
      </c>
      <c r="H805">
        <v>1.6857</v>
      </c>
    </row>
    <row r="806" spans="1:8" x14ac:dyDescent="0.15">
      <c r="A806" t="s">
        <v>15</v>
      </c>
      <c r="B806">
        <v>2505</v>
      </c>
      <c r="C806">
        <v>19</v>
      </c>
      <c r="D806">
        <v>8.8300000000000003E-2</v>
      </c>
      <c r="E806">
        <v>355.9461</v>
      </c>
      <c r="F806">
        <v>25.600999999999999</v>
      </c>
      <c r="G806">
        <v>134.74109999999999</v>
      </c>
      <c r="H806">
        <v>1.6797</v>
      </c>
    </row>
    <row r="807" spans="1:8" x14ac:dyDescent="0.15">
      <c r="A807" t="s">
        <v>15</v>
      </c>
      <c r="B807">
        <v>2505</v>
      </c>
      <c r="C807">
        <v>19</v>
      </c>
      <c r="D807">
        <v>8.8599999999999998E-2</v>
      </c>
      <c r="E807">
        <v>354.82530000000003</v>
      </c>
      <c r="F807">
        <v>25.52</v>
      </c>
      <c r="G807">
        <v>134.3168</v>
      </c>
      <c r="H807">
        <v>1.6847000000000001</v>
      </c>
    </row>
    <row r="808" spans="1:8" x14ac:dyDescent="0.15">
      <c r="A808" t="s">
        <v>15</v>
      </c>
      <c r="B808">
        <v>2505</v>
      </c>
      <c r="C808">
        <v>19</v>
      </c>
      <c r="D808">
        <v>8.8700000000000001E-2</v>
      </c>
      <c r="E808">
        <v>354.52120000000002</v>
      </c>
      <c r="F808">
        <v>25.498000000000001</v>
      </c>
      <c r="G808">
        <v>134.20160000000001</v>
      </c>
      <c r="H808">
        <v>1.6857</v>
      </c>
    </row>
    <row r="809" spans="1:8" x14ac:dyDescent="0.15">
      <c r="A809" t="s">
        <v>15</v>
      </c>
      <c r="B809">
        <v>2505</v>
      </c>
      <c r="C809">
        <v>19</v>
      </c>
      <c r="D809">
        <v>8.9599999999999999E-2</v>
      </c>
      <c r="E809">
        <v>350.95530000000002</v>
      </c>
      <c r="F809">
        <v>25.242000000000001</v>
      </c>
      <c r="G809">
        <v>132.8518</v>
      </c>
      <c r="H809">
        <v>1.6987000000000001</v>
      </c>
    </row>
    <row r="810" spans="1:8" x14ac:dyDescent="0.15">
      <c r="A810" t="s">
        <v>15</v>
      </c>
      <c r="B810">
        <v>2505</v>
      </c>
      <c r="C810">
        <v>19</v>
      </c>
      <c r="D810">
        <v>8.8300000000000003E-2</v>
      </c>
      <c r="E810">
        <v>355.91390000000001</v>
      </c>
      <c r="F810">
        <v>25.597999999999999</v>
      </c>
      <c r="G810">
        <v>134.72890000000001</v>
      </c>
      <c r="H810">
        <v>1.6797</v>
      </c>
    </row>
    <row r="811" spans="1:8" x14ac:dyDescent="0.15">
      <c r="A811" t="s">
        <v>15</v>
      </c>
      <c r="B811">
        <v>2505</v>
      </c>
      <c r="C811">
        <v>19</v>
      </c>
      <c r="D811">
        <v>8.8599999999999998E-2</v>
      </c>
      <c r="E811">
        <v>354.63720000000001</v>
      </c>
      <c r="F811">
        <v>25.507000000000001</v>
      </c>
      <c r="G811">
        <v>134.24549999999999</v>
      </c>
      <c r="H811">
        <v>1.6867000000000001</v>
      </c>
    </row>
    <row r="812" spans="1:8" x14ac:dyDescent="0.15">
      <c r="A812" t="s">
        <v>15</v>
      </c>
      <c r="B812">
        <v>2505</v>
      </c>
      <c r="C812">
        <v>19</v>
      </c>
      <c r="D812">
        <v>8.8599999999999998E-2</v>
      </c>
      <c r="E812">
        <v>354.73320000000001</v>
      </c>
      <c r="F812">
        <v>25.513999999999999</v>
      </c>
      <c r="G812">
        <v>134.28190000000001</v>
      </c>
      <c r="H812">
        <v>1.6857</v>
      </c>
    </row>
    <row r="813" spans="1:8" x14ac:dyDescent="0.15">
      <c r="A813" t="s">
        <v>15</v>
      </c>
      <c r="B813">
        <v>2505</v>
      </c>
      <c r="C813">
        <v>19</v>
      </c>
      <c r="D813">
        <v>8.8400000000000006E-2</v>
      </c>
      <c r="E813">
        <v>355.49130000000002</v>
      </c>
      <c r="F813">
        <v>25.568000000000001</v>
      </c>
      <c r="G813">
        <v>134.56890000000001</v>
      </c>
      <c r="H813">
        <v>1.6817</v>
      </c>
    </row>
    <row r="814" spans="1:8" x14ac:dyDescent="0.15">
      <c r="A814" t="s">
        <v>15</v>
      </c>
      <c r="B814">
        <v>2505</v>
      </c>
      <c r="C814">
        <v>19</v>
      </c>
      <c r="D814">
        <v>8.8599999999999998E-2</v>
      </c>
      <c r="E814">
        <v>354.77719999999999</v>
      </c>
      <c r="F814">
        <v>25.516999999999999</v>
      </c>
      <c r="G814">
        <v>134.29859999999999</v>
      </c>
      <c r="H814">
        <v>1.6847000000000001</v>
      </c>
    </row>
    <row r="815" spans="1:8" x14ac:dyDescent="0.15">
      <c r="A815" t="s">
        <v>15</v>
      </c>
      <c r="B815">
        <v>2505</v>
      </c>
      <c r="C815">
        <v>19</v>
      </c>
      <c r="D815">
        <v>8.8700000000000001E-2</v>
      </c>
      <c r="E815">
        <v>354.49720000000002</v>
      </c>
      <c r="F815">
        <v>25.497</v>
      </c>
      <c r="G815">
        <v>134.1926</v>
      </c>
      <c r="H815">
        <v>1.6857</v>
      </c>
    </row>
    <row r="816" spans="1:8" x14ac:dyDescent="0.15">
      <c r="A816" t="s">
        <v>15</v>
      </c>
      <c r="B816">
        <v>2505</v>
      </c>
      <c r="C816">
        <v>19</v>
      </c>
      <c r="D816">
        <v>8.8700000000000001E-2</v>
      </c>
      <c r="E816">
        <v>354.62520000000001</v>
      </c>
      <c r="F816">
        <v>25.506</v>
      </c>
      <c r="G816">
        <v>134.24100000000001</v>
      </c>
      <c r="H816">
        <v>1.6857</v>
      </c>
    </row>
    <row r="817" spans="1:8" x14ac:dyDescent="0.15">
      <c r="A817" t="s">
        <v>15</v>
      </c>
      <c r="B817">
        <v>2505</v>
      </c>
      <c r="C817">
        <v>19</v>
      </c>
      <c r="D817">
        <v>8.8400000000000006E-2</v>
      </c>
      <c r="E817">
        <v>355.78100000000001</v>
      </c>
      <c r="F817">
        <v>25.588999999999999</v>
      </c>
      <c r="G817">
        <v>134.67850000000001</v>
      </c>
      <c r="H817">
        <v>1.6807000000000001</v>
      </c>
    </row>
    <row r="818" spans="1:8" x14ac:dyDescent="0.15">
      <c r="A818" t="s">
        <v>15</v>
      </c>
      <c r="B818">
        <v>2505</v>
      </c>
      <c r="C818">
        <v>19</v>
      </c>
      <c r="D818">
        <v>8.8700000000000001E-2</v>
      </c>
      <c r="E818">
        <v>354.58510000000001</v>
      </c>
      <c r="F818">
        <v>25.503</v>
      </c>
      <c r="G818">
        <v>134.2259</v>
      </c>
      <c r="H818">
        <v>1.6857</v>
      </c>
    </row>
    <row r="819" spans="1:8" x14ac:dyDescent="0.15">
      <c r="A819" t="s">
        <v>15</v>
      </c>
      <c r="B819">
        <v>2505</v>
      </c>
      <c r="C819">
        <v>19</v>
      </c>
      <c r="D819">
        <v>8.8700000000000001E-2</v>
      </c>
      <c r="E819">
        <v>354.5532</v>
      </c>
      <c r="F819">
        <v>25.501000000000001</v>
      </c>
      <c r="G819">
        <v>134.21379999999999</v>
      </c>
      <c r="H819">
        <v>1.6867000000000001</v>
      </c>
    </row>
    <row r="820" spans="1:8" x14ac:dyDescent="0.15">
      <c r="A820" t="s">
        <v>15</v>
      </c>
      <c r="B820">
        <v>2505</v>
      </c>
      <c r="C820">
        <v>19</v>
      </c>
      <c r="D820">
        <v>8.8400000000000006E-2</v>
      </c>
      <c r="E820">
        <v>355.51949999999999</v>
      </c>
      <c r="F820">
        <v>25.57</v>
      </c>
      <c r="G820">
        <v>134.5795</v>
      </c>
      <c r="H820">
        <v>1.6817</v>
      </c>
    </row>
    <row r="821" spans="1:8" x14ac:dyDescent="0.15">
      <c r="A821" t="s">
        <v>15</v>
      </c>
      <c r="B821">
        <v>2505</v>
      </c>
      <c r="C821">
        <v>19</v>
      </c>
      <c r="D821">
        <v>8.8599999999999998E-2</v>
      </c>
      <c r="E821">
        <v>354.66520000000003</v>
      </c>
      <c r="F821">
        <v>25.509</v>
      </c>
      <c r="G821">
        <v>134.2561</v>
      </c>
      <c r="H821">
        <v>1.6857</v>
      </c>
    </row>
    <row r="822" spans="1:8" x14ac:dyDescent="0.15">
      <c r="A822" t="s">
        <v>15</v>
      </c>
      <c r="B822">
        <v>2505</v>
      </c>
      <c r="C822">
        <v>19</v>
      </c>
      <c r="D822">
        <v>8.8700000000000001E-2</v>
      </c>
      <c r="E822">
        <v>354.59719999999999</v>
      </c>
      <c r="F822">
        <v>25.504000000000001</v>
      </c>
      <c r="G822">
        <v>134.2304</v>
      </c>
      <c r="H822">
        <v>1.6867000000000001</v>
      </c>
    </row>
    <row r="823" spans="1:8" x14ac:dyDescent="0.15">
      <c r="A823" t="s">
        <v>15</v>
      </c>
      <c r="B823">
        <v>2505</v>
      </c>
      <c r="C823">
        <v>19</v>
      </c>
      <c r="D823">
        <v>8.8700000000000001E-2</v>
      </c>
      <c r="E823">
        <v>354.44119999999998</v>
      </c>
      <c r="F823">
        <v>25.492999999999999</v>
      </c>
      <c r="G823">
        <v>134.17140000000001</v>
      </c>
      <c r="H823">
        <v>1.6827000000000001</v>
      </c>
    </row>
    <row r="824" spans="1:8" x14ac:dyDescent="0.15">
      <c r="A824" t="s">
        <v>15</v>
      </c>
      <c r="B824">
        <v>2505</v>
      </c>
      <c r="C824">
        <v>20</v>
      </c>
      <c r="D824">
        <v>0.2059</v>
      </c>
      <c r="E824">
        <v>152.6696</v>
      </c>
      <c r="F824">
        <v>10.98</v>
      </c>
      <c r="G824">
        <v>54.902500000000003</v>
      </c>
      <c r="H824">
        <v>3.8294000000000001</v>
      </c>
    </row>
    <row r="825" spans="1:8" x14ac:dyDescent="0.15">
      <c r="A825" t="s">
        <v>15</v>
      </c>
      <c r="B825">
        <v>2505</v>
      </c>
      <c r="C825">
        <v>20</v>
      </c>
      <c r="D825">
        <v>0.1474</v>
      </c>
      <c r="E825">
        <v>213.26679999999999</v>
      </c>
      <c r="F825">
        <v>15.339</v>
      </c>
      <c r="G825">
        <v>76.694199999999995</v>
      </c>
      <c r="H825">
        <v>2.8026</v>
      </c>
    </row>
    <row r="826" spans="1:8" x14ac:dyDescent="0.15">
      <c r="A826" t="s">
        <v>15</v>
      </c>
      <c r="B826">
        <v>2505</v>
      </c>
      <c r="C826">
        <v>20</v>
      </c>
      <c r="D826">
        <v>0.14699999999999999</v>
      </c>
      <c r="E826">
        <v>213.79040000000001</v>
      </c>
      <c r="F826">
        <v>15.375999999999999</v>
      </c>
      <c r="G826">
        <v>76.882499999999993</v>
      </c>
      <c r="H826">
        <v>2.7966000000000002</v>
      </c>
    </row>
    <row r="827" spans="1:8" x14ac:dyDescent="0.15">
      <c r="A827" t="s">
        <v>15</v>
      </c>
      <c r="B827">
        <v>2505</v>
      </c>
      <c r="C827">
        <v>20</v>
      </c>
      <c r="D827">
        <v>0.14799999999999999</v>
      </c>
      <c r="E827">
        <v>212.477</v>
      </c>
      <c r="F827">
        <v>15.282</v>
      </c>
      <c r="G827">
        <v>76.410200000000003</v>
      </c>
      <c r="H827">
        <v>2.8136000000000001</v>
      </c>
    </row>
    <row r="828" spans="1:8" x14ac:dyDescent="0.15">
      <c r="A828" t="s">
        <v>15</v>
      </c>
      <c r="B828">
        <v>2505</v>
      </c>
      <c r="C828">
        <v>20</v>
      </c>
      <c r="D828">
        <v>0.14399999999999999</v>
      </c>
      <c r="E828">
        <v>218.2595</v>
      </c>
      <c r="F828">
        <v>15.698</v>
      </c>
      <c r="G828">
        <v>78.489599999999996</v>
      </c>
      <c r="H828">
        <v>2.7395999999999998</v>
      </c>
    </row>
    <row r="829" spans="1:8" x14ac:dyDescent="0.15">
      <c r="A829" t="s">
        <v>15</v>
      </c>
      <c r="B829">
        <v>2505</v>
      </c>
      <c r="C829">
        <v>20</v>
      </c>
      <c r="D829">
        <v>0.14449999999999999</v>
      </c>
      <c r="E829">
        <v>217.50290000000001</v>
      </c>
      <c r="F829">
        <v>15.644</v>
      </c>
      <c r="G829">
        <v>78.217600000000004</v>
      </c>
      <c r="H829">
        <v>2.7486000000000002</v>
      </c>
    </row>
    <row r="830" spans="1:8" x14ac:dyDescent="0.15">
      <c r="A830" t="s">
        <v>15</v>
      </c>
      <c r="B830">
        <v>2505</v>
      </c>
      <c r="C830">
        <v>20</v>
      </c>
      <c r="D830">
        <v>0.1454</v>
      </c>
      <c r="E830">
        <v>216.21940000000001</v>
      </c>
      <c r="F830">
        <v>15.551</v>
      </c>
      <c r="G830">
        <v>77.756</v>
      </c>
      <c r="H830">
        <v>2.7656000000000001</v>
      </c>
    </row>
    <row r="831" spans="1:8" x14ac:dyDescent="0.15">
      <c r="A831" t="s">
        <v>15</v>
      </c>
      <c r="B831">
        <v>2505</v>
      </c>
      <c r="C831">
        <v>20</v>
      </c>
      <c r="D831">
        <v>0.14380000000000001</v>
      </c>
      <c r="E831">
        <v>218.55539999999999</v>
      </c>
      <c r="F831">
        <v>15.718999999999999</v>
      </c>
      <c r="G831">
        <v>78.596000000000004</v>
      </c>
      <c r="H831">
        <v>2.7355999999999998</v>
      </c>
    </row>
    <row r="832" spans="1:8" x14ac:dyDescent="0.15">
      <c r="A832" t="s">
        <v>15</v>
      </c>
      <c r="B832">
        <v>2505</v>
      </c>
      <c r="C832">
        <v>20</v>
      </c>
      <c r="D832">
        <v>0.1444</v>
      </c>
      <c r="E832">
        <v>217.70930000000001</v>
      </c>
      <c r="F832">
        <v>15.657999999999999</v>
      </c>
      <c r="G832">
        <v>78.291799999999995</v>
      </c>
      <c r="H832">
        <v>2.7465999999999999</v>
      </c>
    </row>
    <row r="833" spans="1:8" x14ac:dyDescent="0.15">
      <c r="A833" t="s">
        <v>15</v>
      </c>
      <c r="B833">
        <v>2505</v>
      </c>
      <c r="C833">
        <v>20</v>
      </c>
      <c r="D833">
        <v>0.14499999999999999</v>
      </c>
      <c r="E833">
        <v>216.80250000000001</v>
      </c>
      <c r="F833">
        <v>15.593</v>
      </c>
      <c r="G833">
        <v>77.965699999999998</v>
      </c>
      <c r="H833">
        <v>2.7576000000000001</v>
      </c>
    </row>
    <row r="834" spans="1:8" x14ac:dyDescent="0.15">
      <c r="A834" t="s">
        <v>15</v>
      </c>
      <c r="B834">
        <v>2505</v>
      </c>
      <c r="C834">
        <v>20</v>
      </c>
      <c r="D834">
        <v>0.1447</v>
      </c>
      <c r="E834">
        <v>217.26240000000001</v>
      </c>
      <c r="F834">
        <v>15.625999999999999</v>
      </c>
      <c r="G834">
        <v>78.131100000000004</v>
      </c>
      <c r="H834">
        <v>2.7515999999999998</v>
      </c>
    </row>
    <row r="835" spans="1:8" x14ac:dyDescent="0.15">
      <c r="A835" t="s">
        <v>15</v>
      </c>
      <c r="B835">
        <v>2505</v>
      </c>
      <c r="C835">
        <v>20</v>
      </c>
      <c r="D835">
        <v>0.14360000000000001</v>
      </c>
      <c r="E835">
        <v>218.9145</v>
      </c>
      <c r="F835">
        <v>15.744999999999999</v>
      </c>
      <c r="G835">
        <v>78.725200000000001</v>
      </c>
      <c r="H835">
        <v>2.7315999999999998</v>
      </c>
    </row>
    <row r="836" spans="1:8" x14ac:dyDescent="0.15">
      <c r="A836" t="s">
        <v>15</v>
      </c>
      <c r="B836">
        <v>2505</v>
      </c>
      <c r="C836">
        <v>20</v>
      </c>
      <c r="D836">
        <v>0.14399999999999999</v>
      </c>
      <c r="E836">
        <v>218.28370000000001</v>
      </c>
      <c r="F836">
        <v>15.7</v>
      </c>
      <c r="G836">
        <v>78.498400000000004</v>
      </c>
      <c r="H836">
        <v>2.7385999999999999</v>
      </c>
    </row>
    <row r="837" spans="1:8" x14ac:dyDescent="0.15">
      <c r="A837" t="s">
        <v>15</v>
      </c>
      <c r="B837">
        <v>2505</v>
      </c>
      <c r="C837">
        <v>20</v>
      </c>
      <c r="D837">
        <v>0.14680000000000001</v>
      </c>
      <c r="E837">
        <v>214.2012</v>
      </c>
      <c r="F837">
        <v>15.406000000000001</v>
      </c>
      <c r="G837">
        <v>77.030199999999994</v>
      </c>
      <c r="H837">
        <v>2.7906</v>
      </c>
    </row>
    <row r="838" spans="1:8" x14ac:dyDescent="0.15">
      <c r="A838" t="s">
        <v>15</v>
      </c>
      <c r="B838">
        <v>2505</v>
      </c>
      <c r="C838">
        <v>20</v>
      </c>
      <c r="D838">
        <v>0.21110000000000001</v>
      </c>
      <c r="E838">
        <v>148.9093</v>
      </c>
      <c r="F838">
        <v>10.71</v>
      </c>
      <c r="G838">
        <v>53.550199999999997</v>
      </c>
      <c r="H838">
        <v>4.0094000000000003</v>
      </c>
    </row>
    <row r="839" spans="1:8" x14ac:dyDescent="0.15">
      <c r="A839" t="s">
        <v>15</v>
      </c>
      <c r="B839">
        <v>2505</v>
      </c>
      <c r="C839">
        <v>20</v>
      </c>
      <c r="D839">
        <v>0.1711</v>
      </c>
      <c r="E839">
        <v>183.7527</v>
      </c>
      <c r="F839">
        <v>13.215999999999999</v>
      </c>
      <c r="G839">
        <v>66.080399999999997</v>
      </c>
      <c r="H839">
        <v>3.2595000000000001</v>
      </c>
    </row>
    <row r="840" spans="1:8" x14ac:dyDescent="0.15">
      <c r="A840" t="s">
        <v>15</v>
      </c>
      <c r="B840">
        <v>2505</v>
      </c>
      <c r="C840">
        <v>20</v>
      </c>
      <c r="D840">
        <v>0.1449</v>
      </c>
      <c r="E840">
        <v>216.96850000000001</v>
      </c>
      <c r="F840">
        <v>15.605</v>
      </c>
      <c r="G840">
        <v>78.025400000000005</v>
      </c>
      <c r="H840">
        <v>2.7555999999999998</v>
      </c>
    </row>
    <row r="841" spans="1:8" x14ac:dyDescent="0.15">
      <c r="A841" t="s">
        <v>15</v>
      </c>
      <c r="B841">
        <v>2505</v>
      </c>
      <c r="C841">
        <v>20</v>
      </c>
      <c r="D841">
        <v>0.14560000000000001</v>
      </c>
      <c r="E841">
        <v>215.8706</v>
      </c>
      <c r="F841">
        <v>15.526</v>
      </c>
      <c r="G841">
        <v>77.630499999999998</v>
      </c>
      <c r="H841">
        <v>2.7686000000000002</v>
      </c>
    </row>
    <row r="842" spans="1:8" x14ac:dyDescent="0.15">
      <c r="A842" t="s">
        <v>15</v>
      </c>
      <c r="B842">
        <v>2505</v>
      </c>
      <c r="C842">
        <v>20</v>
      </c>
      <c r="D842">
        <v>0.14410000000000001</v>
      </c>
      <c r="E842">
        <v>218.12620000000001</v>
      </c>
      <c r="F842">
        <v>15.688000000000001</v>
      </c>
      <c r="G842">
        <v>78.441699999999997</v>
      </c>
      <c r="H842">
        <v>2.7416</v>
      </c>
    </row>
    <row r="843" spans="1:8" x14ac:dyDescent="0.15">
      <c r="A843" t="s">
        <v>15</v>
      </c>
      <c r="B843">
        <v>2505</v>
      </c>
      <c r="C843">
        <v>20</v>
      </c>
      <c r="D843">
        <v>0.1447</v>
      </c>
      <c r="E843">
        <v>217.32249999999999</v>
      </c>
      <c r="F843">
        <v>15.631</v>
      </c>
      <c r="G843">
        <v>78.152699999999996</v>
      </c>
      <c r="H843">
        <v>2.7515999999999998</v>
      </c>
    </row>
    <row r="844" spans="1:8" x14ac:dyDescent="0.15">
      <c r="A844" t="s">
        <v>15</v>
      </c>
      <c r="B844">
        <v>2505</v>
      </c>
      <c r="C844">
        <v>20</v>
      </c>
      <c r="D844">
        <v>0.14480000000000001</v>
      </c>
      <c r="E844">
        <v>217.16489999999999</v>
      </c>
      <c r="F844">
        <v>15.619</v>
      </c>
      <c r="G844">
        <v>78.096000000000004</v>
      </c>
      <c r="H844">
        <v>2.7526000000000002</v>
      </c>
    </row>
    <row r="845" spans="1:8" x14ac:dyDescent="0.15">
      <c r="A845" t="s">
        <v>15</v>
      </c>
      <c r="B845">
        <v>2505</v>
      </c>
      <c r="C845">
        <v>20</v>
      </c>
      <c r="D845">
        <v>0.14829999999999999</v>
      </c>
      <c r="E845">
        <v>211.9384</v>
      </c>
      <c r="F845">
        <v>15.243</v>
      </c>
      <c r="G845">
        <v>76.216499999999996</v>
      </c>
      <c r="H845">
        <v>2.8216000000000001</v>
      </c>
    </row>
    <row r="846" spans="1:8" x14ac:dyDescent="0.15">
      <c r="A846" t="s">
        <v>15</v>
      </c>
      <c r="B846">
        <v>2505</v>
      </c>
      <c r="C846">
        <v>20</v>
      </c>
      <c r="D846">
        <v>0.1464</v>
      </c>
      <c r="E846">
        <v>214.6927</v>
      </c>
      <c r="F846">
        <v>15.441000000000001</v>
      </c>
      <c r="G846">
        <v>77.206999999999994</v>
      </c>
      <c r="H846">
        <v>2.7846000000000002</v>
      </c>
    </row>
    <row r="847" spans="1:8" x14ac:dyDescent="0.15">
      <c r="A847" t="s">
        <v>15</v>
      </c>
      <c r="B847">
        <v>2505</v>
      </c>
      <c r="C847">
        <v>20</v>
      </c>
      <c r="D847">
        <v>0.14660000000000001</v>
      </c>
      <c r="E847">
        <v>214.47880000000001</v>
      </c>
      <c r="F847">
        <v>15.426</v>
      </c>
      <c r="G847">
        <v>77.130099999999999</v>
      </c>
      <c r="H847">
        <v>2.7875999999999999</v>
      </c>
    </row>
    <row r="848" spans="1:8" x14ac:dyDescent="0.15">
      <c r="A848" t="s">
        <v>15</v>
      </c>
      <c r="B848">
        <v>2505</v>
      </c>
      <c r="C848">
        <v>20</v>
      </c>
      <c r="D848">
        <v>0.14660000000000001</v>
      </c>
      <c r="E848">
        <v>214.40270000000001</v>
      </c>
      <c r="F848">
        <v>15.420999999999999</v>
      </c>
      <c r="G848">
        <v>77.102699999999999</v>
      </c>
      <c r="H848">
        <v>2.7886000000000002</v>
      </c>
    </row>
    <row r="849" spans="1:8" x14ac:dyDescent="0.15">
      <c r="A849" t="s">
        <v>15</v>
      </c>
      <c r="B849">
        <v>2505</v>
      </c>
      <c r="C849">
        <v>20</v>
      </c>
      <c r="D849">
        <v>0.1434</v>
      </c>
      <c r="E849">
        <v>219.19229999999999</v>
      </c>
      <c r="F849">
        <v>15.765000000000001</v>
      </c>
      <c r="G849">
        <v>78.825100000000006</v>
      </c>
      <c r="H849">
        <v>2.7286000000000001</v>
      </c>
    </row>
    <row r="850" spans="1:8" x14ac:dyDescent="0.15">
      <c r="A850" t="s">
        <v>15</v>
      </c>
      <c r="B850">
        <v>2505</v>
      </c>
      <c r="C850">
        <v>20</v>
      </c>
      <c r="D850">
        <v>0.14399999999999999</v>
      </c>
      <c r="E850">
        <v>218.36410000000001</v>
      </c>
      <c r="F850">
        <v>15.705</v>
      </c>
      <c r="G850">
        <v>78.527299999999997</v>
      </c>
      <c r="H850">
        <v>2.7376</v>
      </c>
    </row>
    <row r="851" spans="1:8" x14ac:dyDescent="0.15">
      <c r="A851" t="s">
        <v>15</v>
      </c>
      <c r="B851">
        <v>2505</v>
      </c>
      <c r="C851">
        <v>20</v>
      </c>
      <c r="D851">
        <v>0.14319999999999999</v>
      </c>
      <c r="E851">
        <v>219.5444</v>
      </c>
      <c r="F851">
        <v>15.79</v>
      </c>
      <c r="G851">
        <v>78.951700000000002</v>
      </c>
      <c r="H851">
        <v>2.7235999999999998</v>
      </c>
    </row>
    <row r="852" spans="1:8" x14ac:dyDescent="0.15">
      <c r="A852" t="s">
        <v>15</v>
      </c>
      <c r="B852">
        <v>2505</v>
      </c>
      <c r="C852">
        <v>20</v>
      </c>
      <c r="D852">
        <v>0.1641</v>
      </c>
      <c r="E852">
        <v>191.5857</v>
      </c>
      <c r="F852">
        <v>13.779</v>
      </c>
      <c r="G852">
        <v>68.897300000000001</v>
      </c>
      <c r="H852">
        <v>3.1145</v>
      </c>
    </row>
    <row r="853" spans="1:8" x14ac:dyDescent="0.15">
      <c r="A853" t="s">
        <v>15</v>
      </c>
      <c r="B853">
        <v>2505</v>
      </c>
      <c r="C853">
        <v>20</v>
      </c>
      <c r="D853">
        <v>0.2064</v>
      </c>
      <c r="E853">
        <v>152.28579999999999</v>
      </c>
      <c r="F853">
        <v>10.952999999999999</v>
      </c>
      <c r="G853">
        <v>54.764400000000002</v>
      </c>
      <c r="H853">
        <v>3.9323999999999999</v>
      </c>
    </row>
    <row r="854" spans="1:8" x14ac:dyDescent="0.15">
      <c r="A854" t="s">
        <v>15</v>
      </c>
      <c r="B854">
        <v>2505</v>
      </c>
      <c r="C854">
        <v>20</v>
      </c>
      <c r="D854">
        <v>0.1444</v>
      </c>
      <c r="E854">
        <v>217.74250000000001</v>
      </c>
      <c r="F854">
        <v>15.661</v>
      </c>
      <c r="G854">
        <v>78.303700000000006</v>
      </c>
      <c r="H854">
        <v>2.7456</v>
      </c>
    </row>
    <row r="855" spans="1:8" x14ac:dyDescent="0.15">
      <c r="A855" t="s">
        <v>15</v>
      </c>
      <c r="B855">
        <v>2505</v>
      </c>
      <c r="C855">
        <v>20</v>
      </c>
      <c r="D855">
        <v>0.1469</v>
      </c>
      <c r="E855">
        <v>214.03049999999999</v>
      </c>
      <c r="F855">
        <v>15.394</v>
      </c>
      <c r="G855">
        <v>76.968900000000005</v>
      </c>
      <c r="H855">
        <v>2.7936000000000001</v>
      </c>
    </row>
    <row r="856" spans="1:8" x14ac:dyDescent="0.15">
      <c r="A856" t="s">
        <v>15</v>
      </c>
      <c r="B856">
        <v>2505</v>
      </c>
      <c r="C856">
        <v>20</v>
      </c>
      <c r="D856">
        <v>0.1487</v>
      </c>
      <c r="E856">
        <v>211.37260000000001</v>
      </c>
      <c r="F856">
        <v>15.202999999999999</v>
      </c>
      <c r="G856">
        <v>76.013000000000005</v>
      </c>
      <c r="H856">
        <v>2.8285999999999998</v>
      </c>
    </row>
    <row r="857" spans="1:8" x14ac:dyDescent="0.15">
      <c r="A857" t="s">
        <v>15</v>
      </c>
      <c r="B857">
        <v>2505</v>
      </c>
      <c r="C857">
        <v>20</v>
      </c>
      <c r="D857">
        <v>0.1502</v>
      </c>
      <c r="E857">
        <v>209.33879999999999</v>
      </c>
      <c r="F857">
        <v>15.055999999999999</v>
      </c>
      <c r="G857">
        <v>75.281599999999997</v>
      </c>
      <c r="H857">
        <v>2.8565999999999998</v>
      </c>
    </row>
    <row r="858" spans="1:8" x14ac:dyDescent="0.15">
      <c r="A858" t="s">
        <v>15</v>
      </c>
      <c r="B858">
        <v>2505</v>
      </c>
      <c r="C858">
        <v>20</v>
      </c>
      <c r="D858">
        <v>0.1439</v>
      </c>
      <c r="E858">
        <v>218.45359999999999</v>
      </c>
      <c r="F858">
        <v>15.712</v>
      </c>
      <c r="G858">
        <v>78.5595</v>
      </c>
      <c r="H858">
        <v>2.7366000000000001</v>
      </c>
    </row>
    <row r="859" spans="1:8" x14ac:dyDescent="0.15">
      <c r="A859" t="s">
        <v>15</v>
      </c>
      <c r="B859">
        <v>2505</v>
      </c>
      <c r="C859">
        <v>20</v>
      </c>
      <c r="D859">
        <v>0.14829999999999999</v>
      </c>
      <c r="E859">
        <v>212.0241</v>
      </c>
      <c r="F859">
        <v>15.249000000000001</v>
      </c>
      <c r="G859">
        <v>76.247299999999996</v>
      </c>
      <c r="H859">
        <v>2.8206000000000002</v>
      </c>
    </row>
    <row r="860" spans="1:8" x14ac:dyDescent="0.15">
      <c r="A860" t="s">
        <v>15</v>
      </c>
      <c r="B860">
        <v>2505</v>
      </c>
      <c r="C860">
        <v>20</v>
      </c>
      <c r="D860">
        <v>0.15079999999999999</v>
      </c>
      <c r="E860">
        <v>208.5127</v>
      </c>
      <c r="F860">
        <v>14.997</v>
      </c>
      <c r="G860">
        <v>74.984499999999997</v>
      </c>
      <c r="H860">
        <v>2.8675999999999999</v>
      </c>
    </row>
    <row r="861" spans="1:8" x14ac:dyDescent="0.15">
      <c r="A861" t="s">
        <v>15</v>
      </c>
      <c r="B861">
        <v>2505</v>
      </c>
      <c r="C861">
        <v>20</v>
      </c>
      <c r="D861">
        <v>0.14449999999999999</v>
      </c>
      <c r="E861">
        <v>217.5812</v>
      </c>
      <c r="F861">
        <v>15.648999999999999</v>
      </c>
      <c r="G861">
        <v>78.245699999999999</v>
      </c>
      <c r="H861">
        <v>2.7475999999999998</v>
      </c>
    </row>
    <row r="862" spans="1:8" x14ac:dyDescent="0.15">
      <c r="A862" t="s">
        <v>15</v>
      </c>
      <c r="B862">
        <v>2505</v>
      </c>
      <c r="C862">
        <v>20</v>
      </c>
      <c r="D862">
        <v>0.14480000000000001</v>
      </c>
      <c r="E862">
        <v>217.0599</v>
      </c>
      <c r="F862">
        <v>15.612</v>
      </c>
      <c r="G862">
        <v>78.058300000000003</v>
      </c>
      <c r="H862">
        <v>2.7545999999999999</v>
      </c>
    </row>
    <row r="863" spans="1:8" x14ac:dyDescent="0.15">
      <c r="A863" t="s">
        <v>15</v>
      </c>
      <c r="B863">
        <v>2505</v>
      </c>
      <c r="C863">
        <v>20</v>
      </c>
      <c r="D863">
        <v>0.14749999999999999</v>
      </c>
      <c r="E863">
        <v>213.09049999999999</v>
      </c>
      <c r="F863">
        <v>15.326000000000001</v>
      </c>
      <c r="G863">
        <v>76.630799999999994</v>
      </c>
      <c r="H863">
        <v>2.8056000000000001</v>
      </c>
    </row>
    <row r="864" spans="1:8" x14ac:dyDescent="0.15">
      <c r="A864" t="s">
        <v>15</v>
      </c>
      <c r="B864">
        <v>2505</v>
      </c>
      <c r="C864">
        <v>20</v>
      </c>
      <c r="D864">
        <v>0.14699999999999999</v>
      </c>
      <c r="E864">
        <v>213.898</v>
      </c>
      <c r="F864">
        <v>15.384</v>
      </c>
      <c r="G864">
        <v>76.921199999999999</v>
      </c>
      <c r="H864">
        <v>2.7955999999999999</v>
      </c>
    </row>
    <row r="865" spans="1:8" x14ac:dyDescent="0.15">
      <c r="A865" t="s">
        <v>15</v>
      </c>
      <c r="B865">
        <v>2505</v>
      </c>
      <c r="C865">
        <v>20</v>
      </c>
      <c r="D865">
        <v>0.1527</v>
      </c>
      <c r="E865">
        <v>205.87729999999999</v>
      </c>
      <c r="F865">
        <v>14.807</v>
      </c>
      <c r="G865">
        <v>74.036799999999999</v>
      </c>
      <c r="H865">
        <v>2.9045999999999998</v>
      </c>
    </row>
    <row r="866" spans="1:8" x14ac:dyDescent="0.15">
      <c r="A866" t="s">
        <v>15</v>
      </c>
      <c r="B866">
        <v>2505</v>
      </c>
      <c r="C866">
        <v>20</v>
      </c>
      <c r="D866">
        <v>0.14649999999999999</v>
      </c>
      <c r="E866">
        <v>214.61199999999999</v>
      </c>
      <c r="F866">
        <v>15.436</v>
      </c>
      <c r="G866">
        <v>77.177999999999997</v>
      </c>
      <c r="H866">
        <v>2.7856000000000001</v>
      </c>
    </row>
    <row r="867" spans="1:8" x14ac:dyDescent="0.15">
      <c r="A867" t="s">
        <v>15</v>
      </c>
      <c r="B867">
        <v>2505</v>
      </c>
      <c r="C867">
        <v>20</v>
      </c>
      <c r="D867">
        <v>0.20119999999999999</v>
      </c>
      <c r="E867">
        <v>156.2278</v>
      </c>
      <c r="F867">
        <v>11.236000000000001</v>
      </c>
      <c r="G867">
        <v>56.182000000000002</v>
      </c>
      <c r="H867">
        <v>3.8214000000000001</v>
      </c>
    </row>
    <row r="868" spans="1:8" x14ac:dyDescent="0.15">
      <c r="A868" t="s">
        <v>15</v>
      </c>
      <c r="B868">
        <v>2505</v>
      </c>
      <c r="C868">
        <v>20</v>
      </c>
      <c r="D868">
        <v>0.1646</v>
      </c>
      <c r="E868">
        <v>191.006</v>
      </c>
      <c r="F868">
        <v>13.738</v>
      </c>
      <c r="G868">
        <v>68.688900000000004</v>
      </c>
      <c r="H868">
        <v>3.1355</v>
      </c>
    </row>
    <row r="869" spans="1:8" x14ac:dyDescent="0.15">
      <c r="A869" t="s">
        <v>15</v>
      </c>
      <c r="B869">
        <v>2505</v>
      </c>
      <c r="C869">
        <v>20</v>
      </c>
      <c r="D869">
        <v>0.1464</v>
      </c>
      <c r="E869">
        <v>214.72929999999999</v>
      </c>
      <c r="F869">
        <v>15.444000000000001</v>
      </c>
      <c r="G869">
        <v>77.220100000000002</v>
      </c>
      <c r="H869">
        <v>2.7846000000000002</v>
      </c>
    </row>
    <row r="870" spans="1:8" x14ac:dyDescent="0.15">
      <c r="A870" t="s">
        <v>15</v>
      </c>
      <c r="B870">
        <v>2505</v>
      </c>
      <c r="C870">
        <v>20</v>
      </c>
      <c r="D870">
        <v>0.14360000000000001</v>
      </c>
      <c r="E870">
        <v>218.93430000000001</v>
      </c>
      <c r="F870">
        <v>15.746</v>
      </c>
      <c r="G870">
        <v>78.732299999999995</v>
      </c>
      <c r="H870">
        <v>2.7315999999999998</v>
      </c>
    </row>
    <row r="871" spans="1:8" x14ac:dyDescent="0.15">
      <c r="A871" t="s">
        <v>15</v>
      </c>
      <c r="B871">
        <v>2505</v>
      </c>
      <c r="C871">
        <v>20</v>
      </c>
      <c r="D871">
        <v>0.14849999999999999</v>
      </c>
      <c r="E871">
        <v>211.73570000000001</v>
      </c>
      <c r="F871">
        <v>15.228999999999999</v>
      </c>
      <c r="G871">
        <v>76.143600000000006</v>
      </c>
      <c r="H871">
        <v>2.8235999999999999</v>
      </c>
    </row>
    <row r="872" spans="1:8" x14ac:dyDescent="0.15">
      <c r="A872" t="s">
        <v>15</v>
      </c>
      <c r="B872">
        <v>2505</v>
      </c>
      <c r="C872">
        <v>20</v>
      </c>
      <c r="D872">
        <v>0.14530000000000001</v>
      </c>
      <c r="E872">
        <v>216.38759999999999</v>
      </c>
      <c r="F872">
        <v>15.563000000000001</v>
      </c>
      <c r="G872">
        <v>77.816500000000005</v>
      </c>
      <c r="H872">
        <v>2.7635999999999998</v>
      </c>
    </row>
    <row r="873" spans="1:8" x14ac:dyDescent="0.15">
      <c r="A873" t="s">
        <v>15</v>
      </c>
      <c r="B873">
        <v>2505</v>
      </c>
      <c r="C873">
        <v>20</v>
      </c>
      <c r="D873">
        <v>0.1479</v>
      </c>
      <c r="E873">
        <v>212.55019999999999</v>
      </c>
      <c r="F873">
        <v>15.287000000000001</v>
      </c>
      <c r="G873">
        <v>76.436499999999995</v>
      </c>
      <c r="H873">
        <v>2.8126000000000002</v>
      </c>
    </row>
    <row r="874" spans="1:8" x14ac:dyDescent="0.15">
      <c r="A874" t="s">
        <v>15</v>
      </c>
      <c r="B874">
        <v>2505</v>
      </c>
      <c r="C874">
        <v>20</v>
      </c>
      <c r="D874">
        <v>0.14879999999999999</v>
      </c>
      <c r="E874">
        <v>211.2278</v>
      </c>
      <c r="F874">
        <v>15.192</v>
      </c>
      <c r="G874">
        <v>75.960899999999995</v>
      </c>
      <c r="H874">
        <v>2.8306</v>
      </c>
    </row>
    <row r="875" spans="1:8" x14ac:dyDescent="0.15">
      <c r="A875" t="s">
        <v>15</v>
      </c>
      <c r="B875">
        <v>2510</v>
      </c>
      <c r="C875">
        <v>1</v>
      </c>
      <c r="D875">
        <v>2.2265999999999999</v>
      </c>
      <c r="E875">
        <v>14.2041</v>
      </c>
      <c r="F875">
        <v>1</v>
      </c>
      <c r="G875">
        <v>100</v>
      </c>
      <c r="H875">
        <v>8.9436</v>
      </c>
    </row>
    <row r="876" spans="1:8" x14ac:dyDescent="0.15">
      <c r="A876" t="s">
        <v>15</v>
      </c>
      <c r="B876">
        <v>2510</v>
      </c>
      <c r="C876">
        <v>1</v>
      </c>
      <c r="D876">
        <v>1.2833000000000001</v>
      </c>
      <c r="E876">
        <v>24.645199999999999</v>
      </c>
      <c r="F876">
        <v>1.7350000000000001</v>
      </c>
      <c r="G876">
        <v>173.50790000000001</v>
      </c>
      <c r="H876">
        <v>1.2838000000000001</v>
      </c>
    </row>
    <row r="877" spans="1:8" x14ac:dyDescent="0.15">
      <c r="A877" t="s">
        <v>15</v>
      </c>
      <c r="B877">
        <v>2510</v>
      </c>
      <c r="C877">
        <v>1</v>
      </c>
      <c r="D877">
        <v>1.2830999999999999</v>
      </c>
      <c r="E877">
        <v>24.6478</v>
      </c>
      <c r="F877">
        <v>1.7350000000000001</v>
      </c>
      <c r="G877">
        <v>173.52600000000001</v>
      </c>
      <c r="H877">
        <v>1.2858000000000001</v>
      </c>
    </row>
    <row r="878" spans="1:8" x14ac:dyDescent="0.15">
      <c r="A878" t="s">
        <v>15</v>
      </c>
      <c r="B878">
        <v>2510</v>
      </c>
      <c r="C878">
        <v>1</v>
      </c>
      <c r="D878">
        <v>1.2838000000000001</v>
      </c>
      <c r="E878">
        <v>24.6355</v>
      </c>
      <c r="F878">
        <v>1.734</v>
      </c>
      <c r="G878">
        <v>173.4393</v>
      </c>
      <c r="H878">
        <v>1.2838000000000001</v>
      </c>
    </row>
    <row r="879" spans="1:8" x14ac:dyDescent="0.15">
      <c r="A879" t="s">
        <v>15</v>
      </c>
      <c r="B879">
        <v>2510</v>
      </c>
      <c r="C879">
        <v>1</v>
      </c>
      <c r="D879">
        <v>1.2827</v>
      </c>
      <c r="E879">
        <v>24.6569</v>
      </c>
      <c r="F879">
        <v>1.736</v>
      </c>
      <c r="G879">
        <v>173.59010000000001</v>
      </c>
      <c r="H879">
        <v>1.2847999999999999</v>
      </c>
    </row>
    <row r="880" spans="1:8" x14ac:dyDescent="0.15">
      <c r="A880" t="s">
        <v>15</v>
      </c>
      <c r="B880">
        <v>2510</v>
      </c>
      <c r="C880">
        <v>1</v>
      </c>
      <c r="D880">
        <v>1.2833000000000001</v>
      </c>
      <c r="E880">
        <v>24.645199999999999</v>
      </c>
      <c r="F880">
        <v>1.7350000000000001</v>
      </c>
      <c r="G880">
        <v>173.5076</v>
      </c>
      <c r="H880">
        <v>1.2838000000000001</v>
      </c>
    </row>
    <row r="881" spans="1:8" x14ac:dyDescent="0.15">
      <c r="A881" t="s">
        <v>15</v>
      </c>
      <c r="B881">
        <v>2510</v>
      </c>
      <c r="C881">
        <v>19</v>
      </c>
      <c r="D881">
        <v>9.0399999999999994E-2</v>
      </c>
      <c r="E881">
        <v>349.93200000000002</v>
      </c>
      <c r="F881">
        <v>24.635999999999999</v>
      </c>
      <c r="G881">
        <v>129.66300000000001</v>
      </c>
      <c r="H881">
        <v>1.6857</v>
      </c>
    </row>
    <row r="882" spans="1:8" x14ac:dyDescent="0.15">
      <c r="A882" t="s">
        <v>15</v>
      </c>
      <c r="B882">
        <v>2510</v>
      </c>
      <c r="C882">
        <v>19</v>
      </c>
      <c r="D882">
        <v>8.72E-2</v>
      </c>
      <c r="E882">
        <v>362.71</v>
      </c>
      <c r="F882">
        <v>25.536000000000001</v>
      </c>
      <c r="G882">
        <v>134.39779999999999</v>
      </c>
      <c r="H882">
        <v>1.6488</v>
      </c>
    </row>
    <row r="883" spans="1:8" x14ac:dyDescent="0.15">
      <c r="A883" t="s">
        <v>15</v>
      </c>
      <c r="B883">
        <v>2510</v>
      </c>
      <c r="C883">
        <v>19</v>
      </c>
      <c r="D883">
        <v>8.7499999999999994E-2</v>
      </c>
      <c r="E883">
        <v>361.41269999999997</v>
      </c>
      <c r="F883">
        <v>25.443999999999999</v>
      </c>
      <c r="G883">
        <v>133.9171</v>
      </c>
      <c r="H883">
        <v>1.6657</v>
      </c>
    </row>
    <row r="884" spans="1:8" x14ac:dyDescent="0.15">
      <c r="A884" t="s">
        <v>15</v>
      </c>
      <c r="B884">
        <v>2510</v>
      </c>
      <c r="C884">
        <v>19</v>
      </c>
      <c r="D884">
        <v>8.7499999999999994E-2</v>
      </c>
      <c r="E884">
        <v>361.53250000000003</v>
      </c>
      <c r="F884">
        <v>25.452999999999999</v>
      </c>
      <c r="G884">
        <v>133.9615</v>
      </c>
      <c r="H884">
        <v>1.6707000000000001</v>
      </c>
    </row>
    <row r="885" spans="1:8" x14ac:dyDescent="0.15">
      <c r="A885" t="s">
        <v>15</v>
      </c>
      <c r="B885">
        <v>2510</v>
      </c>
      <c r="C885">
        <v>19</v>
      </c>
      <c r="D885">
        <v>8.7499999999999994E-2</v>
      </c>
      <c r="E885">
        <v>361.64</v>
      </c>
      <c r="F885">
        <v>25.46</v>
      </c>
      <c r="G885">
        <v>134.00129999999999</v>
      </c>
      <c r="H885">
        <v>1.6637</v>
      </c>
    </row>
    <row r="886" spans="1:8" x14ac:dyDescent="0.15">
      <c r="A886" t="s">
        <v>15</v>
      </c>
      <c r="B886">
        <v>2510</v>
      </c>
      <c r="C886">
        <v>19</v>
      </c>
      <c r="D886">
        <v>8.6999999999999994E-2</v>
      </c>
      <c r="E886">
        <v>363.61079999999998</v>
      </c>
      <c r="F886">
        <v>25.599</v>
      </c>
      <c r="G886">
        <v>134.73150000000001</v>
      </c>
      <c r="H886">
        <v>1.6547000000000001</v>
      </c>
    </row>
    <row r="887" spans="1:8" x14ac:dyDescent="0.15">
      <c r="A887" t="s">
        <v>15</v>
      </c>
      <c r="B887">
        <v>2510</v>
      </c>
      <c r="C887">
        <v>19</v>
      </c>
      <c r="D887">
        <v>8.7400000000000005E-2</v>
      </c>
      <c r="E887">
        <v>362.02910000000003</v>
      </c>
      <c r="F887">
        <v>25.488</v>
      </c>
      <c r="G887">
        <v>134.1455</v>
      </c>
      <c r="H887">
        <v>1.6607000000000001</v>
      </c>
    </row>
    <row r="888" spans="1:8" x14ac:dyDescent="0.15">
      <c r="A888" t="s">
        <v>15</v>
      </c>
      <c r="B888">
        <v>2510</v>
      </c>
      <c r="C888">
        <v>19</v>
      </c>
      <c r="D888">
        <v>8.7400000000000005E-2</v>
      </c>
      <c r="E888">
        <v>361.9753</v>
      </c>
      <c r="F888">
        <v>25.484000000000002</v>
      </c>
      <c r="G888">
        <v>134.12549999999999</v>
      </c>
      <c r="H888">
        <v>1.6617</v>
      </c>
    </row>
    <row r="889" spans="1:8" x14ac:dyDescent="0.15">
      <c r="A889" t="s">
        <v>15</v>
      </c>
      <c r="B889">
        <v>2510</v>
      </c>
      <c r="C889">
        <v>19</v>
      </c>
      <c r="D889">
        <v>8.6999999999999994E-2</v>
      </c>
      <c r="E889">
        <v>363.45620000000002</v>
      </c>
      <c r="F889">
        <v>25.588000000000001</v>
      </c>
      <c r="G889">
        <v>134.67429999999999</v>
      </c>
      <c r="H889">
        <v>1.6556999999999999</v>
      </c>
    </row>
    <row r="890" spans="1:8" x14ac:dyDescent="0.15">
      <c r="A890" t="s">
        <v>15</v>
      </c>
      <c r="B890">
        <v>2510</v>
      </c>
      <c r="C890">
        <v>19</v>
      </c>
      <c r="D890">
        <v>8.7300000000000003E-2</v>
      </c>
      <c r="E890">
        <v>362.18669999999997</v>
      </c>
      <c r="F890">
        <v>25.498999999999999</v>
      </c>
      <c r="G890">
        <v>134.2039</v>
      </c>
      <c r="H890">
        <v>1.6607000000000001</v>
      </c>
    </row>
    <row r="891" spans="1:8" x14ac:dyDescent="0.15">
      <c r="A891" t="s">
        <v>15</v>
      </c>
      <c r="B891">
        <v>2510</v>
      </c>
      <c r="C891">
        <v>19</v>
      </c>
      <c r="D891">
        <v>8.7400000000000005E-2</v>
      </c>
      <c r="E891">
        <v>361.96699999999998</v>
      </c>
      <c r="F891">
        <v>25.483000000000001</v>
      </c>
      <c r="G891">
        <v>134.1224</v>
      </c>
      <c r="H891">
        <v>1.6617</v>
      </c>
    </row>
    <row r="892" spans="1:8" x14ac:dyDescent="0.15">
      <c r="A892" t="s">
        <v>15</v>
      </c>
      <c r="B892">
        <v>2510</v>
      </c>
      <c r="C892">
        <v>19</v>
      </c>
      <c r="D892">
        <v>8.7099999999999997E-2</v>
      </c>
      <c r="E892">
        <v>363.0265</v>
      </c>
      <c r="F892">
        <v>25.558</v>
      </c>
      <c r="G892">
        <v>134.51499999999999</v>
      </c>
      <c r="H892">
        <v>1.6567000000000001</v>
      </c>
    </row>
    <row r="893" spans="1:8" x14ac:dyDescent="0.15">
      <c r="A893" t="s">
        <v>15</v>
      </c>
      <c r="B893">
        <v>2510</v>
      </c>
      <c r="C893">
        <v>19</v>
      </c>
      <c r="D893">
        <v>8.7400000000000005E-2</v>
      </c>
      <c r="E893">
        <v>361.85520000000002</v>
      </c>
      <c r="F893">
        <v>25.475000000000001</v>
      </c>
      <c r="G893">
        <v>134.08099999999999</v>
      </c>
      <c r="H893">
        <v>1.6627000000000001</v>
      </c>
    </row>
    <row r="894" spans="1:8" x14ac:dyDescent="0.15">
      <c r="A894" t="s">
        <v>15</v>
      </c>
      <c r="B894">
        <v>2510</v>
      </c>
      <c r="C894">
        <v>19</v>
      </c>
      <c r="D894">
        <v>8.7400000000000005E-2</v>
      </c>
      <c r="E894">
        <v>361.72269999999997</v>
      </c>
      <c r="F894">
        <v>25.466000000000001</v>
      </c>
      <c r="G894">
        <v>134.03190000000001</v>
      </c>
      <c r="H894">
        <v>1.6617</v>
      </c>
    </row>
    <row r="895" spans="1:8" x14ac:dyDescent="0.15">
      <c r="A895" t="s">
        <v>15</v>
      </c>
      <c r="B895">
        <v>2510</v>
      </c>
      <c r="C895">
        <v>19</v>
      </c>
      <c r="D895">
        <v>8.7400000000000005E-2</v>
      </c>
      <c r="E895">
        <v>362.05399999999997</v>
      </c>
      <c r="F895">
        <v>25.489000000000001</v>
      </c>
      <c r="G895">
        <v>134.15469999999999</v>
      </c>
      <c r="H895">
        <v>1.6607000000000001</v>
      </c>
    </row>
    <row r="896" spans="1:8" x14ac:dyDescent="0.15">
      <c r="A896" t="s">
        <v>15</v>
      </c>
      <c r="B896">
        <v>2510</v>
      </c>
      <c r="C896">
        <v>19</v>
      </c>
      <c r="D896">
        <v>8.7099999999999997E-2</v>
      </c>
      <c r="E896">
        <v>362.94729999999998</v>
      </c>
      <c r="F896">
        <v>25.552</v>
      </c>
      <c r="G896">
        <v>134.48570000000001</v>
      </c>
      <c r="H896">
        <v>1.6557999999999999</v>
      </c>
    </row>
    <row r="897" spans="1:8" x14ac:dyDescent="0.15">
      <c r="A897" t="s">
        <v>15</v>
      </c>
      <c r="B897">
        <v>2510</v>
      </c>
      <c r="C897">
        <v>19</v>
      </c>
      <c r="D897">
        <v>8.7400000000000005E-2</v>
      </c>
      <c r="E897">
        <v>361.9545</v>
      </c>
      <c r="F897">
        <v>25.481999999999999</v>
      </c>
      <c r="G897">
        <v>134.11789999999999</v>
      </c>
      <c r="H897">
        <v>1.6617</v>
      </c>
    </row>
    <row r="898" spans="1:8" x14ac:dyDescent="0.15">
      <c r="A898" t="s">
        <v>15</v>
      </c>
      <c r="B898">
        <v>2510</v>
      </c>
      <c r="C898">
        <v>19</v>
      </c>
      <c r="D898">
        <v>8.7400000000000005E-2</v>
      </c>
      <c r="E898">
        <v>361.89240000000001</v>
      </c>
      <c r="F898">
        <v>25.478000000000002</v>
      </c>
      <c r="G898">
        <v>134.09479999999999</v>
      </c>
      <c r="H898">
        <v>1.6617</v>
      </c>
    </row>
    <row r="899" spans="1:8" x14ac:dyDescent="0.15">
      <c r="A899" t="s">
        <v>15</v>
      </c>
      <c r="B899">
        <v>2510</v>
      </c>
      <c r="C899">
        <v>19</v>
      </c>
      <c r="D899">
        <v>8.7099999999999997E-2</v>
      </c>
      <c r="E899">
        <v>363.11399999999998</v>
      </c>
      <c r="F899">
        <v>25.564</v>
      </c>
      <c r="G899">
        <v>134.54750000000001</v>
      </c>
      <c r="H899">
        <v>1.6567000000000001</v>
      </c>
    </row>
    <row r="900" spans="1:8" x14ac:dyDescent="0.15">
      <c r="A900" t="s">
        <v>15</v>
      </c>
      <c r="B900">
        <v>2510</v>
      </c>
      <c r="C900">
        <v>19</v>
      </c>
      <c r="D900">
        <v>8.7499999999999994E-2</v>
      </c>
      <c r="E900">
        <v>361.57380000000001</v>
      </c>
      <c r="F900">
        <v>25.456</v>
      </c>
      <c r="G900">
        <v>133.9768</v>
      </c>
      <c r="H900">
        <v>1.6637</v>
      </c>
    </row>
    <row r="901" spans="1:8" x14ac:dyDescent="0.15">
      <c r="A901" t="s">
        <v>15</v>
      </c>
      <c r="B901">
        <v>2510</v>
      </c>
      <c r="C901">
        <v>19</v>
      </c>
      <c r="D901">
        <v>8.7300000000000003E-2</v>
      </c>
      <c r="E901">
        <v>362.15350000000001</v>
      </c>
      <c r="F901">
        <v>25.495999999999999</v>
      </c>
      <c r="G901">
        <v>134.19159999999999</v>
      </c>
      <c r="H901">
        <v>1.6607000000000001</v>
      </c>
    </row>
    <row r="902" spans="1:8" x14ac:dyDescent="0.15">
      <c r="A902" t="s">
        <v>15</v>
      </c>
      <c r="B902">
        <v>2510</v>
      </c>
      <c r="C902">
        <v>19</v>
      </c>
      <c r="D902">
        <v>8.7300000000000003E-2</v>
      </c>
      <c r="E902">
        <v>362.41489999999999</v>
      </c>
      <c r="F902">
        <v>25.515000000000001</v>
      </c>
      <c r="G902">
        <v>134.2884</v>
      </c>
      <c r="H902">
        <v>1.6597</v>
      </c>
    </row>
    <row r="903" spans="1:8" x14ac:dyDescent="0.15">
      <c r="A903" t="s">
        <v>15</v>
      </c>
      <c r="B903">
        <v>2510</v>
      </c>
      <c r="C903">
        <v>19</v>
      </c>
      <c r="D903">
        <v>8.7400000000000005E-2</v>
      </c>
      <c r="E903">
        <v>362.03739999999999</v>
      </c>
      <c r="F903">
        <v>25.488</v>
      </c>
      <c r="G903">
        <v>134.14859999999999</v>
      </c>
      <c r="H903">
        <v>1.6617</v>
      </c>
    </row>
    <row r="904" spans="1:8" x14ac:dyDescent="0.15">
      <c r="A904" t="s">
        <v>15</v>
      </c>
      <c r="B904">
        <v>2510</v>
      </c>
      <c r="C904">
        <v>19</v>
      </c>
      <c r="D904">
        <v>8.7400000000000005E-2</v>
      </c>
      <c r="E904">
        <v>361.83030000000002</v>
      </c>
      <c r="F904">
        <v>25.474</v>
      </c>
      <c r="G904">
        <v>134.0718</v>
      </c>
      <c r="H904">
        <v>1.6617</v>
      </c>
    </row>
    <row r="905" spans="1:8" x14ac:dyDescent="0.15">
      <c r="A905" t="s">
        <v>15</v>
      </c>
      <c r="B905">
        <v>2510</v>
      </c>
      <c r="C905">
        <v>19</v>
      </c>
      <c r="D905">
        <v>8.7300000000000003E-2</v>
      </c>
      <c r="E905">
        <v>362.2987</v>
      </c>
      <c r="F905">
        <v>25.507000000000001</v>
      </c>
      <c r="G905">
        <v>134.24539999999999</v>
      </c>
      <c r="H905">
        <v>1.6597</v>
      </c>
    </row>
    <row r="906" spans="1:8" x14ac:dyDescent="0.15">
      <c r="A906" t="s">
        <v>15</v>
      </c>
      <c r="B906">
        <v>2510</v>
      </c>
      <c r="C906">
        <v>19</v>
      </c>
      <c r="D906">
        <v>8.7099999999999997E-2</v>
      </c>
      <c r="E906">
        <v>362.97230000000002</v>
      </c>
      <c r="F906">
        <v>25.553999999999998</v>
      </c>
      <c r="G906">
        <v>134.495</v>
      </c>
      <c r="H906">
        <v>1.6567000000000001</v>
      </c>
    </row>
    <row r="907" spans="1:8" x14ac:dyDescent="0.15">
      <c r="A907" t="s">
        <v>15</v>
      </c>
      <c r="B907">
        <v>2510</v>
      </c>
      <c r="C907">
        <v>19</v>
      </c>
      <c r="D907">
        <v>8.7400000000000005E-2</v>
      </c>
      <c r="E907">
        <v>361.86759999999998</v>
      </c>
      <c r="F907">
        <v>25.475999999999999</v>
      </c>
      <c r="G907">
        <v>134.0856</v>
      </c>
      <c r="H907">
        <v>1.6456999999999999</v>
      </c>
    </row>
    <row r="908" spans="1:8" x14ac:dyDescent="0.15">
      <c r="A908" t="s">
        <v>15</v>
      </c>
      <c r="B908">
        <v>2510</v>
      </c>
      <c r="C908">
        <v>19</v>
      </c>
      <c r="D908">
        <v>8.7300000000000003E-2</v>
      </c>
      <c r="E908">
        <v>362.12860000000001</v>
      </c>
      <c r="F908">
        <v>25.495000000000001</v>
      </c>
      <c r="G908">
        <v>134.1824</v>
      </c>
      <c r="H908">
        <v>1.6617</v>
      </c>
    </row>
    <row r="909" spans="1:8" x14ac:dyDescent="0.15">
      <c r="A909" t="s">
        <v>15</v>
      </c>
      <c r="B909">
        <v>2510</v>
      </c>
      <c r="C909">
        <v>19</v>
      </c>
      <c r="D909">
        <v>8.7099999999999997E-2</v>
      </c>
      <c r="E909">
        <v>363.15570000000002</v>
      </c>
      <c r="F909">
        <v>25.567</v>
      </c>
      <c r="G909">
        <v>134.56290000000001</v>
      </c>
      <c r="H909">
        <v>1.6657</v>
      </c>
    </row>
    <row r="910" spans="1:8" x14ac:dyDescent="0.15">
      <c r="A910" t="s">
        <v>15</v>
      </c>
      <c r="B910">
        <v>2510</v>
      </c>
      <c r="C910">
        <v>19</v>
      </c>
      <c r="D910">
        <v>8.7499999999999994E-2</v>
      </c>
      <c r="E910">
        <v>361.64830000000001</v>
      </c>
      <c r="F910">
        <v>25.460999999999999</v>
      </c>
      <c r="G910">
        <v>134.0044</v>
      </c>
      <c r="H910">
        <v>1.6647000000000001</v>
      </c>
    </row>
    <row r="911" spans="1:8" x14ac:dyDescent="0.15">
      <c r="A911" t="s">
        <v>15</v>
      </c>
      <c r="B911">
        <v>2510</v>
      </c>
      <c r="C911">
        <v>19</v>
      </c>
      <c r="D911">
        <v>8.7400000000000005E-2</v>
      </c>
      <c r="E911">
        <v>361.78480000000002</v>
      </c>
      <c r="F911">
        <v>25.47</v>
      </c>
      <c r="G911">
        <v>134.0549</v>
      </c>
      <c r="H911">
        <v>1.6627000000000001</v>
      </c>
    </row>
    <row r="912" spans="1:8" x14ac:dyDescent="0.15">
      <c r="A912" t="s">
        <v>15</v>
      </c>
      <c r="B912">
        <v>2510</v>
      </c>
      <c r="C912">
        <v>19</v>
      </c>
      <c r="D912">
        <v>8.72E-2</v>
      </c>
      <c r="E912">
        <v>362.88069999999999</v>
      </c>
      <c r="F912">
        <v>25.547999999999998</v>
      </c>
      <c r="G912">
        <v>134.46100000000001</v>
      </c>
      <c r="H912">
        <v>1.6577999999999999</v>
      </c>
    </row>
    <row r="913" spans="1:8" x14ac:dyDescent="0.15">
      <c r="A913" t="s">
        <v>15</v>
      </c>
      <c r="B913">
        <v>2510</v>
      </c>
      <c r="C913">
        <v>19</v>
      </c>
      <c r="D913">
        <v>8.7400000000000005E-2</v>
      </c>
      <c r="E913">
        <v>361.84690000000001</v>
      </c>
      <c r="F913">
        <v>25.475000000000001</v>
      </c>
      <c r="G913">
        <v>134.078</v>
      </c>
      <c r="H913">
        <v>1.6627000000000001</v>
      </c>
    </row>
    <row r="914" spans="1:8" x14ac:dyDescent="0.15">
      <c r="A914" t="s">
        <v>15</v>
      </c>
      <c r="B914">
        <v>2510</v>
      </c>
      <c r="C914">
        <v>19</v>
      </c>
      <c r="D914">
        <v>8.7400000000000005E-2</v>
      </c>
      <c r="E914">
        <v>361.88</v>
      </c>
      <c r="F914">
        <v>25.477</v>
      </c>
      <c r="G914">
        <v>134.09020000000001</v>
      </c>
      <c r="H914">
        <v>1.6617999999999999</v>
      </c>
    </row>
    <row r="915" spans="1:8" x14ac:dyDescent="0.15">
      <c r="A915" t="s">
        <v>15</v>
      </c>
      <c r="B915">
        <v>2510</v>
      </c>
      <c r="C915">
        <v>19</v>
      </c>
      <c r="D915">
        <v>8.7400000000000005E-2</v>
      </c>
      <c r="E915">
        <v>361.9545</v>
      </c>
      <c r="F915">
        <v>25.481999999999999</v>
      </c>
      <c r="G915">
        <v>134.11789999999999</v>
      </c>
      <c r="H915">
        <v>1.6617</v>
      </c>
    </row>
    <row r="916" spans="1:8" x14ac:dyDescent="0.15">
      <c r="A916" t="s">
        <v>15</v>
      </c>
      <c r="B916">
        <v>2510</v>
      </c>
      <c r="C916">
        <v>19</v>
      </c>
      <c r="D916">
        <v>8.7099999999999997E-2</v>
      </c>
      <c r="E916">
        <v>362.9556</v>
      </c>
      <c r="F916">
        <v>25.553000000000001</v>
      </c>
      <c r="G916">
        <v>134.4888</v>
      </c>
      <c r="H916">
        <v>1.6577999999999999</v>
      </c>
    </row>
    <row r="917" spans="1:8" x14ac:dyDescent="0.15">
      <c r="A917" t="s">
        <v>15</v>
      </c>
      <c r="B917">
        <v>2510</v>
      </c>
      <c r="C917">
        <v>19</v>
      </c>
      <c r="D917">
        <v>8.7499999999999994E-2</v>
      </c>
      <c r="E917">
        <v>361.59449999999998</v>
      </c>
      <c r="F917">
        <v>25.457000000000001</v>
      </c>
      <c r="G917">
        <v>133.98439999999999</v>
      </c>
      <c r="H917">
        <v>1.6627000000000001</v>
      </c>
    </row>
    <row r="918" spans="1:8" x14ac:dyDescent="0.15">
      <c r="A918" t="s">
        <v>15</v>
      </c>
      <c r="B918">
        <v>2510</v>
      </c>
      <c r="C918">
        <v>19</v>
      </c>
      <c r="D918">
        <v>8.7300000000000003E-2</v>
      </c>
      <c r="E918">
        <v>362.11619999999999</v>
      </c>
      <c r="F918">
        <v>25.494</v>
      </c>
      <c r="G918">
        <v>134.17769999999999</v>
      </c>
      <c r="H918">
        <v>1.6617999999999999</v>
      </c>
    </row>
    <row r="919" spans="1:8" x14ac:dyDescent="0.15">
      <c r="A919" t="s">
        <v>15</v>
      </c>
      <c r="B919">
        <v>2510</v>
      </c>
      <c r="C919">
        <v>19</v>
      </c>
      <c r="D919">
        <v>8.7099999999999997E-2</v>
      </c>
      <c r="E919">
        <v>363.18490000000003</v>
      </c>
      <c r="F919">
        <v>25.568999999999999</v>
      </c>
      <c r="G919">
        <v>134.5737</v>
      </c>
      <c r="H919">
        <v>1.6556999999999999</v>
      </c>
    </row>
    <row r="920" spans="1:8" x14ac:dyDescent="0.15">
      <c r="A920" t="s">
        <v>15</v>
      </c>
      <c r="B920">
        <v>2510</v>
      </c>
      <c r="C920">
        <v>19</v>
      </c>
      <c r="D920">
        <v>8.7400000000000005E-2</v>
      </c>
      <c r="E920">
        <v>361.73099999999999</v>
      </c>
      <c r="F920">
        <v>25.466999999999999</v>
      </c>
      <c r="G920">
        <v>134.035</v>
      </c>
      <c r="H920">
        <v>1.6637</v>
      </c>
    </row>
    <row r="921" spans="1:8" x14ac:dyDescent="0.15">
      <c r="A921" t="s">
        <v>15</v>
      </c>
      <c r="B921">
        <v>2510</v>
      </c>
      <c r="C921">
        <v>19</v>
      </c>
      <c r="D921">
        <v>8.7400000000000005E-2</v>
      </c>
      <c r="E921">
        <v>361.68959999999998</v>
      </c>
      <c r="F921">
        <v>25.463999999999999</v>
      </c>
      <c r="G921">
        <v>134.0197</v>
      </c>
      <c r="H921">
        <v>1.6627000000000001</v>
      </c>
    </row>
    <row r="922" spans="1:8" x14ac:dyDescent="0.15">
      <c r="A922" t="s">
        <v>15</v>
      </c>
      <c r="B922">
        <v>2510</v>
      </c>
      <c r="C922">
        <v>19</v>
      </c>
      <c r="D922">
        <v>8.72E-2</v>
      </c>
      <c r="E922">
        <v>362.79329999999999</v>
      </c>
      <c r="F922">
        <v>25.541</v>
      </c>
      <c r="G922">
        <v>134.42859999999999</v>
      </c>
      <c r="H922">
        <v>1.6577999999999999</v>
      </c>
    </row>
    <row r="923" spans="1:8" x14ac:dyDescent="0.15">
      <c r="A923" t="s">
        <v>15</v>
      </c>
      <c r="B923">
        <v>2510</v>
      </c>
      <c r="C923">
        <v>19</v>
      </c>
      <c r="D923">
        <v>8.7499999999999994E-2</v>
      </c>
      <c r="E923">
        <v>361.43329999999997</v>
      </c>
      <c r="F923">
        <v>25.446000000000002</v>
      </c>
      <c r="G923">
        <v>133.9247</v>
      </c>
      <c r="H923">
        <v>1.6647000000000001</v>
      </c>
    </row>
    <row r="924" spans="1:8" x14ac:dyDescent="0.15">
      <c r="A924" t="s">
        <v>15</v>
      </c>
      <c r="B924">
        <v>2510</v>
      </c>
      <c r="C924">
        <v>19</v>
      </c>
      <c r="D924">
        <v>8.7300000000000003E-2</v>
      </c>
      <c r="E924">
        <v>362.32769999999999</v>
      </c>
      <c r="F924">
        <v>25.509</v>
      </c>
      <c r="G924">
        <v>134.2561</v>
      </c>
      <c r="H924">
        <v>1.6597</v>
      </c>
    </row>
    <row r="925" spans="1:8" x14ac:dyDescent="0.15">
      <c r="A925" t="s">
        <v>15</v>
      </c>
      <c r="B925">
        <v>2510</v>
      </c>
      <c r="C925">
        <v>19</v>
      </c>
      <c r="D925">
        <v>8.77E-2</v>
      </c>
      <c r="E925">
        <v>360.6626</v>
      </c>
      <c r="F925">
        <v>25.390999999999998</v>
      </c>
      <c r="G925">
        <v>133.63910000000001</v>
      </c>
      <c r="H925">
        <v>1.6677</v>
      </c>
    </row>
    <row r="926" spans="1:8" x14ac:dyDescent="0.15">
      <c r="A926" t="s">
        <v>15</v>
      </c>
      <c r="B926">
        <v>2510</v>
      </c>
      <c r="C926">
        <v>19</v>
      </c>
      <c r="D926">
        <v>8.72E-2</v>
      </c>
      <c r="E926">
        <v>362.6352</v>
      </c>
      <c r="F926">
        <v>25.53</v>
      </c>
      <c r="G926">
        <v>134.37</v>
      </c>
      <c r="H926">
        <v>1.6587000000000001</v>
      </c>
    </row>
    <row r="927" spans="1:8" x14ac:dyDescent="0.15">
      <c r="A927" t="s">
        <v>15</v>
      </c>
      <c r="B927">
        <v>2510</v>
      </c>
      <c r="C927">
        <v>19</v>
      </c>
      <c r="D927">
        <v>8.7499999999999994E-2</v>
      </c>
      <c r="E927">
        <v>361.62759999999997</v>
      </c>
      <c r="F927">
        <v>25.459</v>
      </c>
      <c r="G927">
        <v>133.9967</v>
      </c>
      <c r="H927">
        <v>1.6637</v>
      </c>
    </row>
    <row r="928" spans="1:8" x14ac:dyDescent="0.15">
      <c r="A928" t="s">
        <v>15</v>
      </c>
      <c r="B928">
        <v>2510</v>
      </c>
      <c r="C928">
        <v>19</v>
      </c>
      <c r="D928">
        <v>8.7400000000000005E-2</v>
      </c>
      <c r="E928">
        <v>361.81790000000001</v>
      </c>
      <c r="F928">
        <v>25.472999999999999</v>
      </c>
      <c r="G928">
        <v>134.06720000000001</v>
      </c>
      <c r="H928">
        <v>1.6617</v>
      </c>
    </row>
    <row r="929" spans="1:8" x14ac:dyDescent="0.15">
      <c r="A929" t="s">
        <v>15</v>
      </c>
      <c r="B929">
        <v>2510</v>
      </c>
      <c r="C929">
        <v>19</v>
      </c>
      <c r="D929">
        <v>8.72E-2</v>
      </c>
      <c r="E929">
        <v>362.76</v>
      </c>
      <c r="F929">
        <v>25.539000000000001</v>
      </c>
      <c r="G929">
        <v>134.41630000000001</v>
      </c>
      <c r="H929">
        <v>1.6577999999999999</v>
      </c>
    </row>
    <row r="930" spans="1:8" x14ac:dyDescent="0.15">
      <c r="A930" t="s">
        <v>15</v>
      </c>
      <c r="B930">
        <v>2510</v>
      </c>
      <c r="C930">
        <v>19</v>
      </c>
      <c r="D930">
        <v>8.7400000000000005E-2</v>
      </c>
      <c r="E930">
        <v>361.90480000000002</v>
      </c>
      <c r="F930">
        <v>25.478999999999999</v>
      </c>
      <c r="G930">
        <v>134.0994</v>
      </c>
      <c r="H930">
        <v>1.6617</v>
      </c>
    </row>
    <row r="931" spans="1:8" x14ac:dyDescent="0.15">
      <c r="A931" t="s">
        <v>15</v>
      </c>
      <c r="B931">
        <v>2510</v>
      </c>
      <c r="C931">
        <v>19</v>
      </c>
      <c r="D931">
        <v>8.7400000000000005E-2</v>
      </c>
      <c r="E931">
        <v>361.95870000000002</v>
      </c>
      <c r="F931">
        <v>25.483000000000001</v>
      </c>
      <c r="G931">
        <v>134.11940000000001</v>
      </c>
      <c r="H931">
        <v>1.6617999999999999</v>
      </c>
    </row>
    <row r="932" spans="1:8" x14ac:dyDescent="0.15">
      <c r="A932" t="s">
        <v>15</v>
      </c>
      <c r="B932">
        <v>2510</v>
      </c>
      <c r="C932">
        <v>20</v>
      </c>
      <c r="D932">
        <v>8.0399999999999999E-2</v>
      </c>
      <c r="E932">
        <v>393.41829999999999</v>
      </c>
      <c r="F932">
        <v>27.698</v>
      </c>
      <c r="G932">
        <v>138.48750000000001</v>
      </c>
      <c r="H932">
        <v>1.5988</v>
      </c>
    </row>
    <row r="933" spans="1:8" x14ac:dyDescent="0.15">
      <c r="A933" t="s">
        <v>15</v>
      </c>
      <c r="B933">
        <v>2510</v>
      </c>
      <c r="C933">
        <v>20</v>
      </c>
      <c r="D933">
        <v>7.9000000000000001E-2</v>
      </c>
      <c r="E933">
        <v>400.2645</v>
      </c>
      <c r="F933">
        <v>28.178999999999998</v>
      </c>
      <c r="G933">
        <v>140.89750000000001</v>
      </c>
      <c r="H933">
        <v>1.5708</v>
      </c>
    </row>
    <row r="934" spans="1:8" x14ac:dyDescent="0.15">
      <c r="A934" t="s">
        <v>15</v>
      </c>
      <c r="B934">
        <v>2510</v>
      </c>
      <c r="C934">
        <v>20</v>
      </c>
      <c r="D934">
        <v>7.9100000000000004E-2</v>
      </c>
      <c r="E934">
        <v>399.82429999999999</v>
      </c>
      <c r="F934">
        <v>28.149000000000001</v>
      </c>
      <c r="G934">
        <v>140.74250000000001</v>
      </c>
      <c r="H934">
        <v>1.5808</v>
      </c>
    </row>
    <row r="935" spans="1:8" x14ac:dyDescent="0.15">
      <c r="A935" t="s">
        <v>15</v>
      </c>
      <c r="B935">
        <v>2510</v>
      </c>
      <c r="C935">
        <v>20</v>
      </c>
      <c r="D935">
        <v>7.8600000000000003E-2</v>
      </c>
      <c r="E935">
        <v>402.4547</v>
      </c>
      <c r="F935">
        <v>28.334</v>
      </c>
      <c r="G935">
        <v>141.66849999999999</v>
      </c>
      <c r="H935">
        <v>1.5868</v>
      </c>
    </row>
    <row r="936" spans="1:8" x14ac:dyDescent="0.15">
      <c r="A936" t="s">
        <v>15</v>
      </c>
      <c r="B936">
        <v>2510</v>
      </c>
      <c r="C936">
        <v>20</v>
      </c>
      <c r="D936">
        <v>7.9100000000000004E-2</v>
      </c>
      <c r="E936">
        <v>399.60199999999998</v>
      </c>
      <c r="F936">
        <v>28.132999999999999</v>
      </c>
      <c r="G936">
        <v>140.6643</v>
      </c>
      <c r="H936">
        <v>1.5848</v>
      </c>
    </row>
    <row r="937" spans="1:8" x14ac:dyDescent="0.15">
      <c r="A937" t="s">
        <v>15</v>
      </c>
      <c r="B937">
        <v>2510</v>
      </c>
      <c r="C937">
        <v>20</v>
      </c>
      <c r="D937">
        <v>7.9000000000000001E-2</v>
      </c>
      <c r="E937">
        <v>400.54840000000002</v>
      </c>
      <c r="F937">
        <v>28.199000000000002</v>
      </c>
      <c r="G937">
        <v>140.9974</v>
      </c>
      <c r="H937">
        <v>1.5808</v>
      </c>
    </row>
    <row r="938" spans="1:8" x14ac:dyDescent="0.15">
      <c r="A938" t="s">
        <v>15</v>
      </c>
      <c r="B938">
        <v>2510</v>
      </c>
      <c r="C938">
        <v>20</v>
      </c>
      <c r="D938">
        <v>7.7600000000000002E-2</v>
      </c>
      <c r="E938">
        <v>407.43200000000002</v>
      </c>
      <c r="F938">
        <v>28.684000000000001</v>
      </c>
      <c r="G938">
        <v>143.4205</v>
      </c>
      <c r="H938">
        <v>1.5538000000000001</v>
      </c>
    </row>
    <row r="939" spans="1:8" x14ac:dyDescent="0.15">
      <c r="A939" t="s">
        <v>15</v>
      </c>
      <c r="B939">
        <v>2510</v>
      </c>
      <c r="C939">
        <v>20</v>
      </c>
      <c r="D939">
        <v>7.7799999999999994E-2</v>
      </c>
      <c r="E939">
        <v>406.31709999999998</v>
      </c>
      <c r="F939">
        <v>28.606000000000002</v>
      </c>
      <c r="G939">
        <v>143.02809999999999</v>
      </c>
      <c r="H939">
        <v>1.5588</v>
      </c>
    </row>
    <row r="940" spans="1:8" x14ac:dyDescent="0.15">
      <c r="A940" t="s">
        <v>15</v>
      </c>
      <c r="B940">
        <v>2510</v>
      </c>
      <c r="C940">
        <v>20</v>
      </c>
      <c r="D940">
        <v>7.9100000000000004E-2</v>
      </c>
      <c r="E940">
        <v>399.84960000000001</v>
      </c>
      <c r="F940">
        <v>28.15</v>
      </c>
      <c r="G940">
        <v>140.75139999999999</v>
      </c>
      <c r="H940">
        <v>1.5838000000000001</v>
      </c>
    </row>
    <row r="941" spans="1:8" x14ac:dyDescent="0.15">
      <c r="A941" t="s">
        <v>15</v>
      </c>
      <c r="B941">
        <v>2510</v>
      </c>
      <c r="C941">
        <v>20</v>
      </c>
      <c r="D941">
        <v>7.9299999999999995E-2</v>
      </c>
      <c r="E941">
        <v>398.90140000000002</v>
      </c>
      <c r="F941">
        <v>28.084</v>
      </c>
      <c r="G941">
        <v>140.4177</v>
      </c>
      <c r="H941">
        <v>1.5868</v>
      </c>
    </row>
    <row r="942" spans="1:8" x14ac:dyDescent="0.15">
      <c r="A942" t="s">
        <v>15</v>
      </c>
      <c r="B942">
        <v>2510</v>
      </c>
      <c r="C942">
        <v>20</v>
      </c>
      <c r="D942">
        <v>7.9500000000000001E-2</v>
      </c>
      <c r="E942">
        <v>397.65260000000001</v>
      </c>
      <c r="F942">
        <v>27.995999999999999</v>
      </c>
      <c r="G942">
        <v>139.97800000000001</v>
      </c>
      <c r="H942">
        <v>1.5918000000000001</v>
      </c>
    </row>
    <row r="943" spans="1:8" x14ac:dyDescent="0.15">
      <c r="A943" t="s">
        <v>15</v>
      </c>
      <c r="B943">
        <v>2510</v>
      </c>
      <c r="C943">
        <v>20</v>
      </c>
      <c r="D943">
        <v>7.7700000000000005E-2</v>
      </c>
      <c r="E943">
        <v>407.0754</v>
      </c>
      <c r="F943">
        <v>28.658999999999999</v>
      </c>
      <c r="G943">
        <v>143.29499999999999</v>
      </c>
      <c r="H943">
        <v>1.5558000000000001</v>
      </c>
    </row>
    <row r="944" spans="1:8" x14ac:dyDescent="0.15">
      <c r="A944" t="s">
        <v>15</v>
      </c>
      <c r="B944">
        <v>2510</v>
      </c>
      <c r="C944">
        <v>20</v>
      </c>
      <c r="D944">
        <v>7.7899999999999997E-2</v>
      </c>
      <c r="E944">
        <v>406.20749999999998</v>
      </c>
      <c r="F944">
        <v>28.597999999999999</v>
      </c>
      <c r="G944">
        <v>142.98949999999999</v>
      </c>
      <c r="H944">
        <v>1.5588</v>
      </c>
    </row>
    <row r="945" spans="1:8" x14ac:dyDescent="0.15">
      <c r="A945" t="s">
        <v>15</v>
      </c>
      <c r="B945">
        <v>2510</v>
      </c>
      <c r="C945">
        <v>20</v>
      </c>
      <c r="D945">
        <v>7.7700000000000005E-2</v>
      </c>
      <c r="E945">
        <v>407.16449999999998</v>
      </c>
      <c r="F945">
        <v>28.664999999999999</v>
      </c>
      <c r="G945">
        <v>143.32640000000001</v>
      </c>
      <c r="H945">
        <v>1.5548</v>
      </c>
    </row>
    <row r="946" spans="1:8" x14ac:dyDescent="0.15">
      <c r="A946" t="s">
        <v>15</v>
      </c>
      <c r="B946">
        <v>2510</v>
      </c>
      <c r="C946">
        <v>20</v>
      </c>
      <c r="D946">
        <v>7.9100000000000004E-2</v>
      </c>
      <c r="E946">
        <v>400.01650000000001</v>
      </c>
      <c r="F946">
        <v>28.161999999999999</v>
      </c>
      <c r="G946">
        <v>140.81020000000001</v>
      </c>
      <c r="H946">
        <v>1.5818000000000001</v>
      </c>
    </row>
    <row r="947" spans="1:8" x14ac:dyDescent="0.15">
      <c r="A947" t="s">
        <v>15</v>
      </c>
      <c r="B947">
        <v>2510</v>
      </c>
      <c r="C947">
        <v>20</v>
      </c>
      <c r="D947">
        <v>7.7899999999999997E-2</v>
      </c>
      <c r="E947">
        <v>406.15010000000001</v>
      </c>
      <c r="F947">
        <v>28.594000000000001</v>
      </c>
      <c r="G947">
        <v>142.9693</v>
      </c>
      <c r="H947">
        <v>1.5588</v>
      </c>
    </row>
    <row r="948" spans="1:8" x14ac:dyDescent="0.15">
      <c r="A948" t="s">
        <v>15</v>
      </c>
      <c r="B948">
        <v>2510</v>
      </c>
      <c r="C948">
        <v>20</v>
      </c>
      <c r="D948">
        <v>7.8799999999999995E-2</v>
      </c>
      <c r="E948">
        <v>401.32100000000003</v>
      </c>
      <c r="F948">
        <v>28.254000000000001</v>
      </c>
      <c r="G948">
        <v>141.26939999999999</v>
      </c>
      <c r="H948">
        <v>1.5768</v>
      </c>
    </row>
    <row r="949" spans="1:8" x14ac:dyDescent="0.15">
      <c r="A949" t="s">
        <v>15</v>
      </c>
      <c r="B949">
        <v>2510</v>
      </c>
      <c r="C949">
        <v>20</v>
      </c>
      <c r="D949">
        <v>7.8E-2</v>
      </c>
      <c r="E949">
        <v>405.58760000000001</v>
      </c>
      <c r="F949">
        <v>28.553999999999998</v>
      </c>
      <c r="G949">
        <v>142.7713</v>
      </c>
      <c r="H949">
        <v>1.5608</v>
      </c>
    </row>
    <row r="950" spans="1:8" x14ac:dyDescent="0.15">
      <c r="A950" t="s">
        <v>15</v>
      </c>
      <c r="B950">
        <v>2510</v>
      </c>
      <c r="C950">
        <v>20</v>
      </c>
      <c r="D950">
        <v>7.7899999999999997E-2</v>
      </c>
      <c r="E950">
        <v>405.7801</v>
      </c>
      <c r="F950">
        <v>28.568000000000001</v>
      </c>
      <c r="G950">
        <v>142.839</v>
      </c>
      <c r="H950">
        <v>1.5598000000000001</v>
      </c>
    </row>
    <row r="951" spans="1:8" x14ac:dyDescent="0.15">
      <c r="A951" t="s">
        <v>15</v>
      </c>
      <c r="B951">
        <v>2510</v>
      </c>
      <c r="C951">
        <v>20</v>
      </c>
      <c r="D951">
        <v>7.7600000000000002E-2</v>
      </c>
      <c r="E951">
        <v>407.72609999999997</v>
      </c>
      <c r="F951">
        <v>28.704999999999998</v>
      </c>
      <c r="G951">
        <v>143.5241</v>
      </c>
      <c r="H951">
        <v>1.5528</v>
      </c>
    </row>
    <row r="952" spans="1:8" x14ac:dyDescent="0.15">
      <c r="A952" t="s">
        <v>15</v>
      </c>
      <c r="B952">
        <v>2510</v>
      </c>
      <c r="C952">
        <v>20</v>
      </c>
      <c r="D952">
        <v>7.8200000000000006E-2</v>
      </c>
      <c r="E952">
        <v>404.63279999999997</v>
      </c>
      <c r="F952">
        <v>28.486999999999998</v>
      </c>
      <c r="G952">
        <v>142.43520000000001</v>
      </c>
      <c r="H952">
        <v>1.5648</v>
      </c>
    </row>
    <row r="953" spans="1:8" x14ac:dyDescent="0.15">
      <c r="A953" t="s">
        <v>15</v>
      </c>
      <c r="B953">
        <v>2510</v>
      </c>
      <c r="C953">
        <v>20</v>
      </c>
      <c r="D953">
        <v>7.8E-2</v>
      </c>
      <c r="E953">
        <v>405.31209999999999</v>
      </c>
      <c r="F953">
        <v>28.535</v>
      </c>
      <c r="G953">
        <v>142.67429999999999</v>
      </c>
      <c r="H953">
        <v>1.5628</v>
      </c>
    </row>
    <row r="954" spans="1:8" x14ac:dyDescent="0.15">
      <c r="A954" t="s">
        <v>15</v>
      </c>
      <c r="B954">
        <v>2510</v>
      </c>
      <c r="C954">
        <v>20</v>
      </c>
      <c r="D954">
        <v>7.7899999999999997E-2</v>
      </c>
      <c r="E954">
        <v>406.20749999999998</v>
      </c>
      <c r="F954">
        <v>28.597999999999999</v>
      </c>
      <c r="G954">
        <v>142.98949999999999</v>
      </c>
      <c r="H954">
        <v>1.5578000000000001</v>
      </c>
    </row>
    <row r="955" spans="1:8" x14ac:dyDescent="0.15">
      <c r="A955" t="s">
        <v>15</v>
      </c>
      <c r="B955">
        <v>2510</v>
      </c>
      <c r="C955">
        <v>20</v>
      </c>
      <c r="D955">
        <v>7.9100000000000004E-2</v>
      </c>
      <c r="E955">
        <v>399.69799999999998</v>
      </c>
      <c r="F955">
        <v>28.14</v>
      </c>
      <c r="G955">
        <v>140.69810000000001</v>
      </c>
      <c r="H955">
        <v>1.5838000000000001</v>
      </c>
    </row>
    <row r="956" spans="1:8" x14ac:dyDescent="0.15">
      <c r="A956" t="s">
        <v>15</v>
      </c>
      <c r="B956">
        <v>2510</v>
      </c>
      <c r="C956">
        <v>20</v>
      </c>
      <c r="D956">
        <v>7.8899999999999998E-2</v>
      </c>
      <c r="E956">
        <v>400.83780000000002</v>
      </c>
      <c r="F956">
        <v>28.22</v>
      </c>
      <c r="G956">
        <v>141.0993</v>
      </c>
      <c r="H956">
        <v>1.5798000000000001</v>
      </c>
    </row>
    <row r="957" spans="1:8" x14ac:dyDescent="0.15">
      <c r="A957" t="s">
        <v>15</v>
      </c>
      <c r="B957">
        <v>2510</v>
      </c>
      <c r="C957">
        <v>20</v>
      </c>
      <c r="D957">
        <v>7.7799999999999994E-2</v>
      </c>
      <c r="E957">
        <v>406.31709999999998</v>
      </c>
      <c r="F957">
        <v>28.606000000000002</v>
      </c>
      <c r="G957">
        <v>143.02809999999999</v>
      </c>
      <c r="H957">
        <v>1.5588</v>
      </c>
    </row>
    <row r="958" spans="1:8" x14ac:dyDescent="0.15">
      <c r="A958" t="s">
        <v>15</v>
      </c>
      <c r="B958">
        <v>2510</v>
      </c>
      <c r="C958">
        <v>20</v>
      </c>
      <c r="D958">
        <v>7.8200000000000006E-2</v>
      </c>
      <c r="E958">
        <v>404.29660000000001</v>
      </c>
      <c r="F958">
        <v>28.463000000000001</v>
      </c>
      <c r="G958">
        <v>142.3168</v>
      </c>
      <c r="H958">
        <v>1.5658000000000001</v>
      </c>
    </row>
    <row r="959" spans="1:8" x14ac:dyDescent="0.15">
      <c r="A959" t="s">
        <v>15</v>
      </c>
      <c r="B959">
        <v>2510</v>
      </c>
      <c r="C959">
        <v>20</v>
      </c>
      <c r="D959">
        <v>7.7600000000000002E-2</v>
      </c>
      <c r="E959">
        <v>407.80500000000001</v>
      </c>
      <c r="F959">
        <v>28.71</v>
      </c>
      <c r="G959">
        <v>143.55179999999999</v>
      </c>
      <c r="H959">
        <v>1.5527</v>
      </c>
    </row>
    <row r="960" spans="1:8" x14ac:dyDescent="0.15">
      <c r="A960" t="s">
        <v>15</v>
      </c>
      <c r="B960">
        <v>2510</v>
      </c>
      <c r="C960">
        <v>20</v>
      </c>
      <c r="D960">
        <v>7.9100000000000004E-2</v>
      </c>
      <c r="E960">
        <v>399.62729999999999</v>
      </c>
      <c r="F960">
        <v>28.135000000000002</v>
      </c>
      <c r="G960">
        <v>140.67320000000001</v>
      </c>
      <c r="H960">
        <v>1.5848</v>
      </c>
    </row>
    <row r="961" spans="1:8" x14ac:dyDescent="0.15">
      <c r="A961" t="s">
        <v>15</v>
      </c>
      <c r="B961">
        <v>2510</v>
      </c>
      <c r="C961">
        <v>20</v>
      </c>
      <c r="D961">
        <v>7.8E-2</v>
      </c>
      <c r="E961">
        <v>405.47320000000002</v>
      </c>
      <c r="F961">
        <v>28.545999999999999</v>
      </c>
      <c r="G961">
        <v>142.73099999999999</v>
      </c>
      <c r="H961">
        <v>1.5548</v>
      </c>
    </row>
    <row r="962" spans="1:8" x14ac:dyDescent="0.15">
      <c r="A962" t="s">
        <v>15</v>
      </c>
      <c r="B962">
        <v>2510</v>
      </c>
      <c r="C962">
        <v>20</v>
      </c>
      <c r="D962">
        <v>7.8799999999999995E-2</v>
      </c>
      <c r="E962">
        <v>401.5401</v>
      </c>
      <c r="F962">
        <v>28.268999999999998</v>
      </c>
      <c r="G962">
        <v>141.34649999999999</v>
      </c>
      <c r="H962">
        <v>1.5808</v>
      </c>
    </row>
    <row r="963" spans="1:8" x14ac:dyDescent="0.15">
      <c r="A963" t="s">
        <v>15</v>
      </c>
      <c r="B963">
        <v>2510</v>
      </c>
      <c r="C963">
        <v>20</v>
      </c>
      <c r="D963">
        <v>7.7899999999999997E-2</v>
      </c>
      <c r="E963">
        <v>405.9676</v>
      </c>
      <c r="F963">
        <v>28.581</v>
      </c>
      <c r="G963">
        <v>142.905</v>
      </c>
      <c r="H963">
        <v>1.5618000000000001</v>
      </c>
    </row>
    <row r="964" spans="1:8" x14ac:dyDescent="0.15">
      <c r="A964" t="s">
        <v>15</v>
      </c>
      <c r="B964">
        <v>2510</v>
      </c>
      <c r="C964">
        <v>20</v>
      </c>
      <c r="D964">
        <v>7.8799999999999995E-2</v>
      </c>
      <c r="E964">
        <v>401.42290000000003</v>
      </c>
      <c r="F964">
        <v>28.260999999999999</v>
      </c>
      <c r="G964">
        <v>141.30520000000001</v>
      </c>
      <c r="H964">
        <v>1.5768</v>
      </c>
    </row>
    <row r="965" spans="1:8" x14ac:dyDescent="0.15">
      <c r="A965" t="s">
        <v>15</v>
      </c>
      <c r="B965">
        <v>2510</v>
      </c>
      <c r="C965">
        <v>20</v>
      </c>
      <c r="D965">
        <v>7.7799999999999994E-2</v>
      </c>
      <c r="E965">
        <v>406.33800000000002</v>
      </c>
      <c r="F965">
        <v>28.606999999999999</v>
      </c>
      <c r="G965">
        <v>143.03540000000001</v>
      </c>
      <c r="H965">
        <v>1.5588</v>
      </c>
    </row>
    <row r="966" spans="1:8" x14ac:dyDescent="0.15">
      <c r="A966" t="s">
        <v>15</v>
      </c>
      <c r="B966">
        <v>2510</v>
      </c>
      <c r="C966">
        <v>20</v>
      </c>
      <c r="D966">
        <v>7.8E-2</v>
      </c>
      <c r="E966">
        <v>405.68639999999999</v>
      </c>
      <c r="F966">
        <v>28.561</v>
      </c>
      <c r="G966">
        <v>142.80609999999999</v>
      </c>
      <c r="H966">
        <v>1.5598000000000001</v>
      </c>
    </row>
    <row r="967" spans="1:8" x14ac:dyDescent="0.15">
      <c r="A967" t="s">
        <v>15</v>
      </c>
      <c r="B967">
        <v>2510</v>
      </c>
      <c r="C967">
        <v>20</v>
      </c>
      <c r="D967">
        <v>7.9000000000000001E-2</v>
      </c>
      <c r="E967">
        <v>400.08730000000003</v>
      </c>
      <c r="F967">
        <v>28.167000000000002</v>
      </c>
      <c r="G967">
        <v>140.83510000000001</v>
      </c>
      <c r="H967">
        <v>1.5828</v>
      </c>
    </row>
    <row r="968" spans="1:8" x14ac:dyDescent="0.15">
      <c r="A968" t="s">
        <v>15</v>
      </c>
      <c r="B968">
        <v>2510</v>
      </c>
      <c r="C968">
        <v>20</v>
      </c>
      <c r="D968">
        <v>9.2299999999999993E-2</v>
      </c>
      <c r="E968">
        <v>342.64159999999998</v>
      </c>
      <c r="F968">
        <v>24.123000000000001</v>
      </c>
      <c r="G968">
        <v>120.61360000000001</v>
      </c>
      <c r="H968">
        <v>1.8287</v>
      </c>
    </row>
    <row r="969" spans="1:8" x14ac:dyDescent="0.15">
      <c r="A969" t="s">
        <v>15</v>
      </c>
      <c r="B969">
        <v>2510</v>
      </c>
      <c r="C969">
        <v>20</v>
      </c>
      <c r="D969">
        <v>8.2199999999999995E-2</v>
      </c>
      <c r="E969">
        <v>384.73660000000001</v>
      </c>
      <c r="F969">
        <v>27.085999999999999</v>
      </c>
      <c r="G969">
        <v>135.4315</v>
      </c>
      <c r="H969">
        <v>1.6387</v>
      </c>
    </row>
    <row r="970" spans="1:8" x14ac:dyDescent="0.15">
      <c r="A970" t="s">
        <v>15</v>
      </c>
      <c r="B970">
        <v>2510</v>
      </c>
      <c r="C970">
        <v>20</v>
      </c>
      <c r="D970">
        <v>7.7499999999999999E-2</v>
      </c>
      <c r="E970">
        <v>407.92599999999999</v>
      </c>
      <c r="F970">
        <v>28.719000000000001</v>
      </c>
      <c r="G970">
        <v>143.59440000000001</v>
      </c>
      <c r="H970">
        <v>1.5518000000000001</v>
      </c>
    </row>
    <row r="971" spans="1:8" x14ac:dyDescent="0.15">
      <c r="A971" t="s">
        <v>15</v>
      </c>
      <c r="B971">
        <v>2510</v>
      </c>
      <c r="C971">
        <v>20</v>
      </c>
      <c r="D971">
        <v>7.8200000000000006E-2</v>
      </c>
      <c r="E971">
        <v>404.6121</v>
      </c>
      <c r="F971">
        <v>28.486000000000001</v>
      </c>
      <c r="G971">
        <v>142.42789999999999</v>
      </c>
      <c r="H971">
        <v>1.5648</v>
      </c>
    </row>
    <row r="972" spans="1:8" x14ac:dyDescent="0.15">
      <c r="A972" t="s">
        <v>15</v>
      </c>
      <c r="B972">
        <v>2510</v>
      </c>
      <c r="C972">
        <v>20</v>
      </c>
      <c r="D972">
        <v>7.8E-2</v>
      </c>
      <c r="E972">
        <v>405.65</v>
      </c>
      <c r="F972">
        <v>28.559000000000001</v>
      </c>
      <c r="G972">
        <v>142.79320000000001</v>
      </c>
      <c r="H972">
        <v>1.5608</v>
      </c>
    </row>
    <row r="973" spans="1:8" x14ac:dyDescent="0.15">
      <c r="A973" t="s">
        <v>15</v>
      </c>
      <c r="B973">
        <v>2510</v>
      </c>
      <c r="C973">
        <v>20</v>
      </c>
      <c r="D973">
        <v>7.7600000000000002E-2</v>
      </c>
      <c r="E973">
        <v>407.58960000000002</v>
      </c>
      <c r="F973">
        <v>28.695</v>
      </c>
      <c r="G973">
        <v>143.476</v>
      </c>
      <c r="H973">
        <v>1.5538000000000001</v>
      </c>
    </row>
    <row r="974" spans="1:8" x14ac:dyDescent="0.15">
      <c r="A974" t="s">
        <v>15</v>
      </c>
      <c r="B974">
        <v>2510</v>
      </c>
      <c r="C974">
        <v>20</v>
      </c>
      <c r="D974">
        <v>7.7899999999999997E-2</v>
      </c>
      <c r="E974">
        <v>405.91550000000001</v>
      </c>
      <c r="F974">
        <v>28.577000000000002</v>
      </c>
      <c r="G974">
        <v>142.88669999999999</v>
      </c>
      <c r="H974">
        <v>1.5598000000000001</v>
      </c>
    </row>
    <row r="975" spans="1:8" x14ac:dyDescent="0.15">
      <c r="A975" t="s">
        <v>15</v>
      </c>
      <c r="B975">
        <v>2510</v>
      </c>
      <c r="C975">
        <v>20</v>
      </c>
      <c r="D975">
        <v>7.7600000000000002E-2</v>
      </c>
      <c r="E975">
        <v>407.80500000000001</v>
      </c>
      <c r="F975">
        <v>28.71</v>
      </c>
      <c r="G975">
        <v>143.55179999999999</v>
      </c>
      <c r="H975">
        <v>1.5528</v>
      </c>
    </row>
    <row r="976" spans="1:8" x14ac:dyDescent="0.15">
      <c r="A976" t="s">
        <v>15</v>
      </c>
      <c r="B976">
        <v>2510</v>
      </c>
      <c r="C976">
        <v>20</v>
      </c>
      <c r="D976">
        <v>7.8E-2</v>
      </c>
      <c r="E976">
        <v>405.61360000000002</v>
      </c>
      <c r="F976">
        <v>28.556000000000001</v>
      </c>
      <c r="G976">
        <v>142.78039999999999</v>
      </c>
      <c r="H976">
        <v>1.5608</v>
      </c>
    </row>
    <row r="977" spans="1:8" x14ac:dyDescent="0.15">
      <c r="A977" t="s">
        <v>15</v>
      </c>
      <c r="B977">
        <v>2510</v>
      </c>
      <c r="C977">
        <v>20</v>
      </c>
      <c r="D977">
        <v>7.9100000000000004E-2</v>
      </c>
      <c r="E977">
        <v>399.95580000000001</v>
      </c>
      <c r="F977">
        <v>28.158000000000001</v>
      </c>
      <c r="G977">
        <v>140.78880000000001</v>
      </c>
      <c r="H977">
        <v>1.5838000000000001</v>
      </c>
    </row>
    <row r="978" spans="1:8" x14ac:dyDescent="0.15">
      <c r="A978" t="s">
        <v>15</v>
      </c>
      <c r="B978">
        <v>2510</v>
      </c>
      <c r="C978">
        <v>20</v>
      </c>
      <c r="D978">
        <v>7.7600000000000002E-2</v>
      </c>
      <c r="E978">
        <v>407.6105</v>
      </c>
      <c r="F978">
        <v>28.696999999999999</v>
      </c>
      <c r="G978">
        <v>143.48339999999999</v>
      </c>
      <c r="H978">
        <v>1.5528</v>
      </c>
    </row>
    <row r="979" spans="1:8" x14ac:dyDescent="0.15">
      <c r="A979" t="s">
        <v>15</v>
      </c>
      <c r="B979">
        <v>2510</v>
      </c>
      <c r="C979">
        <v>20</v>
      </c>
      <c r="D979">
        <v>7.9299999999999995E-2</v>
      </c>
      <c r="E979">
        <v>398.94670000000002</v>
      </c>
      <c r="F979">
        <v>28.087</v>
      </c>
      <c r="G979">
        <v>140.43360000000001</v>
      </c>
      <c r="H979">
        <v>1.5867</v>
      </c>
    </row>
    <row r="980" spans="1:8" x14ac:dyDescent="0.15">
      <c r="A980" t="s">
        <v>15</v>
      </c>
      <c r="B980">
        <v>2510</v>
      </c>
      <c r="C980">
        <v>20</v>
      </c>
      <c r="D980">
        <v>7.9000000000000001E-2</v>
      </c>
      <c r="E980">
        <v>400.55860000000001</v>
      </c>
      <c r="F980">
        <v>28.2</v>
      </c>
      <c r="G980">
        <v>141.001</v>
      </c>
      <c r="H980">
        <v>1.5808</v>
      </c>
    </row>
    <row r="981" spans="1:8" x14ac:dyDescent="0.15">
      <c r="A981" t="s">
        <v>15</v>
      </c>
      <c r="B981">
        <v>2510</v>
      </c>
      <c r="C981">
        <v>20</v>
      </c>
      <c r="D981">
        <v>7.8600000000000003E-2</v>
      </c>
      <c r="E981">
        <v>402.53149999999999</v>
      </c>
      <c r="F981">
        <v>28.338999999999999</v>
      </c>
      <c r="G981">
        <v>141.69550000000001</v>
      </c>
      <c r="H981">
        <v>1.5728</v>
      </c>
    </row>
    <row r="982" spans="1:8" x14ac:dyDescent="0.15">
      <c r="A982" t="s">
        <v>15</v>
      </c>
      <c r="B982">
        <v>2510</v>
      </c>
      <c r="C982">
        <v>20</v>
      </c>
      <c r="D982">
        <v>7.9100000000000004E-2</v>
      </c>
      <c r="E982">
        <v>399.94569999999999</v>
      </c>
      <c r="F982">
        <v>28.157</v>
      </c>
      <c r="G982">
        <v>140.7852</v>
      </c>
      <c r="H982">
        <v>1.5828</v>
      </c>
    </row>
    <row r="983" spans="1:8" x14ac:dyDescent="0.15">
      <c r="A983" t="s">
        <v>15</v>
      </c>
      <c r="B983">
        <v>10000</v>
      </c>
      <c r="C983">
        <v>1</v>
      </c>
      <c r="D983">
        <v>81.276499999999999</v>
      </c>
      <c r="E983">
        <v>24.607399999999998</v>
      </c>
      <c r="F983">
        <v>1</v>
      </c>
      <c r="G983">
        <v>100</v>
      </c>
      <c r="H983">
        <v>85.230999999999995</v>
      </c>
    </row>
    <row r="984" spans="1:8" x14ac:dyDescent="0.15">
      <c r="A984" t="s">
        <v>15</v>
      </c>
      <c r="B984">
        <v>10000</v>
      </c>
      <c r="C984">
        <v>1</v>
      </c>
      <c r="D984">
        <v>80.4589</v>
      </c>
      <c r="E984">
        <v>24.857399999999998</v>
      </c>
      <c r="F984">
        <v>1.01</v>
      </c>
      <c r="G984">
        <v>101.0162</v>
      </c>
      <c r="H984">
        <v>80.535799999999995</v>
      </c>
    </row>
    <row r="985" spans="1:8" x14ac:dyDescent="0.15">
      <c r="A985" t="s">
        <v>15</v>
      </c>
      <c r="B985">
        <v>10000</v>
      </c>
      <c r="C985">
        <v>1</v>
      </c>
      <c r="D985">
        <v>80.483800000000002</v>
      </c>
      <c r="E985">
        <v>24.849699999999999</v>
      </c>
      <c r="F985">
        <v>1.01</v>
      </c>
      <c r="G985">
        <v>100.985</v>
      </c>
      <c r="H985">
        <v>80.562799999999996</v>
      </c>
    </row>
    <row r="986" spans="1:8" x14ac:dyDescent="0.15">
      <c r="A986" t="s">
        <v>15</v>
      </c>
      <c r="B986">
        <v>10000</v>
      </c>
      <c r="C986">
        <v>1</v>
      </c>
      <c r="D986">
        <v>80.507000000000005</v>
      </c>
      <c r="E986">
        <v>24.842600000000001</v>
      </c>
      <c r="F986">
        <v>1.01</v>
      </c>
      <c r="G986">
        <v>100.9558</v>
      </c>
      <c r="H986">
        <v>80.585800000000006</v>
      </c>
    </row>
    <row r="987" spans="1:8" x14ac:dyDescent="0.15">
      <c r="A987" t="s">
        <v>15</v>
      </c>
      <c r="B987">
        <v>10000</v>
      </c>
      <c r="C987">
        <v>1</v>
      </c>
      <c r="D987">
        <v>80.492900000000006</v>
      </c>
      <c r="E987">
        <v>24.846900000000002</v>
      </c>
      <c r="F987">
        <v>1.01</v>
      </c>
      <c r="G987">
        <v>100.9735</v>
      </c>
      <c r="H987">
        <v>80.570700000000002</v>
      </c>
    </row>
    <row r="988" spans="1:8" x14ac:dyDescent="0.15">
      <c r="A988" t="s">
        <v>15</v>
      </c>
      <c r="B988">
        <v>10000</v>
      </c>
      <c r="C988">
        <v>1</v>
      </c>
      <c r="D988">
        <v>80.498099999999994</v>
      </c>
      <c r="E988">
        <v>24.845300000000002</v>
      </c>
      <c r="F988">
        <v>1.01</v>
      </c>
      <c r="G988">
        <v>100.9671</v>
      </c>
      <c r="H988">
        <v>80.575699999999998</v>
      </c>
    </row>
    <row r="989" spans="1:8" x14ac:dyDescent="0.15">
      <c r="A989" t="s">
        <v>15</v>
      </c>
      <c r="B989">
        <v>10000</v>
      </c>
      <c r="C989">
        <v>19</v>
      </c>
      <c r="D989">
        <v>5.0119999999999996</v>
      </c>
      <c r="E989">
        <v>399.04320000000001</v>
      </c>
      <c r="F989">
        <v>16.216000000000001</v>
      </c>
      <c r="G989">
        <v>85.349599999999995</v>
      </c>
      <c r="H989">
        <v>90.476299999999995</v>
      </c>
    </row>
    <row r="990" spans="1:8" x14ac:dyDescent="0.15">
      <c r="A990" t="s">
        <v>15</v>
      </c>
      <c r="B990">
        <v>10000</v>
      </c>
      <c r="C990">
        <v>19</v>
      </c>
      <c r="D990">
        <v>5.0068999999999999</v>
      </c>
      <c r="E990">
        <v>399.4468</v>
      </c>
      <c r="F990">
        <v>16.233000000000001</v>
      </c>
      <c r="G990">
        <v>85.435900000000004</v>
      </c>
      <c r="H990">
        <v>90.4392</v>
      </c>
    </row>
    <row r="991" spans="1:8" x14ac:dyDescent="0.15">
      <c r="A991" t="s">
        <v>15</v>
      </c>
      <c r="B991">
        <v>10000</v>
      </c>
      <c r="C991">
        <v>19</v>
      </c>
      <c r="D991">
        <v>5.0067000000000004</v>
      </c>
      <c r="E991">
        <v>399.46660000000003</v>
      </c>
      <c r="F991">
        <v>16.234000000000002</v>
      </c>
      <c r="G991">
        <v>85.440200000000004</v>
      </c>
      <c r="H991">
        <v>90.416300000000007</v>
      </c>
    </row>
    <row r="992" spans="1:8" x14ac:dyDescent="0.15">
      <c r="A992" t="s">
        <v>15</v>
      </c>
      <c r="B992">
        <v>10000</v>
      </c>
      <c r="C992">
        <v>19</v>
      </c>
      <c r="D992">
        <v>5.0067000000000004</v>
      </c>
      <c r="E992">
        <v>399.4665</v>
      </c>
      <c r="F992">
        <v>16.234000000000002</v>
      </c>
      <c r="G992">
        <v>85.440100000000001</v>
      </c>
      <c r="H992">
        <v>90.425200000000004</v>
      </c>
    </row>
    <row r="993" spans="1:8" x14ac:dyDescent="0.15">
      <c r="A993" t="s">
        <v>15</v>
      </c>
      <c r="B993">
        <v>10000</v>
      </c>
      <c r="C993">
        <v>19</v>
      </c>
      <c r="D993">
        <v>5.0068999999999999</v>
      </c>
      <c r="E993">
        <v>399.44690000000003</v>
      </c>
      <c r="F993">
        <v>16.233000000000001</v>
      </c>
      <c r="G993">
        <v>85.435900000000004</v>
      </c>
      <c r="H993">
        <v>90.419300000000007</v>
      </c>
    </row>
    <row r="994" spans="1:8" x14ac:dyDescent="0.15">
      <c r="A994" t="s">
        <v>15</v>
      </c>
      <c r="B994">
        <v>10000</v>
      </c>
      <c r="C994">
        <v>19</v>
      </c>
      <c r="D994">
        <v>5.0065</v>
      </c>
      <c r="E994">
        <v>399.47910000000002</v>
      </c>
      <c r="F994">
        <v>16.234000000000002</v>
      </c>
      <c r="G994">
        <v>85.442800000000005</v>
      </c>
      <c r="H994">
        <v>90.411199999999994</v>
      </c>
    </row>
    <row r="995" spans="1:8" x14ac:dyDescent="0.15">
      <c r="A995" t="s">
        <v>15</v>
      </c>
      <c r="B995">
        <v>10000</v>
      </c>
      <c r="C995">
        <v>19</v>
      </c>
      <c r="D995">
        <v>5.0065</v>
      </c>
      <c r="E995">
        <v>399.48289999999997</v>
      </c>
      <c r="F995">
        <v>16.234000000000002</v>
      </c>
      <c r="G995">
        <v>85.443600000000004</v>
      </c>
      <c r="H995">
        <v>90.401200000000003</v>
      </c>
    </row>
    <row r="996" spans="1:8" x14ac:dyDescent="0.15">
      <c r="A996" t="s">
        <v>15</v>
      </c>
      <c r="B996">
        <v>10000</v>
      </c>
      <c r="C996">
        <v>19</v>
      </c>
      <c r="D996">
        <v>5.0068000000000001</v>
      </c>
      <c r="E996">
        <v>399.4572</v>
      </c>
      <c r="F996">
        <v>16.233000000000001</v>
      </c>
      <c r="G996">
        <v>85.438100000000006</v>
      </c>
      <c r="H996">
        <v>90.406199999999998</v>
      </c>
    </row>
    <row r="997" spans="1:8" x14ac:dyDescent="0.15">
      <c r="A997" t="s">
        <v>15</v>
      </c>
      <c r="B997">
        <v>10000</v>
      </c>
      <c r="C997">
        <v>19</v>
      </c>
      <c r="D997">
        <v>5.0063000000000004</v>
      </c>
      <c r="E997">
        <v>399.49290000000002</v>
      </c>
      <c r="F997">
        <v>16.234999999999999</v>
      </c>
      <c r="G997">
        <v>85.445800000000006</v>
      </c>
      <c r="H997">
        <v>90.593299999999999</v>
      </c>
    </row>
    <row r="998" spans="1:8" x14ac:dyDescent="0.15">
      <c r="A998" t="s">
        <v>15</v>
      </c>
      <c r="B998">
        <v>10000</v>
      </c>
      <c r="C998">
        <v>19</v>
      </c>
      <c r="D998">
        <v>5.0167999999999999</v>
      </c>
      <c r="E998">
        <v>398.66410000000002</v>
      </c>
      <c r="F998">
        <v>16.201000000000001</v>
      </c>
      <c r="G998">
        <v>85.268500000000003</v>
      </c>
      <c r="H998">
        <v>90.776200000000003</v>
      </c>
    </row>
    <row r="999" spans="1:8" x14ac:dyDescent="0.15">
      <c r="A999" t="s">
        <v>15</v>
      </c>
      <c r="B999">
        <v>10000</v>
      </c>
      <c r="C999">
        <v>19</v>
      </c>
      <c r="D999">
        <v>5.0378999999999996</v>
      </c>
      <c r="E999">
        <v>396.9932</v>
      </c>
      <c r="F999">
        <v>16.132999999999999</v>
      </c>
      <c r="G999">
        <v>84.911100000000005</v>
      </c>
      <c r="H999">
        <v>91.142200000000003</v>
      </c>
    </row>
    <row r="1000" spans="1:8" x14ac:dyDescent="0.15">
      <c r="A1000" t="s">
        <v>15</v>
      </c>
      <c r="B1000">
        <v>10000</v>
      </c>
      <c r="C1000">
        <v>19</v>
      </c>
      <c r="D1000">
        <v>5.0445000000000002</v>
      </c>
      <c r="E1000">
        <v>396.47370000000001</v>
      </c>
      <c r="F1000">
        <v>16.111999999999998</v>
      </c>
      <c r="G1000">
        <v>84.8</v>
      </c>
      <c r="H1000">
        <v>91.225099999999998</v>
      </c>
    </row>
    <row r="1001" spans="1:8" x14ac:dyDescent="0.15">
      <c r="A1001" t="s">
        <v>15</v>
      </c>
      <c r="B1001">
        <v>10000</v>
      </c>
      <c r="C1001">
        <v>19</v>
      </c>
      <c r="D1001">
        <v>5.0505000000000004</v>
      </c>
      <c r="E1001">
        <v>396.00240000000002</v>
      </c>
      <c r="F1001">
        <v>16.093</v>
      </c>
      <c r="G1001">
        <v>84.699200000000005</v>
      </c>
      <c r="H1001">
        <v>91.2881</v>
      </c>
    </row>
    <row r="1002" spans="1:8" x14ac:dyDescent="0.15">
      <c r="A1002" t="s">
        <v>15</v>
      </c>
      <c r="B1002">
        <v>10000</v>
      </c>
      <c r="C1002">
        <v>19</v>
      </c>
      <c r="D1002">
        <v>5.0579000000000001</v>
      </c>
      <c r="E1002">
        <v>395.42169999999999</v>
      </c>
      <c r="F1002">
        <v>16.068999999999999</v>
      </c>
      <c r="G1002">
        <v>84.575000000000003</v>
      </c>
      <c r="H1002">
        <v>91.376099999999994</v>
      </c>
    </row>
    <row r="1003" spans="1:8" x14ac:dyDescent="0.15">
      <c r="A1003" t="s">
        <v>15</v>
      </c>
      <c r="B1003">
        <v>10000</v>
      </c>
      <c r="C1003">
        <v>19</v>
      </c>
      <c r="D1003">
        <v>5.0624000000000002</v>
      </c>
      <c r="E1003">
        <v>395.0702</v>
      </c>
      <c r="F1003">
        <v>16.055</v>
      </c>
      <c r="G1003">
        <v>84.499799999999993</v>
      </c>
      <c r="H1003">
        <v>91.411100000000005</v>
      </c>
    </row>
    <row r="1004" spans="1:8" x14ac:dyDescent="0.15">
      <c r="A1004" t="s">
        <v>15</v>
      </c>
      <c r="B1004">
        <v>10000</v>
      </c>
      <c r="C1004">
        <v>19</v>
      </c>
      <c r="D1004">
        <v>5.0670999999999999</v>
      </c>
      <c r="E1004">
        <v>394.702</v>
      </c>
      <c r="F1004">
        <v>16.04</v>
      </c>
      <c r="G1004">
        <v>84.421099999999996</v>
      </c>
      <c r="H1004">
        <v>91.634</v>
      </c>
    </row>
    <row r="1005" spans="1:8" x14ac:dyDescent="0.15">
      <c r="A1005" t="s">
        <v>15</v>
      </c>
      <c r="B1005">
        <v>10000</v>
      </c>
      <c r="C1005">
        <v>19</v>
      </c>
      <c r="D1005">
        <v>5.0675999999999997</v>
      </c>
      <c r="E1005">
        <v>394.66050000000001</v>
      </c>
      <c r="F1005">
        <v>16.038</v>
      </c>
      <c r="G1005">
        <v>84.412199999999999</v>
      </c>
      <c r="H1005">
        <v>91.580100000000002</v>
      </c>
    </row>
    <row r="1006" spans="1:8" x14ac:dyDescent="0.15">
      <c r="A1006" t="s">
        <v>15</v>
      </c>
      <c r="B1006">
        <v>10000</v>
      </c>
      <c r="C1006">
        <v>19</v>
      </c>
      <c r="D1006">
        <v>5.0678000000000001</v>
      </c>
      <c r="E1006">
        <v>394.65140000000002</v>
      </c>
      <c r="F1006">
        <v>16.038</v>
      </c>
      <c r="G1006">
        <v>84.410200000000003</v>
      </c>
      <c r="H1006">
        <v>91.501099999999994</v>
      </c>
    </row>
    <row r="1007" spans="1:8" x14ac:dyDescent="0.15">
      <c r="A1007" t="s">
        <v>15</v>
      </c>
      <c r="B1007">
        <v>10000</v>
      </c>
      <c r="C1007">
        <v>19</v>
      </c>
      <c r="D1007">
        <v>5.0683999999999996</v>
      </c>
      <c r="E1007">
        <v>394.6028</v>
      </c>
      <c r="F1007">
        <v>16.036000000000001</v>
      </c>
      <c r="G1007">
        <v>84.399900000000002</v>
      </c>
      <c r="H1007">
        <v>91.6721</v>
      </c>
    </row>
    <row r="1008" spans="1:8" x14ac:dyDescent="0.15">
      <c r="A1008" t="s">
        <v>15</v>
      </c>
      <c r="B1008">
        <v>10000</v>
      </c>
      <c r="C1008">
        <v>19</v>
      </c>
      <c r="D1008">
        <v>5.0612000000000004</v>
      </c>
      <c r="E1008">
        <v>395.16230000000002</v>
      </c>
      <c r="F1008">
        <v>16.059000000000001</v>
      </c>
      <c r="G1008">
        <v>84.519499999999994</v>
      </c>
      <c r="H1008">
        <v>91.464100000000002</v>
      </c>
    </row>
    <row r="1009" spans="1:8" x14ac:dyDescent="0.15">
      <c r="A1009" t="s">
        <v>15</v>
      </c>
      <c r="B1009">
        <v>10000</v>
      </c>
      <c r="C1009">
        <v>19</v>
      </c>
      <c r="D1009">
        <v>5.0723000000000003</v>
      </c>
      <c r="E1009">
        <v>394.29700000000003</v>
      </c>
      <c r="F1009">
        <v>16.024000000000001</v>
      </c>
      <c r="G1009">
        <v>84.334400000000002</v>
      </c>
      <c r="H1009">
        <v>91.605000000000004</v>
      </c>
    </row>
    <row r="1010" spans="1:8" x14ac:dyDescent="0.15">
      <c r="A1010" t="s">
        <v>15</v>
      </c>
      <c r="B1010">
        <v>10000</v>
      </c>
      <c r="C1010">
        <v>19</v>
      </c>
      <c r="D1010">
        <v>5.0705999999999998</v>
      </c>
      <c r="E1010">
        <v>394.4341</v>
      </c>
      <c r="F1010">
        <v>16.029</v>
      </c>
      <c r="G1010">
        <v>84.363799999999998</v>
      </c>
      <c r="H1010">
        <v>91.703100000000006</v>
      </c>
    </row>
    <row r="1011" spans="1:8" x14ac:dyDescent="0.15">
      <c r="A1011" t="s">
        <v>15</v>
      </c>
      <c r="B1011">
        <v>10000</v>
      </c>
      <c r="C1011">
        <v>19</v>
      </c>
      <c r="D1011">
        <v>5.0754999999999999</v>
      </c>
      <c r="E1011">
        <v>394.04739999999998</v>
      </c>
      <c r="F1011">
        <v>16.013000000000002</v>
      </c>
      <c r="G1011">
        <v>84.281099999999995</v>
      </c>
      <c r="H1011">
        <v>91.725099999999998</v>
      </c>
    </row>
    <row r="1012" spans="1:8" x14ac:dyDescent="0.15">
      <c r="A1012" t="s">
        <v>15</v>
      </c>
      <c r="B1012">
        <v>10000</v>
      </c>
      <c r="C1012">
        <v>19</v>
      </c>
      <c r="D1012">
        <v>5.0743999999999998</v>
      </c>
      <c r="E1012">
        <v>394.13229999999999</v>
      </c>
      <c r="F1012">
        <v>16.016999999999999</v>
      </c>
      <c r="G1012">
        <v>84.299199999999999</v>
      </c>
      <c r="H1012">
        <v>91.632099999999994</v>
      </c>
    </row>
    <row r="1013" spans="1:8" x14ac:dyDescent="0.15">
      <c r="A1013" t="s">
        <v>15</v>
      </c>
      <c r="B1013">
        <v>10000</v>
      </c>
      <c r="C1013">
        <v>19</v>
      </c>
      <c r="D1013">
        <v>5.0735000000000001</v>
      </c>
      <c r="E1013">
        <v>394.20659999999998</v>
      </c>
      <c r="F1013">
        <v>16.02</v>
      </c>
      <c r="G1013">
        <v>84.315100000000001</v>
      </c>
      <c r="H1013">
        <v>91.739000000000004</v>
      </c>
    </row>
    <row r="1014" spans="1:8" x14ac:dyDescent="0.15">
      <c r="A1014" t="s">
        <v>15</v>
      </c>
      <c r="B1014">
        <v>10000</v>
      </c>
      <c r="C1014">
        <v>19</v>
      </c>
      <c r="D1014">
        <v>5.0740999999999996</v>
      </c>
      <c r="E1014">
        <v>394.15940000000001</v>
      </c>
      <c r="F1014">
        <v>16.018000000000001</v>
      </c>
      <c r="G1014">
        <v>84.305000000000007</v>
      </c>
      <c r="H1014">
        <v>91.681200000000004</v>
      </c>
    </row>
    <row r="1015" spans="1:8" x14ac:dyDescent="0.15">
      <c r="A1015" t="s">
        <v>15</v>
      </c>
      <c r="B1015">
        <v>10000</v>
      </c>
      <c r="C1015">
        <v>19</v>
      </c>
      <c r="D1015">
        <v>5.0743</v>
      </c>
      <c r="E1015">
        <v>394.14159999999998</v>
      </c>
      <c r="F1015">
        <v>16.016999999999999</v>
      </c>
      <c r="G1015">
        <v>84.301199999999994</v>
      </c>
      <c r="H1015">
        <v>91.813000000000002</v>
      </c>
    </row>
    <row r="1016" spans="1:8" x14ac:dyDescent="0.15">
      <c r="A1016" t="s">
        <v>15</v>
      </c>
      <c r="B1016">
        <v>10000</v>
      </c>
      <c r="C1016">
        <v>19</v>
      </c>
      <c r="D1016">
        <v>5.0757000000000003</v>
      </c>
      <c r="E1016">
        <v>394.03559999999999</v>
      </c>
      <c r="F1016">
        <v>16.013000000000002</v>
      </c>
      <c r="G1016">
        <v>84.278499999999994</v>
      </c>
      <c r="H1016">
        <v>91.75</v>
      </c>
    </row>
    <row r="1017" spans="1:8" x14ac:dyDescent="0.15">
      <c r="A1017" t="s">
        <v>15</v>
      </c>
      <c r="B1017">
        <v>10000</v>
      </c>
      <c r="C1017">
        <v>19</v>
      </c>
      <c r="D1017">
        <v>5.0812999999999997</v>
      </c>
      <c r="E1017">
        <v>393.59789999999998</v>
      </c>
      <c r="F1017">
        <v>15.994999999999999</v>
      </c>
      <c r="G1017">
        <v>84.184899999999999</v>
      </c>
      <c r="H1017">
        <v>91.806200000000004</v>
      </c>
    </row>
    <row r="1018" spans="1:8" x14ac:dyDescent="0.15">
      <c r="A1018" t="s">
        <v>15</v>
      </c>
      <c r="B1018">
        <v>10000</v>
      </c>
      <c r="C1018">
        <v>19</v>
      </c>
      <c r="D1018">
        <v>5.0801999999999996</v>
      </c>
      <c r="E1018">
        <v>393.68430000000001</v>
      </c>
      <c r="F1018">
        <v>15.999000000000001</v>
      </c>
      <c r="G1018">
        <v>84.203400000000002</v>
      </c>
      <c r="H1018">
        <v>91.893100000000004</v>
      </c>
    </row>
    <row r="1019" spans="1:8" x14ac:dyDescent="0.15">
      <c r="A1019" t="s">
        <v>15</v>
      </c>
      <c r="B1019">
        <v>10000</v>
      </c>
      <c r="C1019">
        <v>19</v>
      </c>
      <c r="D1019">
        <v>5.0772000000000004</v>
      </c>
      <c r="E1019">
        <v>393.9153</v>
      </c>
      <c r="F1019">
        <v>16.007999999999999</v>
      </c>
      <c r="G1019">
        <v>84.252799999999993</v>
      </c>
      <c r="H1019">
        <v>91.758099999999999</v>
      </c>
    </row>
    <row r="1020" spans="1:8" x14ac:dyDescent="0.15">
      <c r="A1020" t="s">
        <v>15</v>
      </c>
      <c r="B1020">
        <v>10000</v>
      </c>
      <c r="C1020">
        <v>19</v>
      </c>
      <c r="D1020">
        <v>5.0768000000000004</v>
      </c>
      <c r="E1020">
        <v>393.94799999999998</v>
      </c>
      <c r="F1020">
        <v>16.009</v>
      </c>
      <c r="G1020">
        <v>84.259799999999998</v>
      </c>
      <c r="H1020">
        <v>91.677000000000007</v>
      </c>
    </row>
    <row r="1021" spans="1:8" x14ac:dyDescent="0.15">
      <c r="A1021" t="s">
        <v>15</v>
      </c>
      <c r="B1021">
        <v>10000</v>
      </c>
      <c r="C1021">
        <v>19</v>
      </c>
      <c r="D1021">
        <v>5.0763999999999996</v>
      </c>
      <c r="E1021">
        <v>393.98090000000002</v>
      </c>
      <c r="F1021">
        <v>16.010999999999999</v>
      </c>
      <c r="G1021">
        <v>84.266800000000003</v>
      </c>
      <c r="H1021">
        <v>91.795199999999994</v>
      </c>
    </row>
    <row r="1022" spans="1:8" x14ac:dyDescent="0.15">
      <c r="A1022" t="s">
        <v>15</v>
      </c>
      <c r="B1022">
        <v>10000</v>
      </c>
      <c r="C1022">
        <v>19</v>
      </c>
      <c r="D1022">
        <v>5.08</v>
      </c>
      <c r="E1022">
        <v>393.70319999999998</v>
      </c>
      <c r="F1022">
        <v>15.999000000000001</v>
      </c>
      <c r="G1022">
        <v>84.207400000000007</v>
      </c>
      <c r="H1022">
        <v>91.784899999999993</v>
      </c>
    </row>
    <row r="1023" spans="1:8" x14ac:dyDescent="0.15">
      <c r="A1023" t="s">
        <v>15</v>
      </c>
      <c r="B1023">
        <v>10000</v>
      </c>
      <c r="C1023">
        <v>19</v>
      </c>
      <c r="D1023">
        <v>5.0792999999999999</v>
      </c>
      <c r="E1023">
        <v>393.75189999999998</v>
      </c>
      <c r="F1023">
        <v>16.001000000000001</v>
      </c>
      <c r="G1023">
        <v>84.2179</v>
      </c>
      <c r="H1023">
        <v>91.894000000000005</v>
      </c>
    </row>
    <row r="1024" spans="1:8" x14ac:dyDescent="0.15">
      <c r="A1024" t="s">
        <v>15</v>
      </c>
      <c r="B1024">
        <v>10000</v>
      </c>
      <c r="C1024">
        <v>19</v>
      </c>
      <c r="D1024">
        <v>5.0812999999999997</v>
      </c>
      <c r="E1024">
        <v>393.60149999999999</v>
      </c>
      <c r="F1024">
        <v>15.994999999999999</v>
      </c>
      <c r="G1024">
        <v>84.185699999999997</v>
      </c>
      <c r="H1024">
        <v>91.852099999999993</v>
      </c>
    </row>
    <row r="1025" spans="1:8" x14ac:dyDescent="0.15">
      <c r="A1025" t="s">
        <v>15</v>
      </c>
      <c r="B1025">
        <v>10000</v>
      </c>
      <c r="C1025">
        <v>19</v>
      </c>
      <c r="D1025">
        <v>5.0838000000000001</v>
      </c>
      <c r="E1025">
        <v>393.40480000000002</v>
      </c>
      <c r="F1025">
        <v>15.987</v>
      </c>
      <c r="G1025">
        <v>84.143600000000006</v>
      </c>
      <c r="H1025">
        <v>91.819100000000006</v>
      </c>
    </row>
    <row r="1026" spans="1:8" x14ac:dyDescent="0.15">
      <c r="A1026" t="s">
        <v>15</v>
      </c>
      <c r="B1026">
        <v>10000</v>
      </c>
      <c r="C1026">
        <v>19</v>
      </c>
      <c r="D1026">
        <v>5.0857999999999999</v>
      </c>
      <c r="E1026">
        <v>393.2527</v>
      </c>
      <c r="F1026">
        <v>15.981</v>
      </c>
      <c r="G1026">
        <v>84.111099999999993</v>
      </c>
      <c r="H1026">
        <v>91.9709</v>
      </c>
    </row>
    <row r="1027" spans="1:8" x14ac:dyDescent="0.15">
      <c r="A1027" t="s">
        <v>15</v>
      </c>
      <c r="B1027">
        <v>10000</v>
      </c>
      <c r="C1027">
        <v>19</v>
      </c>
      <c r="D1027">
        <v>5.0857999999999999</v>
      </c>
      <c r="E1027">
        <v>393.25209999999998</v>
      </c>
      <c r="F1027">
        <v>15.981</v>
      </c>
      <c r="G1027">
        <v>84.111000000000004</v>
      </c>
      <c r="H1027">
        <v>91.888199999999998</v>
      </c>
    </row>
    <row r="1028" spans="1:8" x14ac:dyDescent="0.15">
      <c r="A1028" t="s">
        <v>15</v>
      </c>
      <c r="B1028">
        <v>10000</v>
      </c>
      <c r="C1028">
        <v>19</v>
      </c>
      <c r="D1028">
        <v>5.0884999999999998</v>
      </c>
      <c r="E1028">
        <v>393.04239999999999</v>
      </c>
      <c r="F1028">
        <v>15.973000000000001</v>
      </c>
      <c r="G1028">
        <v>84.066100000000006</v>
      </c>
      <c r="H1028">
        <v>92.053700000000006</v>
      </c>
    </row>
    <row r="1029" spans="1:8" x14ac:dyDescent="0.15">
      <c r="A1029" t="s">
        <v>15</v>
      </c>
      <c r="B1029">
        <v>10000</v>
      </c>
      <c r="C1029">
        <v>19</v>
      </c>
      <c r="D1029">
        <v>5.0911999999999997</v>
      </c>
      <c r="E1029">
        <v>392.83510000000001</v>
      </c>
      <c r="F1029">
        <v>15.964</v>
      </c>
      <c r="G1029">
        <v>84.021799999999999</v>
      </c>
      <c r="H1029">
        <v>92</v>
      </c>
    </row>
    <row r="1030" spans="1:8" x14ac:dyDescent="0.15">
      <c r="A1030" t="s">
        <v>15</v>
      </c>
      <c r="B1030">
        <v>10000</v>
      </c>
      <c r="C1030">
        <v>19</v>
      </c>
      <c r="D1030">
        <v>5.0965999999999996</v>
      </c>
      <c r="E1030">
        <v>392.41750000000002</v>
      </c>
      <c r="F1030">
        <v>15.946999999999999</v>
      </c>
      <c r="G1030">
        <v>83.932500000000005</v>
      </c>
      <c r="H1030">
        <v>92.046400000000006</v>
      </c>
    </row>
    <row r="1031" spans="1:8" x14ac:dyDescent="0.15">
      <c r="A1031" t="s">
        <v>15</v>
      </c>
      <c r="B1031">
        <v>10000</v>
      </c>
      <c r="C1031">
        <v>19</v>
      </c>
      <c r="D1031">
        <v>5.0946999999999996</v>
      </c>
      <c r="E1031">
        <v>392.56319999999999</v>
      </c>
      <c r="F1031">
        <v>15.952999999999999</v>
      </c>
      <c r="G1031">
        <v>83.9636</v>
      </c>
      <c r="H1031">
        <v>92.102999999999994</v>
      </c>
    </row>
    <row r="1032" spans="1:8" x14ac:dyDescent="0.15">
      <c r="A1032" t="s">
        <v>15</v>
      </c>
      <c r="B1032">
        <v>10000</v>
      </c>
      <c r="C1032">
        <v>19</v>
      </c>
      <c r="D1032">
        <v>5.0948000000000002</v>
      </c>
      <c r="E1032">
        <v>392.55610000000001</v>
      </c>
      <c r="F1032">
        <v>15.952999999999999</v>
      </c>
      <c r="G1032">
        <v>83.962100000000007</v>
      </c>
      <c r="H1032">
        <v>92.002899999999997</v>
      </c>
    </row>
    <row r="1033" spans="1:8" x14ac:dyDescent="0.15">
      <c r="A1033" t="s">
        <v>15</v>
      </c>
      <c r="B1033">
        <v>10000</v>
      </c>
      <c r="C1033">
        <v>19</v>
      </c>
      <c r="D1033">
        <v>5.0972</v>
      </c>
      <c r="E1033">
        <v>392.36880000000002</v>
      </c>
      <c r="F1033">
        <v>15.945</v>
      </c>
      <c r="G1033">
        <v>83.921999999999997</v>
      </c>
      <c r="H1033">
        <v>92.169899999999998</v>
      </c>
    </row>
    <row r="1034" spans="1:8" x14ac:dyDescent="0.15">
      <c r="A1034" t="s">
        <v>15</v>
      </c>
      <c r="B1034">
        <v>10000</v>
      </c>
      <c r="C1034">
        <v>19</v>
      </c>
      <c r="D1034">
        <v>5.0975999999999999</v>
      </c>
      <c r="E1034">
        <v>392.33859999999999</v>
      </c>
      <c r="F1034">
        <v>15.944000000000001</v>
      </c>
      <c r="G1034">
        <v>83.915599999999998</v>
      </c>
      <c r="H1034">
        <v>92.072800000000001</v>
      </c>
    </row>
    <row r="1035" spans="1:8" x14ac:dyDescent="0.15">
      <c r="A1035" t="s">
        <v>15</v>
      </c>
      <c r="B1035">
        <v>10000</v>
      </c>
      <c r="C1035">
        <v>19</v>
      </c>
      <c r="D1035">
        <v>5.0976999999999997</v>
      </c>
      <c r="E1035">
        <v>392.33440000000002</v>
      </c>
      <c r="F1035">
        <v>15.944000000000001</v>
      </c>
      <c r="G1035">
        <v>83.914699999999996</v>
      </c>
      <c r="H1035">
        <v>92.178200000000004</v>
      </c>
    </row>
    <row r="1036" spans="1:8" x14ac:dyDescent="0.15">
      <c r="A1036" t="s">
        <v>15</v>
      </c>
      <c r="B1036">
        <v>10000</v>
      </c>
      <c r="C1036">
        <v>19</v>
      </c>
      <c r="D1036">
        <v>5.0955000000000004</v>
      </c>
      <c r="E1036">
        <v>392.50659999999999</v>
      </c>
      <c r="F1036">
        <v>15.951000000000001</v>
      </c>
      <c r="G1036">
        <v>83.951499999999996</v>
      </c>
      <c r="H1036">
        <v>92.042000000000002</v>
      </c>
    </row>
    <row r="1037" spans="1:8" x14ac:dyDescent="0.15">
      <c r="A1037" t="s">
        <v>15</v>
      </c>
      <c r="B1037">
        <v>10000</v>
      </c>
      <c r="C1037">
        <v>19</v>
      </c>
      <c r="D1037">
        <v>5.0998999999999999</v>
      </c>
      <c r="E1037">
        <v>392.16410000000002</v>
      </c>
      <c r="F1037">
        <v>15.936999999999999</v>
      </c>
      <c r="G1037">
        <v>83.878200000000007</v>
      </c>
      <c r="H1037">
        <v>92.228999999999999</v>
      </c>
    </row>
    <row r="1038" spans="1:8" x14ac:dyDescent="0.15">
      <c r="A1038" t="s">
        <v>15</v>
      </c>
      <c r="B1038">
        <v>10000</v>
      </c>
      <c r="C1038">
        <v>19</v>
      </c>
      <c r="D1038">
        <v>5.0965999999999996</v>
      </c>
      <c r="E1038">
        <v>392.41660000000002</v>
      </c>
      <c r="F1038">
        <v>15.946999999999999</v>
      </c>
      <c r="G1038">
        <v>83.932299999999998</v>
      </c>
      <c r="H1038">
        <v>92.070800000000006</v>
      </c>
    </row>
    <row r="1039" spans="1:8" x14ac:dyDescent="0.15">
      <c r="A1039" t="s">
        <v>15</v>
      </c>
      <c r="B1039">
        <v>10000</v>
      </c>
      <c r="C1039">
        <v>19</v>
      </c>
      <c r="D1039">
        <v>5.0945999999999998</v>
      </c>
      <c r="E1039">
        <v>392.5702</v>
      </c>
      <c r="F1039">
        <v>15.952999999999999</v>
      </c>
      <c r="G1039">
        <v>83.965100000000007</v>
      </c>
      <c r="H1039">
        <v>92.141099999999994</v>
      </c>
    </row>
    <row r="1040" spans="1:8" x14ac:dyDescent="0.15">
      <c r="A1040" t="s">
        <v>15</v>
      </c>
      <c r="B1040">
        <v>10000</v>
      </c>
      <c r="C1040">
        <v>20</v>
      </c>
      <c r="D1040">
        <v>4.6203000000000003</v>
      </c>
      <c r="E1040">
        <v>432.87079999999997</v>
      </c>
      <c r="F1040">
        <v>17.591000000000001</v>
      </c>
      <c r="G1040">
        <v>87.955600000000004</v>
      </c>
      <c r="H1040">
        <v>92.455100000000002</v>
      </c>
    </row>
    <row r="1041" spans="1:8" x14ac:dyDescent="0.15">
      <c r="A1041" t="s">
        <v>15</v>
      </c>
      <c r="B1041">
        <v>10000</v>
      </c>
      <c r="C1041">
        <v>20</v>
      </c>
      <c r="D1041">
        <v>4.6307999999999998</v>
      </c>
      <c r="E1041">
        <v>431.8888</v>
      </c>
      <c r="F1041">
        <v>17.550999999999998</v>
      </c>
      <c r="G1041">
        <v>87.756100000000004</v>
      </c>
      <c r="H1041">
        <v>92.647000000000006</v>
      </c>
    </row>
    <row r="1042" spans="1:8" x14ac:dyDescent="0.15">
      <c r="A1042" t="s">
        <v>15</v>
      </c>
      <c r="B1042">
        <v>10000</v>
      </c>
      <c r="C1042">
        <v>20</v>
      </c>
      <c r="D1042">
        <v>4.6233000000000004</v>
      </c>
      <c r="E1042">
        <v>432.58730000000003</v>
      </c>
      <c r="F1042">
        <v>17.579999999999998</v>
      </c>
      <c r="G1042">
        <v>87.897999999999996</v>
      </c>
      <c r="H1042">
        <v>92.525899999999993</v>
      </c>
    </row>
    <row r="1043" spans="1:8" x14ac:dyDescent="0.15">
      <c r="A1043" t="s">
        <v>15</v>
      </c>
      <c r="B1043">
        <v>10000</v>
      </c>
      <c r="C1043">
        <v>20</v>
      </c>
      <c r="D1043">
        <v>4.6386000000000003</v>
      </c>
      <c r="E1043">
        <v>431.16640000000001</v>
      </c>
      <c r="F1043">
        <v>17.521999999999998</v>
      </c>
      <c r="G1043">
        <v>87.609300000000005</v>
      </c>
      <c r="H1043">
        <v>92.77</v>
      </c>
    </row>
    <row r="1044" spans="1:8" x14ac:dyDescent="0.15">
      <c r="A1044" t="s">
        <v>15</v>
      </c>
      <c r="B1044">
        <v>10000</v>
      </c>
      <c r="C1044">
        <v>20</v>
      </c>
      <c r="D1044">
        <v>4.6271000000000004</v>
      </c>
      <c r="E1044">
        <v>432.23820000000001</v>
      </c>
      <c r="F1044">
        <v>17.565000000000001</v>
      </c>
      <c r="G1044">
        <v>87.827100000000002</v>
      </c>
      <c r="H1044">
        <v>92.578599999999994</v>
      </c>
    </row>
    <row r="1045" spans="1:8" x14ac:dyDescent="0.15">
      <c r="A1045" t="s">
        <v>15</v>
      </c>
      <c r="B1045">
        <v>10000</v>
      </c>
      <c r="C1045">
        <v>20</v>
      </c>
      <c r="D1045">
        <v>4.6302000000000003</v>
      </c>
      <c r="E1045">
        <v>431.94940000000003</v>
      </c>
      <c r="F1045">
        <v>17.553999999999998</v>
      </c>
      <c r="G1045">
        <v>87.7684</v>
      </c>
      <c r="H1045">
        <v>92.660200000000003</v>
      </c>
    </row>
    <row r="1046" spans="1:8" x14ac:dyDescent="0.15">
      <c r="A1046" t="s">
        <v>15</v>
      </c>
      <c r="B1046">
        <v>10000</v>
      </c>
      <c r="C1046">
        <v>20</v>
      </c>
      <c r="D1046">
        <v>4.6326000000000001</v>
      </c>
      <c r="E1046">
        <v>431.7192</v>
      </c>
      <c r="F1046">
        <v>17.544</v>
      </c>
      <c r="G1046">
        <v>87.721599999999995</v>
      </c>
      <c r="H1046">
        <v>92.705600000000004</v>
      </c>
    </row>
    <row r="1047" spans="1:8" x14ac:dyDescent="0.15">
      <c r="A1047" t="s">
        <v>15</v>
      </c>
      <c r="B1047">
        <v>10000</v>
      </c>
      <c r="C1047">
        <v>20</v>
      </c>
      <c r="D1047">
        <v>4.6394000000000002</v>
      </c>
      <c r="E1047">
        <v>431.0915</v>
      </c>
      <c r="F1047">
        <v>17.518999999999998</v>
      </c>
      <c r="G1047">
        <v>87.594099999999997</v>
      </c>
      <c r="H1047">
        <v>92.828100000000006</v>
      </c>
    </row>
    <row r="1048" spans="1:8" x14ac:dyDescent="0.15">
      <c r="A1048" t="s">
        <v>15</v>
      </c>
      <c r="B1048">
        <v>10000</v>
      </c>
      <c r="C1048">
        <v>20</v>
      </c>
      <c r="D1048">
        <v>4.6304999999999996</v>
      </c>
      <c r="E1048">
        <v>431.91809999999998</v>
      </c>
      <c r="F1048">
        <v>17.552</v>
      </c>
      <c r="G1048">
        <v>87.762</v>
      </c>
      <c r="H1048">
        <v>92.683099999999996</v>
      </c>
    </row>
    <row r="1049" spans="1:8" x14ac:dyDescent="0.15">
      <c r="A1049" t="s">
        <v>15</v>
      </c>
      <c r="B1049">
        <v>10000</v>
      </c>
      <c r="C1049">
        <v>20</v>
      </c>
      <c r="D1049">
        <v>4.6227</v>
      </c>
      <c r="E1049">
        <v>432.64400000000001</v>
      </c>
      <c r="F1049">
        <v>17.582000000000001</v>
      </c>
      <c r="G1049">
        <v>87.909499999999994</v>
      </c>
      <c r="H1049">
        <v>92.529799999999994</v>
      </c>
    </row>
    <row r="1050" spans="1:8" x14ac:dyDescent="0.15">
      <c r="A1050" t="s">
        <v>15</v>
      </c>
      <c r="B1050">
        <v>10000</v>
      </c>
      <c r="C1050">
        <v>20</v>
      </c>
      <c r="D1050">
        <v>4.6348000000000003</v>
      </c>
      <c r="E1050">
        <v>431.51920000000001</v>
      </c>
      <c r="F1050">
        <v>17.536000000000001</v>
      </c>
      <c r="G1050">
        <v>87.680999999999997</v>
      </c>
      <c r="H1050">
        <v>92.754900000000006</v>
      </c>
    </row>
    <row r="1051" spans="1:8" x14ac:dyDescent="0.15">
      <c r="A1051" t="s">
        <v>15</v>
      </c>
      <c r="B1051">
        <v>10000</v>
      </c>
      <c r="C1051">
        <v>20</v>
      </c>
      <c r="D1051">
        <v>4.6367000000000003</v>
      </c>
      <c r="E1051">
        <v>431.3374</v>
      </c>
      <c r="F1051">
        <v>17.529</v>
      </c>
      <c r="G1051">
        <v>87.644000000000005</v>
      </c>
      <c r="H1051">
        <v>92.762699999999995</v>
      </c>
    </row>
    <row r="1052" spans="1:8" x14ac:dyDescent="0.15">
      <c r="A1052" t="s">
        <v>15</v>
      </c>
      <c r="B1052">
        <v>10000</v>
      </c>
      <c r="C1052">
        <v>20</v>
      </c>
      <c r="D1052">
        <v>4.6300999999999997</v>
      </c>
      <c r="E1052">
        <v>431.95530000000002</v>
      </c>
      <c r="F1052">
        <v>17.553999999999998</v>
      </c>
      <c r="G1052">
        <v>87.769599999999997</v>
      </c>
      <c r="H1052">
        <v>92.655299999999997</v>
      </c>
    </row>
    <row r="1053" spans="1:8" x14ac:dyDescent="0.15">
      <c r="A1053" t="s">
        <v>15</v>
      </c>
      <c r="B1053">
        <v>10000</v>
      </c>
      <c r="C1053">
        <v>20</v>
      </c>
      <c r="D1053">
        <v>4.6323999999999996</v>
      </c>
      <c r="E1053">
        <v>431.74489999999997</v>
      </c>
      <c r="F1053">
        <v>17.545000000000002</v>
      </c>
      <c r="G1053">
        <v>87.726799999999997</v>
      </c>
      <c r="H1053">
        <v>92.707499999999996</v>
      </c>
    </row>
    <row r="1054" spans="1:8" x14ac:dyDescent="0.15">
      <c r="A1054" t="s">
        <v>15</v>
      </c>
      <c r="B1054">
        <v>10000</v>
      </c>
      <c r="C1054">
        <v>20</v>
      </c>
      <c r="D1054">
        <v>4.6273</v>
      </c>
      <c r="E1054">
        <v>432.21870000000001</v>
      </c>
      <c r="F1054">
        <v>17.565000000000001</v>
      </c>
      <c r="G1054">
        <v>87.823099999999997</v>
      </c>
      <c r="H1054">
        <v>92.602999999999994</v>
      </c>
    </row>
    <row r="1055" spans="1:8" x14ac:dyDescent="0.15">
      <c r="A1055" t="s">
        <v>15</v>
      </c>
      <c r="B1055">
        <v>10000</v>
      </c>
      <c r="C1055">
        <v>20</v>
      </c>
      <c r="D1055">
        <v>4.6273999999999997</v>
      </c>
      <c r="E1055">
        <v>432.21010000000001</v>
      </c>
      <c r="F1055">
        <v>17.564</v>
      </c>
      <c r="G1055">
        <v>87.821299999999994</v>
      </c>
      <c r="H1055">
        <v>92.605999999999995</v>
      </c>
    </row>
    <row r="1056" spans="1:8" x14ac:dyDescent="0.15">
      <c r="A1056" t="s">
        <v>15</v>
      </c>
      <c r="B1056">
        <v>10000</v>
      </c>
      <c r="C1056">
        <v>20</v>
      </c>
      <c r="D1056">
        <v>4.6353</v>
      </c>
      <c r="E1056">
        <v>431.46899999999999</v>
      </c>
      <c r="F1056">
        <v>17.533999999999999</v>
      </c>
      <c r="G1056">
        <v>87.6708</v>
      </c>
      <c r="H1056">
        <v>92.753900000000002</v>
      </c>
    </row>
    <row r="1057" spans="1:8" x14ac:dyDescent="0.15">
      <c r="A1057" t="s">
        <v>15</v>
      </c>
      <c r="B1057">
        <v>10000</v>
      </c>
      <c r="C1057">
        <v>20</v>
      </c>
      <c r="D1057">
        <v>4.6383000000000001</v>
      </c>
      <c r="E1057">
        <v>431.19510000000002</v>
      </c>
      <c r="F1057">
        <v>17.523</v>
      </c>
      <c r="G1057">
        <v>87.615099999999998</v>
      </c>
      <c r="H1057">
        <v>92.821799999999996</v>
      </c>
    </row>
    <row r="1058" spans="1:8" x14ac:dyDescent="0.15">
      <c r="A1058" t="s">
        <v>15</v>
      </c>
      <c r="B1058">
        <v>10000</v>
      </c>
      <c r="C1058">
        <v>20</v>
      </c>
      <c r="D1058">
        <v>4.6391</v>
      </c>
      <c r="E1058">
        <v>431.12029999999999</v>
      </c>
      <c r="F1058">
        <v>17.52</v>
      </c>
      <c r="G1058">
        <v>87.599900000000005</v>
      </c>
      <c r="H1058">
        <v>92.839799999999997</v>
      </c>
    </row>
    <row r="1059" spans="1:8" x14ac:dyDescent="0.15">
      <c r="A1059" t="s">
        <v>15</v>
      </c>
      <c r="B1059">
        <v>10000</v>
      </c>
      <c r="C1059">
        <v>20</v>
      </c>
      <c r="D1059">
        <v>4.641</v>
      </c>
      <c r="E1059">
        <v>430.9443</v>
      </c>
      <c r="F1059">
        <v>17.513000000000002</v>
      </c>
      <c r="G1059">
        <v>87.564099999999996</v>
      </c>
      <c r="H1059">
        <v>92.873000000000005</v>
      </c>
    </row>
    <row r="1060" spans="1:8" x14ac:dyDescent="0.15">
      <c r="A1060" t="s">
        <v>15</v>
      </c>
      <c r="B1060">
        <v>10000</v>
      </c>
      <c r="C1060">
        <v>20</v>
      </c>
      <c r="D1060">
        <v>4.6436000000000002</v>
      </c>
      <c r="E1060">
        <v>430.69900000000001</v>
      </c>
      <c r="F1060">
        <v>17.503</v>
      </c>
      <c r="G1060">
        <v>87.514300000000006</v>
      </c>
      <c r="H1060">
        <v>92.930199999999999</v>
      </c>
    </row>
    <row r="1061" spans="1:8" x14ac:dyDescent="0.15">
      <c r="A1061" t="s">
        <v>15</v>
      </c>
      <c r="B1061">
        <v>10000</v>
      </c>
      <c r="C1061">
        <v>20</v>
      </c>
      <c r="D1061">
        <v>4.6417999999999999</v>
      </c>
      <c r="E1061">
        <v>430.86880000000002</v>
      </c>
      <c r="F1061">
        <v>17.510000000000002</v>
      </c>
      <c r="G1061">
        <v>87.5488</v>
      </c>
      <c r="H1061">
        <v>92.892600000000002</v>
      </c>
    </row>
    <row r="1062" spans="1:8" x14ac:dyDescent="0.15">
      <c r="A1062" t="s">
        <v>15</v>
      </c>
      <c r="B1062">
        <v>10000</v>
      </c>
      <c r="C1062">
        <v>20</v>
      </c>
      <c r="D1062">
        <v>4.6421000000000001</v>
      </c>
      <c r="E1062">
        <v>430.83870000000002</v>
      </c>
      <c r="F1062">
        <v>17.509</v>
      </c>
      <c r="G1062">
        <v>87.542699999999996</v>
      </c>
      <c r="H1062">
        <v>92.918899999999994</v>
      </c>
    </row>
    <row r="1063" spans="1:8" x14ac:dyDescent="0.15">
      <c r="A1063" t="s">
        <v>15</v>
      </c>
      <c r="B1063">
        <v>10000</v>
      </c>
      <c r="C1063">
        <v>20</v>
      </c>
      <c r="D1063">
        <v>4.6486999999999998</v>
      </c>
      <c r="E1063">
        <v>430.2276</v>
      </c>
      <c r="F1063">
        <v>17.484000000000002</v>
      </c>
      <c r="G1063">
        <v>87.418499999999995</v>
      </c>
      <c r="H1063">
        <v>93.031700000000001</v>
      </c>
    </row>
    <row r="1064" spans="1:8" x14ac:dyDescent="0.15">
      <c r="A1064" t="s">
        <v>15</v>
      </c>
      <c r="B1064">
        <v>10000</v>
      </c>
      <c r="C1064">
        <v>20</v>
      </c>
      <c r="D1064">
        <v>4.6477000000000004</v>
      </c>
      <c r="E1064">
        <v>430.3175</v>
      </c>
      <c r="F1064">
        <v>17.486999999999998</v>
      </c>
      <c r="G1064">
        <v>87.436800000000005</v>
      </c>
      <c r="H1064">
        <v>92.983900000000006</v>
      </c>
    </row>
    <row r="1065" spans="1:8" x14ac:dyDescent="0.15">
      <c r="A1065" t="s">
        <v>15</v>
      </c>
      <c r="B1065">
        <v>10000</v>
      </c>
      <c r="C1065">
        <v>20</v>
      </c>
      <c r="D1065">
        <v>4.6466000000000003</v>
      </c>
      <c r="E1065">
        <v>430.4255</v>
      </c>
      <c r="F1065">
        <v>17.492000000000001</v>
      </c>
      <c r="G1065">
        <v>87.458699999999993</v>
      </c>
      <c r="H1065">
        <v>92.983900000000006</v>
      </c>
    </row>
    <row r="1066" spans="1:8" x14ac:dyDescent="0.15">
      <c r="A1066" t="s">
        <v>15</v>
      </c>
      <c r="B1066">
        <v>10000</v>
      </c>
      <c r="C1066">
        <v>20</v>
      </c>
      <c r="D1066">
        <v>4.6471</v>
      </c>
      <c r="E1066">
        <v>430.37619999999998</v>
      </c>
      <c r="F1066">
        <v>17.489999999999998</v>
      </c>
      <c r="G1066">
        <v>87.448700000000002</v>
      </c>
      <c r="H1066">
        <v>92.996099999999998</v>
      </c>
    </row>
    <row r="1067" spans="1:8" x14ac:dyDescent="0.15">
      <c r="A1067" t="s">
        <v>15</v>
      </c>
      <c r="B1067">
        <v>10000</v>
      </c>
      <c r="C1067">
        <v>20</v>
      </c>
      <c r="D1067">
        <v>4.6402999999999999</v>
      </c>
      <c r="E1067">
        <v>431.01049999999998</v>
      </c>
      <c r="F1067">
        <v>17.515999999999998</v>
      </c>
      <c r="G1067">
        <v>87.577600000000004</v>
      </c>
      <c r="H1067">
        <v>92.864699999999999</v>
      </c>
    </row>
    <row r="1068" spans="1:8" x14ac:dyDescent="0.15">
      <c r="A1068" t="s">
        <v>15</v>
      </c>
      <c r="B1068">
        <v>10000</v>
      </c>
      <c r="C1068">
        <v>20</v>
      </c>
      <c r="D1068">
        <v>4.6444999999999999</v>
      </c>
      <c r="E1068">
        <v>430.61709999999999</v>
      </c>
      <c r="F1068">
        <v>17.5</v>
      </c>
      <c r="G1068">
        <v>87.497699999999995</v>
      </c>
      <c r="H1068">
        <v>92.948700000000002</v>
      </c>
    </row>
    <row r="1069" spans="1:8" x14ac:dyDescent="0.15">
      <c r="A1069" t="s">
        <v>15</v>
      </c>
      <c r="B1069">
        <v>10000</v>
      </c>
      <c r="C1069">
        <v>20</v>
      </c>
      <c r="D1069">
        <v>4.6403999999999996</v>
      </c>
      <c r="E1069">
        <v>430.99970000000002</v>
      </c>
      <c r="F1069">
        <v>17.515000000000001</v>
      </c>
      <c r="G1069">
        <v>87.575400000000002</v>
      </c>
      <c r="H1069">
        <v>92.862799999999993</v>
      </c>
    </row>
    <row r="1070" spans="1:8" x14ac:dyDescent="0.15">
      <c r="A1070" t="s">
        <v>15</v>
      </c>
      <c r="B1070">
        <v>10000</v>
      </c>
      <c r="C1070">
        <v>20</v>
      </c>
      <c r="D1070">
        <v>4.6477000000000004</v>
      </c>
      <c r="E1070">
        <v>430.31909999999999</v>
      </c>
      <c r="F1070">
        <v>17.486999999999998</v>
      </c>
      <c r="G1070">
        <v>87.437100000000001</v>
      </c>
      <c r="H1070">
        <v>92.990200000000002</v>
      </c>
    </row>
    <row r="1071" spans="1:8" x14ac:dyDescent="0.15">
      <c r="A1071" t="s">
        <v>15</v>
      </c>
      <c r="B1071">
        <v>10000</v>
      </c>
      <c r="C1071">
        <v>20</v>
      </c>
      <c r="D1071">
        <v>4.6441999999999997</v>
      </c>
      <c r="E1071">
        <v>430.6422</v>
      </c>
      <c r="F1071">
        <v>17.501000000000001</v>
      </c>
      <c r="G1071">
        <v>87.502799999999993</v>
      </c>
      <c r="H1071">
        <v>92.943799999999996</v>
      </c>
    </row>
    <row r="1072" spans="1:8" x14ac:dyDescent="0.15">
      <c r="A1072" t="s">
        <v>15</v>
      </c>
      <c r="B1072">
        <v>10000</v>
      </c>
      <c r="C1072">
        <v>20</v>
      </c>
      <c r="D1072">
        <v>4.6429</v>
      </c>
      <c r="E1072">
        <v>430.76819999999998</v>
      </c>
      <c r="F1072">
        <v>17.506</v>
      </c>
      <c r="G1072">
        <v>87.528400000000005</v>
      </c>
      <c r="H1072">
        <v>92.914100000000005</v>
      </c>
    </row>
    <row r="1073" spans="1:8" x14ac:dyDescent="0.15">
      <c r="A1073" t="s">
        <v>15</v>
      </c>
      <c r="B1073">
        <v>10000</v>
      </c>
      <c r="C1073">
        <v>20</v>
      </c>
      <c r="D1073">
        <v>4.6451000000000002</v>
      </c>
      <c r="E1073">
        <v>430.56209999999999</v>
      </c>
      <c r="F1073">
        <v>17.497</v>
      </c>
      <c r="G1073">
        <v>87.486500000000007</v>
      </c>
      <c r="H1073">
        <v>92.954099999999997</v>
      </c>
    </row>
    <row r="1074" spans="1:8" x14ac:dyDescent="0.15">
      <c r="A1074" t="s">
        <v>15</v>
      </c>
      <c r="B1074">
        <v>10000</v>
      </c>
      <c r="C1074">
        <v>20</v>
      </c>
      <c r="D1074">
        <v>4.6447000000000003</v>
      </c>
      <c r="E1074">
        <v>430.59960000000001</v>
      </c>
      <c r="F1074">
        <v>17.498999999999999</v>
      </c>
      <c r="G1074">
        <v>87.494100000000003</v>
      </c>
      <c r="H1074">
        <v>92.954099999999997</v>
      </c>
    </row>
    <row r="1075" spans="1:8" x14ac:dyDescent="0.15">
      <c r="A1075" t="s">
        <v>15</v>
      </c>
      <c r="B1075">
        <v>10000</v>
      </c>
      <c r="C1075">
        <v>20</v>
      </c>
      <c r="D1075">
        <v>4.6418999999999997</v>
      </c>
      <c r="E1075">
        <v>430.86169999999998</v>
      </c>
      <c r="F1075">
        <v>17.509</v>
      </c>
      <c r="G1075">
        <v>87.547399999999996</v>
      </c>
      <c r="H1075">
        <v>92.8857</v>
      </c>
    </row>
    <row r="1076" spans="1:8" x14ac:dyDescent="0.15">
      <c r="A1076" t="s">
        <v>15</v>
      </c>
      <c r="B1076">
        <v>10000</v>
      </c>
      <c r="C1076">
        <v>20</v>
      </c>
      <c r="D1076">
        <v>4.6413000000000002</v>
      </c>
      <c r="E1076">
        <v>430.91239999999999</v>
      </c>
      <c r="F1076">
        <v>17.512</v>
      </c>
      <c r="G1076">
        <v>87.557599999999994</v>
      </c>
      <c r="H1076">
        <v>92.8887</v>
      </c>
    </row>
    <row r="1077" spans="1:8" x14ac:dyDescent="0.15">
      <c r="A1077" t="s">
        <v>15</v>
      </c>
      <c r="B1077">
        <v>10000</v>
      </c>
      <c r="C1077">
        <v>20</v>
      </c>
      <c r="D1077">
        <v>4.6368999999999998</v>
      </c>
      <c r="E1077">
        <v>431.31970000000001</v>
      </c>
      <c r="F1077">
        <v>17.527999999999999</v>
      </c>
      <c r="G1077">
        <v>87.6404</v>
      </c>
      <c r="H1077">
        <v>92.8125</v>
      </c>
    </row>
    <row r="1078" spans="1:8" x14ac:dyDescent="0.15">
      <c r="A1078" t="s">
        <v>15</v>
      </c>
      <c r="B1078">
        <v>10000</v>
      </c>
      <c r="C1078">
        <v>20</v>
      </c>
      <c r="D1078">
        <v>4.6380999999999997</v>
      </c>
      <c r="E1078">
        <v>431.20870000000002</v>
      </c>
      <c r="F1078">
        <v>17.524000000000001</v>
      </c>
      <c r="G1078">
        <v>87.617900000000006</v>
      </c>
      <c r="H1078">
        <v>92.818399999999997</v>
      </c>
    </row>
    <row r="1079" spans="1:8" x14ac:dyDescent="0.15">
      <c r="A1079" t="s">
        <v>15</v>
      </c>
      <c r="B1079">
        <v>10000</v>
      </c>
      <c r="C1079">
        <v>20</v>
      </c>
      <c r="D1079">
        <v>4.6413000000000002</v>
      </c>
      <c r="E1079">
        <v>430.9126</v>
      </c>
      <c r="F1079">
        <v>17.512</v>
      </c>
      <c r="G1079">
        <v>87.557699999999997</v>
      </c>
      <c r="H1079">
        <v>92.882800000000003</v>
      </c>
    </row>
    <row r="1080" spans="1:8" x14ac:dyDescent="0.15">
      <c r="A1080" t="s">
        <v>15</v>
      </c>
      <c r="B1080">
        <v>10000</v>
      </c>
      <c r="C1080">
        <v>20</v>
      </c>
      <c r="D1080">
        <v>4.641</v>
      </c>
      <c r="E1080">
        <v>430.94220000000001</v>
      </c>
      <c r="F1080">
        <v>17.513000000000002</v>
      </c>
      <c r="G1080">
        <v>87.563699999999997</v>
      </c>
      <c r="H1080">
        <v>92.877899999999997</v>
      </c>
    </row>
    <row r="1081" spans="1:8" x14ac:dyDescent="0.15">
      <c r="A1081" t="s">
        <v>15</v>
      </c>
      <c r="B1081">
        <v>10000</v>
      </c>
      <c r="C1081">
        <v>20</v>
      </c>
      <c r="D1081">
        <v>4.6448999999999998</v>
      </c>
      <c r="E1081">
        <v>430.577</v>
      </c>
      <c r="F1081">
        <v>17.498000000000001</v>
      </c>
      <c r="G1081">
        <v>87.489500000000007</v>
      </c>
      <c r="H1081">
        <v>92.957999999999998</v>
      </c>
    </row>
    <row r="1082" spans="1:8" x14ac:dyDescent="0.15">
      <c r="A1082" t="s">
        <v>15</v>
      </c>
      <c r="B1082">
        <v>10000</v>
      </c>
      <c r="C1082">
        <v>20</v>
      </c>
      <c r="D1082">
        <v>4.6397000000000004</v>
      </c>
      <c r="E1082">
        <v>431.05939999999998</v>
      </c>
      <c r="F1082">
        <v>17.518000000000001</v>
      </c>
      <c r="G1082">
        <v>87.587500000000006</v>
      </c>
      <c r="H1082">
        <v>92.845699999999994</v>
      </c>
    </row>
    <row r="1083" spans="1:8" x14ac:dyDescent="0.15">
      <c r="A1083" t="s">
        <v>15</v>
      </c>
      <c r="B1083">
        <v>10000</v>
      </c>
      <c r="C1083">
        <v>20</v>
      </c>
      <c r="D1083">
        <v>4.6387999999999998</v>
      </c>
      <c r="E1083">
        <v>431.14420000000001</v>
      </c>
      <c r="F1083">
        <v>17.521000000000001</v>
      </c>
      <c r="G1083">
        <v>87.604799999999997</v>
      </c>
      <c r="H1083">
        <v>92.8262</v>
      </c>
    </row>
    <row r="1084" spans="1:8" x14ac:dyDescent="0.15">
      <c r="A1084" t="s">
        <v>15</v>
      </c>
      <c r="B1084">
        <v>10000</v>
      </c>
      <c r="C1084">
        <v>20</v>
      </c>
      <c r="D1084">
        <v>4.6397000000000004</v>
      </c>
      <c r="E1084">
        <v>431.06310000000002</v>
      </c>
      <c r="F1084">
        <v>17.518000000000001</v>
      </c>
      <c r="G1084">
        <v>87.588300000000004</v>
      </c>
      <c r="H1084">
        <v>92.834999999999994</v>
      </c>
    </row>
    <row r="1085" spans="1:8" x14ac:dyDescent="0.15">
      <c r="A1085" t="s">
        <v>15</v>
      </c>
      <c r="B1085">
        <v>10000</v>
      </c>
      <c r="C1085">
        <v>20</v>
      </c>
      <c r="D1085">
        <v>4.6444999999999999</v>
      </c>
      <c r="E1085">
        <v>430.62079999999997</v>
      </c>
      <c r="F1085">
        <v>17.5</v>
      </c>
      <c r="G1085">
        <v>87.498400000000004</v>
      </c>
      <c r="H1085">
        <v>92.956999999999994</v>
      </c>
    </row>
    <row r="1086" spans="1:8" x14ac:dyDescent="0.15">
      <c r="A1086" t="s">
        <v>15</v>
      </c>
      <c r="B1086">
        <v>10000</v>
      </c>
      <c r="C1086">
        <v>20</v>
      </c>
      <c r="D1086">
        <v>4.6456</v>
      </c>
      <c r="E1086">
        <v>430.51080000000002</v>
      </c>
      <c r="F1086">
        <v>17.495000000000001</v>
      </c>
      <c r="G1086">
        <v>87.476100000000002</v>
      </c>
      <c r="H1086">
        <v>92.971699999999998</v>
      </c>
    </row>
    <row r="1087" spans="1:8" x14ac:dyDescent="0.15">
      <c r="A1087" t="s">
        <v>15</v>
      </c>
      <c r="B1087">
        <v>10000</v>
      </c>
      <c r="C1087">
        <v>20</v>
      </c>
      <c r="D1087">
        <v>4.6471999999999998</v>
      </c>
      <c r="E1087">
        <v>430.36619999999999</v>
      </c>
      <c r="F1087">
        <v>17.489000000000001</v>
      </c>
      <c r="G1087">
        <v>87.446700000000007</v>
      </c>
      <c r="H1087">
        <v>93.002899999999997</v>
      </c>
    </row>
    <row r="1088" spans="1:8" x14ac:dyDescent="0.15">
      <c r="A1088" t="s">
        <v>15</v>
      </c>
      <c r="B1088">
        <v>10000</v>
      </c>
      <c r="C1088">
        <v>20</v>
      </c>
      <c r="D1088">
        <v>4.6455000000000002</v>
      </c>
      <c r="E1088">
        <v>430.52030000000002</v>
      </c>
      <c r="F1088">
        <v>17.495999999999999</v>
      </c>
      <c r="G1088">
        <v>87.477999999999994</v>
      </c>
      <c r="H1088">
        <v>92.962900000000005</v>
      </c>
    </row>
    <row r="1089" spans="1:8" x14ac:dyDescent="0.15">
      <c r="A1089" t="s">
        <v>15</v>
      </c>
      <c r="B1089">
        <v>10000</v>
      </c>
      <c r="C1089">
        <v>20</v>
      </c>
      <c r="D1089">
        <v>4.6406999999999998</v>
      </c>
      <c r="E1089">
        <v>430.97140000000002</v>
      </c>
      <c r="F1089">
        <v>17.513999999999999</v>
      </c>
      <c r="G1089">
        <v>87.569699999999997</v>
      </c>
      <c r="H1089">
        <v>92.8643</v>
      </c>
    </row>
    <row r="1090" spans="1:8" x14ac:dyDescent="0.15">
      <c r="A1090" t="s">
        <v>15</v>
      </c>
      <c r="B1090">
        <v>10000</v>
      </c>
      <c r="C1090">
        <v>20</v>
      </c>
      <c r="D1090">
        <v>4.6555</v>
      </c>
      <c r="E1090">
        <v>429.60230000000001</v>
      </c>
      <c r="F1090">
        <v>17.457999999999998</v>
      </c>
      <c r="G1090">
        <v>87.291499999999999</v>
      </c>
      <c r="H1090">
        <v>93.153300000000002</v>
      </c>
    </row>
    <row r="1091" spans="1:8" x14ac:dyDescent="0.15">
      <c r="A1091" t="s">
        <v>15</v>
      </c>
      <c r="B1091">
        <v>10005</v>
      </c>
      <c r="C1091">
        <v>1</v>
      </c>
      <c r="D1091">
        <v>81.834900000000005</v>
      </c>
      <c r="E1091">
        <v>24.476099999999999</v>
      </c>
      <c r="F1091">
        <v>1</v>
      </c>
      <c r="G1091">
        <v>100</v>
      </c>
      <c r="H1091">
        <v>85.679000000000002</v>
      </c>
    </row>
    <row r="1092" spans="1:8" x14ac:dyDescent="0.15">
      <c r="A1092" t="s">
        <v>15</v>
      </c>
      <c r="B1092">
        <v>10005</v>
      </c>
      <c r="C1092">
        <v>1</v>
      </c>
      <c r="D1092">
        <v>80.880499999999998</v>
      </c>
      <c r="E1092">
        <v>24.765000000000001</v>
      </c>
      <c r="F1092">
        <v>1.012</v>
      </c>
      <c r="G1092">
        <v>101.18</v>
      </c>
      <c r="H1092">
        <v>80.959699999999998</v>
      </c>
    </row>
    <row r="1093" spans="1:8" x14ac:dyDescent="0.15">
      <c r="A1093" t="s">
        <v>15</v>
      </c>
      <c r="B1093">
        <v>10005</v>
      </c>
      <c r="C1093">
        <v>1</v>
      </c>
      <c r="D1093">
        <v>80.876800000000003</v>
      </c>
      <c r="E1093">
        <v>24.766100000000002</v>
      </c>
      <c r="F1093">
        <v>1.012</v>
      </c>
      <c r="G1093">
        <v>101.18470000000001</v>
      </c>
      <c r="H1093">
        <v>80.954700000000003</v>
      </c>
    </row>
    <row r="1094" spans="1:8" x14ac:dyDescent="0.15">
      <c r="A1094" t="s">
        <v>15</v>
      </c>
      <c r="B1094">
        <v>10005</v>
      </c>
      <c r="C1094">
        <v>1</v>
      </c>
      <c r="D1094">
        <v>80.881500000000003</v>
      </c>
      <c r="E1094">
        <v>24.764700000000001</v>
      </c>
      <c r="F1094">
        <v>1.012</v>
      </c>
      <c r="G1094">
        <v>101.1788</v>
      </c>
      <c r="H1094">
        <v>80.960700000000003</v>
      </c>
    </row>
    <row r="1095" spans="1:8" x14ac:dyDescent="0.15">
      <c r="A1095" t="s">
        <v>15</v>
      </c>
      <c r="B1095">
        <v>10005</v>
      </c>
      <c r="C1095">
        <v>1</v>
      </c>
      <c r="D1095">
        <v>80.8797</v>
      </c>
      <c r="E1095">
        <v>24.7652</v>
      </c>
      <c r="F1095">
        <v>1.012</v>
      </c>
      <c r="G1095">
        <v>101.181</v>
      </c>
      <c r="H1095">
        <v>80.958699999999993</v>
      </c>
    </row>
    <row r="1096" spans="1:8" x14ac:dyDescent="0.15">
      <c r="A1096" t="s">
        <v>15</v>
      </c>
      <c r="B1096">
        <v>10005</v>
      </c>
      <c r="C1096">
        <v>1</v>
      </c>
      <c r="D1096">
        <v>80.890100000000004</v>
      </c>
      <c r="E1096">
        <v>24.762</v>
      </c>
      <c r="F1096">
        <v>1.012</v>
      </c>
      <c r="G1096">
        <v>101.16800000000001</v>
      </c>
      <c r="H1096">
        <v>80.968699999999998</v>
      </c>
    </row>
    <row r="1097" spans="1:8" x14ac:dyDescent="0.15">
      <c r="A1097" t="s">
        <v>15</v>
      </c>
      <c r="B1097">
        <v>10005</v>
      </c>
      <c r="C1097">
        <v>19</v>
      </c>
      <c r="D1097">
        <v>5.0701000000000001</v>
      </c>
      <c r="E1097">
        <v>395.06139999999999</v>
      </c>
      <c r="F1097">
        <v>16.140999999999998</v>
      </c>
      <c r="G1097">
        <v>84.950999999999993</v>
      </c>
      <c r="H1097">
        <v>91.621099999999998</v>
      </c>
    </row>
    <row r="1098" spans="1:8" x14ac:dyDescent="0.15">
      <c r="A1098" t="s">
        <v>15</v>
      </c>
      <c r="B1098">
        <v>10005</v>
      </c>
      <c r="C1098">
        <v>19</v>
      </c>
      <c r="D1098">
        <v>5.0640999999999998</v>
      </c>
      <c r="E1098">
        <v>395.52719999999999</v>
      </c>
      <c r="F1098">
        <v>16.16</v>
      </c>
      <c r="G1098">
        <v>85.051100000000005</v>
      </c>
      <c r="H1098">
        <v>91.491100000000003</v>
      </c>
    </row>
    <row r="1099" spans="1:8" x14ac:dyDescent="0.15">
      <c r="A1099" t="s">
        <v>15</v>
      </c>
      <c r="B1099">
        <v>10005</v>
      </c>
      <c r="C1099">
        <v>19</v>
      </c>
      <c r="D1099">
        <v>5.0627000000000004</v>
      </c>
      <c r="E1099">
        <v>395.63940000000002</v>
      </c>
      <c r="F1099">
        <v>16.164000000000001</v>
      </c>
      <c r="G1099">
        <v>85.075299999999999</v>
      </c>
      <c r="H1099">
        <v>91.600099999999998</v>
      </c>
    </row>
    <row r="1100" spans="1:8" x14ac:dyDescent="0.15">
      <c r="A1100" t="s">
        <v>15</v>
      </c>
      <c r="B1100">
        <v>10005</v>
      </c>
      <c r="C1100">
        <v>19</v>
      </c>
      <c r="D1100">
        <v>5.0629</v>
      </c>
      <c r="E1100">
        <v>395.6259</v>
      </c>
      <c r="F1100">
        <v>16.164000000000001</v>
      </c>
      <c r="G1100">
        <v>85.072400000000002</v>
      </c>
      <c r="H1100">
        <v>91.545000000000002</v>
      </c>
    </row>
    <row r="1101" spans="1:8" x14ac:dyDescent="0.15">
      <c r="A1101" t="s">
        <v>15</v>
      </c>
      <c r="B1101">
        <v>10005</v>
      </c>
      <c r="C1101">
        <v>19</v>
      </c>
      <c r="D1101">
        <v>5.0629999999999997</v>
      </c>
      <c r="E1101">
        <v>395.61320000000001</v>
      </c>
      <c r="F1101">
        <v>16.163</v>
      </c>
      <c r="G1101">
        <v>85.069599999999994</v>
      </c>
      <c r="H1101">
        <v>91.486099999999993</v>
      </c>
    </row>
    <row r="1102" spans="1:8" x14ac:dyDescent="0.15">
      <c r="A1102" t="s">
        <v>15</v>
      </c>
      <c r="B1102">
        <v>10005</v>
      </c>
      <c r="C1102">
        <v>19</v>
      </c>
      <c r="D1102">
        <v>5.0625</v>
      </c>
      <c r="E1102">
        <v>395.65230000000003</v>
      </c>
      <c r="F1102">
        <v>16.164999999999999</v>
      </c>
      <c r="G1102">
        <v>85.078000000000003</v>
      </c>
      <c r="H1102">
        <v>91.417100000000005</v>
      </c>
    </row>
    <row r="1103" spans="1:8" x14ac:dyDescent="0.15">
      <c r="A1103" t="s">
        <v>15</v>
      </c>
      <c r="B1103">
        <v>10005</v>
      </c>
      <c r="C1103">
        <v>19</v>
      </c>
      <c r="D1103">
        <v>5.0625999999999998</v>
      </c>
      <c r="E1103">
        <v>395.64710000000002</v>
      </c>
      <c r="F1103">
        <v>16.164999999999999</v>
      </c>
      <c r="G1103">
        <v>85.076899999999995</v>
      </c>
      <c r="H1103">
        <v>91.556200000000004</v>
      </c>
    </row>
    <row r="1104" spans="1:8" x14ac:dyDescent="0.15">
      <c r="A1104" t="s">
        <v>15</v>
      </c>
      <c r="B1104">
        <v>10005</v>
      </c>
      <c r="C1104">
        <v>19</v>
      </c>
      <c r="D1104">
        <v>5.0627000000000004</v>
      </c>
      <c r="E1104">
        <v>395.64060000000001</v>
      </c>
      <c r="F1104">
        <v>16.164000000000001</v>
      </c>
      <c r="G1104">
        <v>85.075500000000005</v>
      </c>
      <c r="H1104">
        <v>91.498000000000005</v>
      </c>
    </row>
    <row r="1105" spans="1:8" x14ac:dyDescent="0.15">
      <c r="A1105" t="s">
        <v>15</v>
      </c>
      <c r="B1105">
        <v>10005</v>
      </c>
      <c r="C1105">
        <v>19</v>
      </c>
      <c r="D1105">
        <v>5.0629999999999997</v>
      </c>
      <c r="E1105">
        <v>395.61450000000002</v>
      </c>
      <c r="F1105">
        <v>16.163</v>
      </c>
      <c r="G1105">
        <v>85.069900000000004</v>
      </c>
      <c r="H1105">
        <v>91.440100000000001</v>
      </c>
    </row>
    <row r="1106" spans="1:8" x14ac:dyDescent="0.15">
      <c r="A1106" t="s">
        <v>15</v>
      </c>
      <c r="B1106">
        <v>10005</v>
      </c>
      <c r="C1106">
        <v>19</v>
      </c>
      <c r="D1106">
        <v>5.0629999999999997</v>
      </c>
      <c r="E1106">
        <v>395.61470000000003</v>
      </c>
      <c r="F1106">
        <v>16.163</v>
      </c>
      <c r="G1106">
        <v>85.07</v>
      </c>
      <c r="H1106">
        <v>91.577100000000002</v>
      </c>
    </row>
    <row r="1107" spans="1:8" x14ac:dyDescent="0.15">
      <c r="A1107" t="s">
        <v>15</v>
      </c>
      <c r="B1107">
        <v>10005</v>
      </c>
      <c r="C1107">
        <v>19</v>
      </c>
      <c r="D1107">
        <v>5.0796000000000001</v>
      </c>
      <c r="E1107">
        <v>394.32650000000001</v>
      </c>
      <c r="F1107">
        <v>16.111000000000001</v>
      </c>
      <c r="G1107">
        <v>84.792900000000003</v>
      </c>
      <c r="H1107">
        <v>91.815100000000001</v>
      </c>
    </row>
    <row r="1108" spans="1:8" x14ac:dyDescent="0.15">
      <c r="A1108" t="s">
        <v>15</v>
      </c>
      <c r="B1108">
        <v>10005</v>
      </c>
      <c r="C1108">
        <v>19</v>
      </c>
      <c r="D1108">
        <v>5.0942999999999996</v>
      </c>
      <c r="E1108">
        <v>393.18729999999999</v>
      </c>
      <c r="F1108">
        <v>16.064</v>
      </c>
      <c r="G1108">
        <v>84.548000000000002</v>
      </c>
      <c r="H1108">
        <v>92.004999999999995</v>
      </c>
    </row>
    <row r="1109" spans="1:8" x14ac:dyDescent="0.15">
      <c r="A1109" t="s">
        <v>15</v>
      </c>
      <c r="B1109">
        <v>10005</v>
      </c>
      <c r="C1109">
        <v>19</v>
      </c>
      <c r="D1109">
        <v>5.0975999999999999</v>
      </c>
      <c r="E1109">
        <v>392.92950000000002</v>
      </c>
      <c r="F1109">
        <v>16.053999999999998</v>
      </c>
      <c r="G1109">
        <v>84.492500000000007</v>
      </c>
      <c r="H1109">
        <v>92.171999999999997</v>
      </c>
    </row>
    <row r="1110" spans="1:8" x14ac:dyDescent="0.15">
      <c r="A1110" t="s">
        <v>15</v>
      </c>
      <c r="B1110">
        <v>10005</v>
      </c>
      <c r="C1110">
        <v>19</v>
      </c>
      <c r="D1110">
        <v>5.1021999999999998</v>
      </c>
      <c r="E1110">
        <v>392.57600000000002</v>
      </c>
      <c r="F1110">
        <v>16.039000000000001</v>
      </c>
      <c r="G1110">
        <v>84.416499999999999</v>
      </c>
      <c r="H1110">
        <v>92.159899999999993</v>
      </c>
    </row>
    <row r="1111" spans="1:8" x14ac:dyDescent="0.15">
      <c r="A1111" t="s">
        <v>15</v>
      </c>
      <c r="B1111">
        <v>10005</v>
      </c>
      <c r="C1111">
        <v>19</v>
      </c>
      <c r="D1111">
        <v>5.1101000000000001</v>
      </c>
      <c r="E1111">
        <v>391.97300000000001</v>
      </c>
      <c r="F1111">
        <v>16.015000000000001</v>
      </c>
      <c r="G1111">
        <v>84.286900000000003</v>
      </c>
      <c r="H1111">
        <v>92.400999999999996</v>
      </c>
    </row>
    <row r="1112" spans="1:8" x14ac:dyDescent="0.15">
      <c r="A1112" t="s">
        <v>15</v>
      </c>
      <c r="B1112">
        <v>10005</v>
      </c>
      <c r="C1112">
        <v>19</v>
      </c>
      <c r="D1112">
        <v>5.1123000000000003</v>
      </c>
      <c r="E1112">
        <v>391.80029999999999</v>
      </c>
      <c r="F1112">
        <v>16.007000000000001</v>
      </c>
      <c r="G1112">
        <v>84.249700000000004</v>
      </c>
      <c r="H1112">
        <v>92.332899999999995</v>
      </c>
    </row>
    <row r="1113" spans="1:8" x14ac:dyDescent="0.15">
      <c r="A1113" t="s">
        <v>15</v>
      </c>
      <c r="B1113">
        <v>10005</v>
      </c>
      <c r="C1113">
        <v>19</v>
      </c>
      <c r="D1113">
        <v>5.1086</v>
      </c>
      <c r="E1113">
        <v>392.08789999999999</v>
      </c>
      <c r="F1113">
        <v>16.018999999999998</v>
      </c>
      <c r="G1113">
        <v>84.311599999999999</v>
      </c>
      <c r="H1113">
        <v>92.355099999999993</v>
      </c>
    </row>
    <row r="1114" spans="1:8" x14ac:dyDescent="0.15">
      <c r="A1114" t="s">
        <v>15</v>
      </c>
      <c r="B1114">
        <v>10005</v>
      </c>
      <c r="C1114">
        <v>19</v>
      </c>
      <c r="D1114">
        <v>5.1100000000000003</v>
      </c>
      <c r="E1114">
        <v>391.9744</v>
      </c>
      <c r="F1114">
        <v>16.015000000000001</v>
      </c>
      <c r="G1114">
        <v>84.287199999999999</v>
      </c>
      <c r="H1114">
        <v>92.273899999999998</v>
      </c>
    </row>
    <row r="1115" spans="1:8" x14ac:dyDescent="0.15">
      <c r="A1115" t="s">
        <v>15</v>
      </c>
      <c r="B1115">
        <v>10005</v>
      </c>
      <c r="C1115">
        <v>19</v>
      </c>
      <c r="D1115">
        <v>5.1098999999999997</v>
      </c>
      <c r="E1115">
        <v>391.98500000000001</v>
      </c>
      <c r="F1115">
        <v>16.015000000000001</v>
      </c>
      <c r="G1115">
        <v>84.289500000000004</v>
      </c>
      <c r="H1115">
        <v>92.350800000000007</v>
      </c>
    </row>
    <row r="1116" spans="1:8" x14ac:dyDescent="0.15">
      <c r="A1116" t="s">
        <v>15</v>
      </c>
      <c r="B1116">
        <v>10005</v>
      </c>
      <c r="C1116">
        <v>19</v>
      </c>
      <c r="D1116">
        <v>5.1045999999999996</v>
      </c>
      <c r="E1116">
        <v>392.39179999999999</v>
      </c>
      <c r="F1116">
        <v>16.032</v>
      </c>
      <c r="G1116">
        <v>84.376900000000006</v>
      </c>
      <c r="H1116">
        <v>92.360100000000003</v>
      </c>
    </row>
    <row r="1117" spans="1:8" x14ac:dyDescent="0.15">
      <c r="A1117" t="s">
        <v>15</v>
      </c>
      <c r="B1117">
        <v>10005</v>
      </c>
      <c r="C1117">
        <v>19</v>
      </c>
      <c r="D1117">
        <v>5.1062000000000003</v>
      </c>
      <c r="E1117">
        <v>392.26819999999998</v>
      </c>
      <c r="F1117">
        <v>16.027000000000001</v>
      </c>
      <c r="G1117">
        <v>84.350399999999993</v>
      </c>
      <c r="H1117">
        <v>92.251999999999995</v>
      </c>
    </row>
    <row r="1118" spans="1:8" x14ac:dyDescent="0.15">
      <c r="A1118" t="s">
        <v>15</v>
      </c>
      <c r="B1118">
        <v>10005</v>
      </c>
      <c r="C1118">
        <v>19</v>
      </c>
      <c r="D1118">
        <v>5.1100000000000003</v>
      </c>
      <c r="E1118">
        <v>391.9787</v>
      </c>
      <c r="F1118">
        <v>16.015000000000001</v>
      </c>
      <c r="G1118">
        <v>84.2881</v>
      </c>
      <c r="H1118">
        <v>92.45</v>
      </c>
    </row>
    <row r="1119" spans="1:8" x14ac:dyDescent="0.15">
      <c r="A1119" t="s">
        <v>15</v>
      </c>
      <c r="B1119">
        <v>10005</v>
      </c>
      <c r="C1119">
        <v>19</v>
      </c>
      <c r="D1119">
        <v>5.1124000000000001</v>
      </c>
      <c r="E1119">
        <v>391.79109999999997</v>
      </c>
      <c r="F1119">
        <v>16.007000000000001</v>
      </c>
      <c r="G1119">
        <v>84.247799999999998</v>
      </c>
      <c r="H1119">
        <v>92.385999999999996</v>
      </c>
    </row>
    <row r="1120" spans="1:8" x14ac:dyDescent="0.15">
      <c r="A1120" t="s">
        <v>15</v>
      </c>
      <c r="B1120">
        <v>10005</v>
      </c>
      <c r="C1120">
        <v>19</v>
      </c>
      <c r="D1120">
        <v>5.1096000000000004</v>
      </c>
      <c r="E1120">
        <v>392.00599999999997</v>
      </c>
      <c r="F1120">
        <v>16.015999999999998</v>
      </c>
      <c r="G1120">
        <v>84.293999999999997</v>
      </c>
      <c r="H1120">
        <v>92.424800000000005</v>
      </c>
    </row>
    <row r="1121" spans="1:8" x14ac:dyDescent="0.15">
      <c r="A1121" t="s">
        <v>15</v>
      </c>
      <c r="B1121">
        <v>10005</v>
      </c>
      <c r="C1121">
        <v>19</v>
      </c>
      <c r="D1121">
        <v>5.1100000000000003</v>
      </c>
      <c r="E1121">
        <v>391.97710000000001</v>
      </c>
      <c r="F1121">
        <v>16.015000000000001</v>
      </c>
      <c r="G1121">
        <v>84.287800000000004</v>
      </c>
      <c r="H1121">
        <v>92.323999999999998</v>
      </c>
    </row>
    <row r="1122" spans="1:8" x14ac:dyDescent="0.15">
      <c r="A1122" t="s">
        <v>15</v>
      </c>
      <c r="B1122">
        <v>10005</v>
      </c>
      <c r="C1122">
        <v>19</v>
      </c>
      <c r="D1122">
        <v>5.1138000000000003</v>
      </c>
      <c r="E1122">
        <v>391.68209999999999</v>
      </c>
      <c r="F1122">
        <v>16.003</v>
      </c>
      <c r="G1122">
        <v>84.224299999999999</v>
      </c>
      <c r="H1122">
        <v>92.483900000000006</v>
      </c>
    </row>
    <row r="1123" spans="1:8" x14ac:dyDescent="0.15">
      <c r="A1123" t="s">
        <v>15</v>
      </c>
      <c r="B1123">
        <v>10005</v>
      </c>
      <c r="C1123">
        <v>19</v>
      </c>
      <c r="D1123">
        <v>5.1138000000000003</v>
      </c>
      <c r="E1123">
        <v>391.6893</v>
      </c>
      <c r="F1123">
        <v>16.003</v>
      </c>
      <c r="G1123">
        <v>84.225899999999996</v>
      </c>
      <c r="H1123">
        <v>92.370099999999994</v>
      </c>
    </row>
    <row r="1124" spans="1:8" x14ac:dyDescent="0.15">
      <c r="A1124" t="s">
        <v>15</v>
      </c>
      <c r="B1124">
        <v>10005</v>
      </c>
      <c r="C1124">
        <v>19</v>
      </c>
      <c r="D1124">
        <v>5.1189999999999998</v>
      </c>
      <c r="E1124">
        <v>391.28590000000003</v>
      </c>
      <c r="F1124">
        <v>15.986000000000001</v>
      </c>
      <c r="G1124">
        <v>84.139099999999999</v>
      </c>
      <c r="H1124">
        <v>92.554900000000004</v>
      </c>
    </row>
    <row r="1125" spans="1:8" x14ac:dyDescent="0.15">
      <c r="A1125" t="s">
        <v>15</v>
      </c>
      <c r="B1125">
        <v>10005</v>
      </c>
      <c r="C1125">
        <v>19</v>
      </c>
      <c r="D1125">
        <v>5.1227</v>
      </c>
      <c r="E1125">
        <v>391.00439999999998</v>
      </c>
      <c r="F1125">
        <v>15.975</v>
      </c>
      <c r="G1125">
        <v>84.078599999999994</v>
      </c>
      <c r="H1125">
        <v>92.504900000000006</v>
      </c>
    </row>
    <row r="1126" spans="1:8" x14ac:dyDescent="0.15">
      <c r="A1126" t="s">
        <v>15</v>
      </c>
      <c r="B1126">
        <v>10005</v>
      </c>
      <c r="C1126">
        <v>19</v>
      </c>
      <c r="D1126">
        <v>5.1265000000000001</v>
      </c>
      <c r="E1126">
        <v>390.71260000000001</v>
      </c>
      <c r="F1126">
        <v>15.962999999999999</v>
      </c>
      <c r="G1126">
        <v>84.015900000000002</v>
      </c>
      <c r="H1126">
        <v>92.552999999999997</v>
      </c>
    </row>
    <row r="1127" spans="1:8" x14ac:dyDescent="0.15">
      <c r="A1127" t="s">
        <v>15</v>
      </c>
      <c r="B1127">
        <v>10005</v>
      </c>
      <c r="C1127">
        <v>19</v>
      </c>
      <c r="D1127">
        <v>5.1284000000000001</v>
      </c>
      <c r="E1127">
        <v>390.57369999999997</v>
      </c>
      <c r="F1127">
        <v>15.957000000000001</v>
      </c>
      <c r="G1127">
        <v>83.986000000000004</v>
      </c>
      <c r="H1127">
        <v>92.7607</v>
      </c>
    </row>
    <row r="1128" spans="1:8" x14ac:dyDescent="0.15">
      <c r="A1128" t="s">
        <v>15</v>
      </c>
      <c r="B1128">
        <v>10005</v>
      </c>
      <c r="C1128">
        <v>19</v>
      </c>
      <c r="D1128">
        <v>5.1329000000000002</v>
      </c>
      <c r="E1128">
        <v>390.22669999999999</v>
      </c>
      <c r="F1128">
        <v>15.943</v>
      </c>
      <c r="G1128">
        <v>83.9114</v>
      </c>
      <c r="H1128">
        <v>92.713099999999997</v>
      </c>
    </row>
    <row r="1129" spans="1:8" x14ac:dyDescent="0.15">
      <c r="A1129" t="s">
        <v>15</v>
      </c>
      <c r="B1129">
        <v>10005</v>
      </c>
      <c r="C1129">
        <v>19</v>
      </c>
      <c r="D1129">
        <v>5.133</v>
      </c>
      <c r="E1129">
        <v>390.22210000000001</v>
      </c>
      <c r="F1129">
        <v>15.943</v>
      </c>
      <c r="G1129">
        <v>83.910399999999996</v>
      </c>
      <c r="H1129">
        <v>92.675799999999995</v>
      </c>
    </row>
    <row r="1130" spans="1:8" x14ac:dyDescent="0.15">
      <c r="A1130" t="s">
        <v>15</v>
      </c>
      <c r="B1130">
        <v>10005</v>
      </c>
      <c r="C1130">
        <v>19</v>
      </c>
      <c r="D1130">
        <v>5.1307999999999998</v>
      </c>
      <c r="E1130">
        <v>390.39019999999999</v>
      </c>
      <c r="F1130">
        <v>15.95</v>
      </c>
      <c r="G1130">
        <v>83.9465</v>
      </c>
      <c r="H1130">
        <v>92.802999999999997</v>
      </c>
    </row>
    <row r="1131" spans="1:8" x14ac:dyDescent="0.15">
      <c r="A1131" t="s">
        <v>15</v>
      </c>
      <c r="B1131">
        <v>10005</v>
      </c>
      <c r="C1131">
        <v>19</v>
      </c>
      <c r="D1131">
        <v>5.1353999999999997</v>
      </c>
      <c r="E1131">
        <v>390.0394</v>
      </c>
      <c r="F1131">
        <v>15.936</v>
      </c>
      <c r="G1131">
        <v>83.871099999999998</v>
      </c>
      <c r="H1131">
        <v>92.756799999999998</v>
      </c>
    </row>
    <row r="1132" spans="1:8" x14ac:dyDescent="0.15">
      <c r="A1132" t="s">
        <v>15</v>
      </c>
      <c r="B1132">
        <v>10005</v>
      </c>
      <c r="C1132">
        <v>19</v>
      </c>
      <c r="D1132">
        <v>5.1380999999999997</v>
      </c>
      <c r="E1132">
        <v>389.83179999999999</v>
      </c>
      <c r="F1132">
        <v>15.927</v>
      </c>
      <c r="G1132">
        <v>83.826400000000007</v>
      </c>
      <c r="H1132">
        <v>92.76</v>
      </c>
    </row>
    <row r="1133" spans="1:8" x14ac:dyDescent="0.15">
      <c r="A1133" t="s">
        <v>15</v>
      </c>
      <c r="B1133">
        <v>10005</v>
      </c>
      <c r="C1133">
        <v>19</v>
      </c>
      <c r="D1133">
        <v>5.1424000000000003</v>
      </c>
      <c r="E1133">
        <v>389.50709999999998</v>
      </c>
      <c r="F1133">
        <v>15.914</v>
      </c>
      <c r="G1133">
        <v>83.756600000000006</v>
      </c>
      <c r="H1133">
        <v>93.023700000000005</v>
      </c>
    </row>
    <row r="1134" spans="1:8" x14ac:dyDescent="0.15">
      <c r="A1134" t="s">
        <v>15</v>
      </c>
      <c r="B1134">
        <v>10005</v>
      </c>
      <c r="C1134">
        <v>19</v>
      </c>
      <c r="D1134">
        <v>5.1405000000000003</v>
      </c>
      <c r="E1134">
        <v>389.65350000000001</v>
      </c>
      <c r="F1134">
        <v>15.92</v>
      </c>
      <c r="G1134">
        <v>83.7881</v>
      </c>
      <c r="H1134">
        <v>92.847899999999996</v>
      </c>
    </row>
    <row r="1135" spans="1:8" x14ac:dyDescent="0.15">
      <c r="A1135" t="s">
        <v>15</v>
      </c>
      <c r="B1135">
        <v>10005</v>
      </c>
      <c r="C1135">
        <v>19</v>
      </c>
      <c r="D1135">
        <v>5.1387999999999998</v>
      </c>
      <c r="E1135">
        <v>389.77659999999997</v>
      </c>
      <c r="F1135">
        <v>15.925000000000001</v>
      </c>
      <c r="G1135">
        <v>83.814599999999999</v>
      </c>
      <c r="H1135">
        <v>92.771000000000001</v>
      </c>
    </row>
    <row r="1136" spans="1:8" x14ac:dyDescent="0.15">
      <c r="A1136" t="s">
        <v>15</v>
      </c>
      <c r="B1136">
        <v>10005</v>
      </c>
      <c r="C1136">
        <v>19</v>
      </c>
      <c r="D1136">
        <v>5.1421000000000001</v>
      </c>
      <c r="E1136">
        <v>389.52879999999999</v>
      </c>
      <c r="F1136">
        <v>15.914999999999999</v>
      </c>
      <c r="G1136">
        <v>83.761300000000006</v>
      </c>
      <c r="H1136">
        <v>93.004599999999996</v>
      </c>
    </row>
    <row r="1137" spans="1:8" x14ac:dyDescent="0.15">
      <c r="A1137" t="s">
        <v>15</v>
      </c>
      <c r="B1137">
        <v>10005</v>
      </c>
      <c r="C1137">
        <v>19</v>
      </c>
      <c r="D1137">
        <v>5.1459999999999999</v>
      </c>
      <c r="E1137">
        <v>389.23099999999999</v>
      </c>
      <c r="F1137">
        <v>15.901999999999999</v>
      </c>
      <c r="G1137">
        <v>83.697299999999998</v>
      </c>
      <c r="H1137">
        <v>92.934100000000001</v>
      </c>
    </row>
    <row r="1138" spans="1:8" x14ac:dyDescent="0.15">
      <c r="A1138" t="s">
        <v>15</v>
      </c>
      <c r="B1138">
        <v>10005</v>
      </c>
      <c r="C1138">
        <v>19</v>
      </c>
      <c r="D1138">
        <v>5.1467000000000001</v>
      </c>
      <c r="E1138">
        <v>389.18079999999998</v>
      </c>
      <c r="F1138">
        <v>15.9</v>
      </c>
      <c r="G1138">
        <v>83.686499999999995</v>
      </c>
      <c r="H1138">
        <v>93.001999999999995</v>
      </c>
    </row>
    <row r="1139" spans="1:8" x14ac:dyDescent="0.15">
      <c r="A1139" t="s">
        <v>15</v>
      </c>
      <c r="B1139">
        <v>10005</v>
      </c>
      <c r="C1139">
        <v>19</v>
      </c>
      <c r="D1139">
        <v>5.1485000000000003</v>
      </c>
      <c r="E1139">
        <v>389.04270000000002</v>
      </c>
      <c r="F1139">
        <v>15.895</v>
      </c>
      <c r="G1139">
        <v>83.656800000000004</v>
      </c>
      <c r="H1139">
        <v>93.012699999999995</v>
      </c>
    </row>
    <row r="1140" spans="1:8" x14ac:dyDescent="0.15">
      <c r="A1140" t="s">
        <v>15</v>
      </c>
      <c r="B1140">
        <v>10005</v>
      </c>
      <c r="C1140">
        <v>19</v>
      </c>
      <c r="D1140">
        <v>5.1475999999999997</v>
      </c>
      <c r="E1140">
        <v>389.11149999999998</v>
      </c>
      <c r="F1140">
        <v>15.898</v>
      </c>
      <c r="G1140">
        <v>83.671599999999998</v>
      </c>
      <c r="H1140">
        <v>93.127899999999997</v>
      </c>
    </row>
    <row r="1141" spans="1:8" x14ac:dyDescent="0.15">
      <c r="A1141" t="s">
        <v>15</v>
      </c>
      <c r="B1141">
        <v>10005</v>
      </c>
      <c r="C1141">
        <v>19</v>
      </c>
      <c r="D1141">
        <v>5.15</v>
      </c>
      <c r="E1141">
        <v>388.93020000000001</v>
      </c>
      <c r="F1141">
        <v>15.89</v>
      </c>
      <c r="G1141">
        <v>83.632599999999996</v>
      </c>
      <c r="H1141">
        <v>93.023899999999998</v>
      </c>
    </row>
    <row r="1142" spans="1:8" x14ac:dyDescent="0.15">
      <c r="A1142" t="s">
        <v>15</v>
      </c>
      <c r="B1142">
        <v>10005</v>
      </c>
      <c r="C1142">
        <v>19</v>
      </c>
      <c r="D1142">
        <v>5.1458000000000004</v>
      </c>
      <c r="E1142">
        <v>389.2527</v>
      </c>
      <c r="F1142">
        <v>15.903</v>
      </c>
      <c r="G1142">
        <v>83.701899999999995</v>
      </c>
      <c r="H1142">
        <v>92.847700000000003</v>
      </c>
    </row>
    <row r="1143" spans="1:8" x14ac:dyDescent="0.15">
      <c r="A1143" t="s">
        <v>15</v>
      </c>
      <c r="B1143">
        <v>10005</v>
      </c>
      <c r="C1143">
        <v>19</v>
      </c>
      <c r="D1143">
        <v>5.1128999999999998</v>
      </c>
      <c r="E1143">
        <v>391.7509</v>
      </c>
      <c r="F1143">
        <v>16.004999999999999</v>
      </c>
      <c r="G1143">
        <v>84.239099999999993</v>
      </c>
      <c r="H1143">
        <v>92.441900000000004</v>
      </c>
    </row>
    <row r="1144" spans="1:8" x14ac:dyDescent="0.15">
      <c r="A1144" t="s">
        <v>15</v>
      </c>
      <c r="B1144">
        <v>10005</v>
      </c>
      <c r="C1144">
        <v>19</v>
      </c>
      <c r="D1144">
        <v>5.1265999999999998</v>
      </c>
      <c r="E1144">
        <v>390.71100000000001</v>
      </c>
      <c r="F1144">
        <v>15.962999999999999</v>
      </c>
      <c r="G1144">
        <v>84.015500000000003</v>
      </c>
      <c r="H1144">
        <v>92.600099999999998</v>
      </c>
    </row>
    <row r="1145" spans="1:8" x14ac:dyDescent="0.15">
      <c r="A1145" t="s">
        <v>15</v>
      </c>
      <c r="B1145">
        <v>10005</v>
      </c>
      <c r="C1145">
        <v>19</v>
      </c>
      <c r="D1145">
        <v>5.1326999999999998</v>
      </c>
      <c r="E1145">
        <v>390.2457</v>
      </c>
      <c r="F1145">
        <v>15.944000000000001</v>
      </c>
      <c r="G1145">
        <v>83.915400000000005</v>
      </c>
      <c r="H1145">
        <v>92.700699999999998</v>
      </c>
    </row>
    <row r="1146" spans="1:8" x14ac:dyDescent="0.15">
      <c r="A1146" t="s">
        <v>15</v>
      </c>
      <c r="B1146">
        <v>10005</v>
      </c>
      <c r="C1146">
        <v>19</v>
      </c>
      <c r="D1146">
        <v>5.1319999999999997</v>
      </c>
      <c r="E1146">
        <v>390.29570000000001</v>
      </c>
      <c r="F1146">
        <v>15.946</v>
      </c>
      <c r="G1146">
        <v>83.926199999999994</v>
      </c>
      <c r="H1146">
        <v>92.840299999999999</v>
      </c>
    </row>
    <row r="1147" spans="1:8" x14ac:dyDescent="0.15">
      <c r="A1147" t="s">
        <v>15</v>
      </c>
      <c r="B1147">
        <v>10005</v>
      </c>
      <c r="C1147">
        <v>19</v>
      </c>
      <c r="D1147">
        <v>5.1283000000000003</v>
      </c>
      <c r="E1147">
        <v>390.57429999999999</v>
      </c>
      <c r="F1147">
        <v>15.957000000000001</v>
      </c>
      <c r="G1147">
        <v>83.986099999999993</v>
      </c>
      <c r="H1147">
        <v>92.645499999999998</v>
      </c>
    </row>
    <row r="1148" spans="1:8" x14ac:dyDescent="0.15">
      <c r="A1148" t="s">
        <v>15</v>
      </c>
      <c r="B1148">
        <v>10005</v>
      </c>
      <c r="C1148">
        <v>20</v>
      </c>
      <c r="D1148">
        <v>4.6306000000000003</v>
      </c>
      <c r="E1148">
        <v>432.55700000000002</v>
      </c>
      <c r="F1148">
        <v>17.672999999999998</v>
      </c>
      <c r="G1148">
        <v>88.363100000000003</v>
      </c>
      <c r="H1148">
        <v>92.665999999999997</v>
      </c>
    </row>
    <row r="1149" spans="1:8" x14ac:dyDescent="0.15">
      <c r="A1149" t="s">
        <v>15</v>
      </c>
      <c r="B1149">
        <v>10005</v>
      </c>
      <c r="C1149">
        <v>20</v>
      </c>
      <c r="D1149">
        <v>4.6436000000000002</v>
      </c>
      <c r="E1149">
        <v>431.3426</v>
      </c>
      <c r="F1149">
        <v>17.623000000000001</v>
      </c>
      <c r="G1149">
        <v>88.114999999999995</v>
      </c>
      <c r="H1149">
        <v>92.925799999999995</v>
      </c>
    </row>
    <row r="1150" spans="1:8" x14ac:dyDescent="0.15">
      <c r="A1150" t="s">
        <v>15</v>
      </c>
      <c r="B1150">
        <v>10005</v>
      </c>
      <c r="C1150">
        <v>20</v>
      </c>
      <c r="D1150">
        <v>4.6375000000000002</v>
      </c>
      <c r="E1150">
        <v>431.91109999999998</v>
      </c>
      <c r="F1150">
        <v>17.646000000000001</v>
      </c>
      <c r="G1150">
        <v>88.231099999999998</v>
      </c>
      <c r="H1150">
        <v>92.806200000000004</v>
      </c>
    </row>
    <row r="1151" spans="1:8" x14ac:dyDescent="0.15">
      <c r="A1151" t="s">
        <v>15</v>
      </c>
      <c r="B1151">
        <v>10005</v>
      </c>
      <c r="C1151">
        <v>20</v>
      </c>
      <c r="D1151">
        <v>4.6536999999999997</v>
      </c>
      <c r="E1151">
        <v>430.40699999999998</v>
      </c>
      <c r="F1151">
        <v>17.585000000000001</v>
      </c>
      <c r="G1151">
        <v>87.923900000000003</v>
      </c>
      <c r="H1151">
        <v>93.132800000000003</v>
      </c>
    </row>
    <row r="1152" spans="1:8" x14ac:dyDescent="0.15">
      <c r="A1152" t="s">
        <v>15</v>
      </c>
      <c r="B1152">
        <v>10005</v>
      </c>
      <c r="C1152">
        <v>20</v>
      </c>
      <c r="D1152">
        <v>4.6535000000000002</v>
      </c>
      <c r="E1152">
        <v>430.4255</v>
      </c>
      <c r="F1152">
        <v>17.585999999999999</v>
      </c>
      <c r="G1152">
        <v>87.927599999999998</v>
      </c>
      <c r="H1152">
        <v>93.119600000000005</v>
      </c>
    </row>
    <row r="1153" spans="1:8" x14ac:dyDescent="0.15">
      <c r="A1153" t="s">
        <v>15</v>
      </c>
      <c r="B1153">
        <v>10005</v>
      </c>
      <c r="C1153">
        <v>20</v>
      </c>
      <c r="D1153">
        <v>4.6604000000000001</v>
      </c>
      <c r="E1153">
        <v>429.78739999999999</v>
      </c>
      <c r="F1153">
        <v>17.559000000000001</v>
      </c>
      <c r="G1153">
        <v>87.797300000000007</v>
      </c>
      <c r="H1153">
        <v>93.273899999999998</v>
      </c>
    </row>
    <row r="1154" spans="1:8" x14ac:dyDescent="0.15">
      <c r="A1154" t="s">
        <v>15</v>
      </c>
      <c r="B1154">
        <v>10005</v>
      </c>
      <c r="C1154">
        <v>20</v>
      </c>
      <c r="D1154">
        <v>4.6475</v>
      </c>
      <c r="E1154">
        <v>430.98770000000002</v>
      </c>
      <c r="F1154">
        <v>17.608000000000001</v>
      </c>
      <c r="G1154">
        <v>88.042500000000004</v>
      </c>
      <c r="H1154">
        <v>93.027799999999999</v>
      </c>
    </row>
    <row r="1155" spans="1:8" x14ac:dyDescent="0.15">
      <c r="A1155" t="s">
        <v>15</v>
      </c>
      <c r="B1155">
        <v>10005</v>
      </c>
      <c r="C1155">
        <v>20</v>
      </c>
      <c r="D1155">
        <v>4.6601999999999997</v>
      </c>
      <c r="E1155">
        <v>429.80869999999999</v>
      </c>
      <c r="F1155">
        <v>17.559999999999999</v>
      </c>
      <c r="G1155">
        <v>87.801599999999993</v>
      </c>
      <c r="H1155">
        <v>93.254900000000006</v>
      </c>
    </row>
    <row r="1156" spans="1:8" x14ac:dyDescent="0.15">
      <c r="A1156" t="s">
        <v>15</v>
      </c>
      <c r="B1156">
        <v>10005</v>
      </c>
      <c r="C1156">
        <v>20</v>
      </c>
      <c r="D1156">
        <v>4.6562999999999999</v>
      </c>
      <c r="E1156">
        <v>430.17020000000002</v>
      </c>
      <c r="F1156">
        <v>17.574999999999999</v>
      </c>
      <c r="G1156">
        <v>87.875500000000002</v>
      </c>
      <c r="H1156">
        <v>93.177700000000002</v>
      </c>
    </row>
    <row r="1157" spans="1:8" x14ac:dyDescent="0.15">
      <c r="A1157" t="s">
        <v>15</v>
      </c>
      <c r="B1157">
        <v>10005</v>
      </c>
      <c r="C1157">
        <v>20</v>
      </c>
      <c r="D1157">
        <v>4.6573000000000002</v>
      </c>
      <c r="E1157">
        <v>430.07409999999999</v>
      </c>
      <c r="F1157">
        <v>17.571000000000002</v>
      </c>
      <c r="G1157">
        <v>87.855800000000002</v>
      </c>
      <c r="H1157">
        <v>93.205100000000002</v>
      </c>
    </row>
    <row r="1158" spans="1:8" x14ac:dyDescent="0.15">
      <c r="A1158" t="s">
        <v>15</v>
      </c>
      <c r="B1158">
        <v>10005</v>
      </c>
      <c r="C1158">
        <v>20</v>
      </c>
      <c r="D1158">
        <v>4.6576000000000004</v>
      </c>
      <c r="E1158">
        <v>430.04989999999998</v>
      </c>
      <c r="F1158">
        <v>17.57</v>
      </c>
      <c r="G1158">
        <v>87.850899999999996</v>
      </c>
      <c r="H1158">
        <v>93.207999999999998</v>
      </c>
    </row>
    <row r="1159" spans="1:8" x14ac:dyDescent="0.15">
      <c r="A1159" t="s">
        <v>15</v>
      </c>
      <c r="B1159">
        <v>10005</v>
      </c>
      <c r="C1159">
        <v>20</v>
      </c>
      <c r="D1159">
        <v>4.6593999999999998</v>
      </c>
      <c r="E1159">
        <v>429.88529999999997</v>
      </c>
      <c r="F1159">
        <v>17.562999999999999</v>
      </c>
      <c r="G1159">
        <v>87.817300000000003</v>
      </c>
      <c r="H1159">
        <v>93.227500000000006</v>
      </c>
    </row>
    <row r="1160" spans="1:8" x14ac:dyDescent="0.15">
      <c r="A1160" t="s">
        <v>15</v>
      </c>
      <c r="B1160">
        <v>10005</v>
      </c>
      <c r="C1160">
        <v>20</v>
      </c>
      <c r="D1160">
        <v>4.6601999999999997</v>
      </c>
      <c r="E1160">
        <v>429.81389999999999</v>
      </c>
      <c r="F1160">
        <v>17.561</v>
      </c>
      <c r="G1160">
        <v>87.802700000000002</v>
      </c>
      <c r="H1160">
        <v>93.254900000000006</v>
      </c>
    </row>
    <row r="1161" spans="1:8" x14ac:dyDescent="0.15">
      <c r="A1161" t="s">
        <v>15</v>
      </c>
      <c r="B1161">
        <v>10005</v>
      </c>
      <c r="C1161">
        <v>20</v>
      </c>
      <c r="D1161">
        <v>4.6581999999999999</v>
      </c>
      <c r="E1161">
        <v>429.9905</v>
      </c>
      <c r="F1161">
        <v>17.568000000000001</v>
      </c>
      <c r="G1161">
        <v>87.838800000000006</v>
      </c>
      <c r="H1161">
        <v>93.207999999999998</v>
      </c>
    </row>
    <row r="1162" spans="1:8" x14ac:dyDescent="0.15">
      <c r="A1162" t="s">
        <v>15</v>
      </c>
      <c r="B1162">
        <v>10005</v>
      </c>
      <c r="C1162">
        <v>20</v>
      </c>
      <c r="D1162">
        <v>4.6561000000000003</v>
      </c>
      <c r="E1162">
        <v>430.18509999999998</v>
      </c>
      <c r="F1162">
        <v>17.576000000000001</v>
      </c>
      <c r="G1162">
        <v>87.878500000000003</v>
      </c>
      <c r="H1162">
        <v>93.196799999999996</v>
      </c>
    </row>
    <row r="1163" spans="1:8" x14ac:dyDescent="0.15">
      <c r="A1163" t="s">
        <v>15</v>
      </c>
      <c r="B1163">
        <v>10005</v>
      </c>
      <c r="C1163">
        <v>20</v>
      </c>
      <c r="D1163">
        <v>4.6548999999999996</v>
      </c>
      <c r="E1163">
        <v>430.29629999999997</v>
      </c>
      <c r="F1163">
        <v>17.579999999999998</v>
      </c>
      <c r="G1163">
        <v>87.901200000000003</v>
      </c>
      <c r="H1163">
        <v>93.150899999999993</v>
      </c>
    </row>
    <row r="1164" spans="1:8" x14ac:dyDescent="0.15">
      <c r="A1164" t="s">
        <v>15</v>
      </c>
      <c r="B1164">
        <v>10005</v>
      </c>
      <c r="C1164">
        <v>20</v>
      </c>
      <c r="D1164">
        <v>4.6479999999999997</v>
      </c>
      <c r="E1164">
        <v>430.94209999999998</v>
      </c>
      <c r="F1164">
        <v>17.606999999999999</v>
      </c>
      <c r="G1164">
        <v>88.033199999999994</v>
      </c>
      <c r="H1164">
        <v>93.017600000000002</v>
      </c>
    </row>
    <row r="1165" spans="1:8" x14ac:dyDescent="0.15">
      <c r="A1165" t="s">
        <v>15</v>
      </c>
      <c r="B1165">
        <v>10005</v>
      </c>
      <c r="C1165">
        <v>20</v>
      </c>
      <c r="D1165">
        <v>4.6597999999999997</v>
      </c>
      <c r="E1165">
        <v>429.84859999999998</v>
      </c>
      <c r="F1165">
        <v>17.562000000000001</v>
      </c>
      <c r="G1165">
        <v>87.809799999999996</v>
      </c>
      <c r="H1165">
        <v>93.245099999999994</v>
      </c>
    </row>
    <row r="1166" spans="1:8" x14ac:dyDescent="0.15">
      <c r="A1166" t="s">
        <v>15</v>
      </c>
      <c r="B1166">
        <v>10005</v>
      </c>
      <c r="C1166">
        <v>20</v>
      </c>
      <c r="D1166">
        <v>4.6638000000000002</v>
      </c>
      <c r="E1166">
        <v>429.47859999999997</v>
      </c>
      <c r="F1166">
        <v>17.547000000000001</v>
      </c>
      <c r="G1166">
        <v>87.734200000000001</v>
      </c>
      <c r="H1166">
        <v>93.320800000000006</v>
      </c>
    </row>
    <row r="1167" spans="1:8" x14ac:dyDescent="0.15">
      <c r="A1167" t="s">
        <v>15</v>
      </c>
      <c r="B1167">
        <v>10005</v>
      </c>
      <c r="C1167">
        <v>20</v>
      </c>
      <c r="D1167">
        <v>4.6619000000000002</v>
      </c>
      <c r="E1167">
        <v>429.65269999999998</v>
      </c>
      <c r="F1167">
        <v>17.553999999999998</v>
      </c>
      <c r="G1167">
        <v>87.769800000000004</v>
      </c>
      <c r="H1167">
        <v>93.279799999999994</v>
      </c>
    </row>
    <row r="1168" spans="1:8" x14ac:dyDescent="0.15">
      <c r="A1168" t="s">
        <v>15</v>
      </c>
      <c r="B1168">
        <v>10005</v>
      </c>
      <c r="C1168">
        <v>20</v>
      </c>
      <c r="D1168">
        <v>4.6467999999999998</v>
      </c>
      <c r="E1168">
        <v>431.05399999999997</v>
      </c>
      <c r="F1168">
        <v>17.611000000000001</v>
      </c>
      <c r="G1168">
        <v>88.055999999999997</v>
      </c>
      <c r="H1168">
        <v>93.012699999999995</v>
      </c>
    </row>
    <row r="1169" spans="1:8" x14ac:dyDescent="0.15">
      <c r="A1169" t="s">
        <v>15</v>
      </c>
      <c r="B1169">
        <v>10005</v>
      </c>
      <c r="C1169">
        <v>20</v>
      </c>
      <c r="D1169">
        <v>4.6603000000000003</v>
      </c>
      <c r="E1169">
        <v>429.803</v>
      </c>
      <c r="F1169">
        <v>17.559999999999999</v>
      </c>
      <c r="G1169">
        <v>87.8005</v>
      </c>
      <c r="H1169">
        <v>93.257800000000003</v>
      </c>
    </row>
    <row r="1170" spans="1:8" x14ac:dyDescent="0.15">
      <c r="A1170" t="s">
        <v>15</v>
      </c>
      <c r="B1170">
        <v>10005</v>
      </c>
      <c r="C1170">
        <v>20</v>
      </c>
      <c r="D1170">
        <v>4.6609999999999996</v>
      </c>
      <c r="E1170">
        <v>429.73239999999998</v>
      </c>
      <c r="F1170">
        <v>17.556999999999999</v>
      </c>
      <c r="G1170">
        <v>87.786000000000001</v>
      </c>
      <c r="H1170">
        <v>93.286600000000007</v>
      </c>
    </row>
    <row r="1171" spans="1:8" x14ac:dyDescent="0.15">
      <c r="A1171" t="s">
        <v>15</v>
      </c>
      <c r="B1171">
        <v>10005</v>
      </c>
      <c r="C1171">
        <v>20</v>
      </c>
      <c r="D1171">
        <v>4.6585000000000001</v>
      </c>
      <c r="E1171">
        <v>429.96660000000003</v>
      </c>
      <c r="F1171">
        <v>17.567</v>
      </c>
      <c r="G1171">
        <v>87.8339</v>
      </c>
      <c r="H1171">
        <v>93.23</v>
      </c>
    </row>
    <row r="1172" spans="1:8" x14ac:dyDescent="0.15">
      <c r="A1172" t="s">
        <v>15</v>
      </c>
      <c r="B1172">
        <v>10005</v>
      </c>
      <c r="C1172">
        <v>20</v>
      </c>
      <c r="D1172">
        <v>4.6508000000000003</v>
      </c>
      <c r="E1172">
        <v>430.68130000000002</v>
      </c>
      <c r="F1172">
        <v>17.596</v>
      </c>
      <c r="G1172">
        <v>87.979900000000001</v>
      </c>
      <c r="H1172">
        <v>93.068799999999996</v>
      </c>
    </row>
    <row r="1173" spans="1:8" x14ac:dyDescent="0.15">
      <c r="A1173" t="s">
        <v>15</v>
      </c>
      <c r="B1173">
        <v>10005</v>
      </c>
      <c r="C1173">
        <v>20</v>
      </c>
      <c r="D1173">
        <v>4.6628999999999996</v>
      </c>
      <c r="E1173">
        <v>429.56209999999999</v>
      </c>
      <c r="F1173">
        <v>17.55</v>
      </c>
      <c r="G1173">
        <v>87.751300000000001</v>
      </c>
      <c r="H1173">
        <v>93.290999999999997</v>
      </c>
    </row>
    <row r="1174" spans="1:8" x14ac:dyDescent="0.15">
      <c r="A1174" t="s">
        <v>15</v>
      </c>
      <c r="B1174">
        <v>10005</v>
      </c>
      <c r="C1174">
        <v>20</v>
      </c>
      <c r="D1174">
        <v>4.6589999999999998</v>
      </c>
      <c r="E1174">
        <v>429.91730000000001</v>
      </c>
      <c r="F1174">
        <v>17.565000000000001</v>
      </c>
      <c r="G1174">
        <v>87.823800000000006</v>
      </c>
      <c r="H1174">
        <v>93.240700000000004</v>
      </c>
    </row>
    <row r="1175" spans="1:8" x14ac:dyDescent="0.15">
      <c r="A1175" t="s">
        <v>15</v>
      </c>
      <c r="B1175">
        <v>10005</v>
      </c>
      <c r="C1175">
        <v>20</v>
      </c>
      <c r="D1175">
        <v>4.6601999999999997</v>
      </c>
      <c r="E1175">
        <v>429.80779999999999</v>
      </c>
      <c r="F1175">
        <v>17.559999999999999</v>
      </c>
      <c r="G1175">
        <v>87.801500000000004</v>
      </c>
      <c r="H1175">
        <v>93.255899999999997</v>
      </c>
    </row>
    <row r="1176" spans="1:8" x14ac:dyDescent="0.15">
      <c r="A1176" t="s">
        <v>15</v>
      </c>
      <c r="B1176">
        <v>10005</v>
      </c>
      <c r="C1176">
        <v>20</v>
      </c>
      <c r="D1176">
        <v>4.6601999999999997</v>
      </c>
      <c r="E1176">
        <v>429.80889999999999</v>
      </c>
      <c r="F1176">
        <v>17.559999999999999</v>
      </c>
      <c r="G1176">
        <v>87.801699999999997</v>
      </c>
      <c r="H1176">
        <v>93.264600000000002</v>
      </c>
    </row>
    <row r="1177" spans="1:8" x14ac:dyDescent="0.15">
      <c r="A1177" t="s">
        <v>15</v>
      </c>
      <c r="B1177">
        <v>10005</v>
      </c>
      <c r="C1177">
        <v>20</v>
      </c>
      <c r="D1177">
        <v>4.6536999999999997</v>
      </c>
      <c r="E1177">
        <v>430.4085</v>
      </c>
      <c r="F1177">
        <v>17.585000000000001</v>
      </c>
      <c r="G1177">
        <v>87.924199999999999</v>
      </c>
      <c r="H1177">
        <v>93.1357</v>
      </c>
    </row>
    <row r="1178" spans="1:8" x14ac:dyDescent="0.15">
      <c r="A1178" t="s">
        <v>15</v>
      </c>
      <c r="B1178">
        <v>10005</v>
      </c>
      <c r="C1178">
        <v>20</v>
      </c>
      <c r="D1178">
        <v>4.6524000000000001</v>
      </c>
      <c r="E1178">
        <v>430.52890000000002</v>
      </c>
      <c r="F1178">
        <v>17.59</v>
      </c>
      <c r="G1178">
        <v>87.948800000000006</v>
      </c>
      <c r="H1178">
        <v>93.098100000000002</v>
      </c>
    </row>
    <row r="1179" spans="1:8" x14ac:dyDescent="0.15">
      <c r="A1179" t="s">
        <v>15</v>
      </c>
      <c r="B1179">
        <v>10005</v>
      </c>
      <c r="C1179">
        <v>20</v>
      </c>
      <c r="D1179">
        <v>4.6593999999999998</v>
      </c>
      <c r="E1179">
        <v>429.88170000000002</v>
      </c>
      <c r="F1179">
        <v>17.562999999999999</v>
      </c>
      <c r="G1179">
        <v>87.816599999999994</v>
      </c>
      <c r="H1179">
        <v>93.253900000000002</v>
      </c>
    </row>
    <row r="1180" spans="1:8" x14ac:dyDescent="0.15">
      <c r="A1180" t="s">
        <v>15</v>
      </c>
      <c r="B1180">
        <v>10005</v>
      </c>
      <c r="C1180">
        <v>20</v>
      </c>
      <c r="D1180">
        <v>4.6571999999999996</v>
      </c>
      <c r="E1180">
        <v>430.08269999999999</v>
      </c>
      <c r="F1180">
        <v>17.571999999999999</v>
      </c>
      <c r="G1180">
        <v>87.857600000000005</v>
      </c>
      <c r="H1180">
        <v>93.200699999999998</v>
      </c>
    </row>
    <row r="1181" spans="1:8" x14ac:dyDescent="0.15">
      <c r="A1181" t="s">
        <v>15</v>
      </c>
      <c r="B1181">
        <v>10005</v>
      </c>
      <c r="C1181">
        <v>20</v>
      </c>
      <c r="D1181">
        <v>4.6559999999999997</v>
      </c>
      <c r="E1181">
        <v>430.20089999999999</v>
      </c>
      <c r="F1181">
        <v>17.576000000000001</v>
      </c>
      <c r="G1181">
        <v>87.881799999999998</v>
      </c>
      <c r="H1181">
        <v>93.175799999999995</v>
      </c>
    </row>
    <row r="1182" spans="1:8" x14ac:dyDescent="0.15">
      <c r="A1182" t="s">
        <v>15</v>
      </c>
      <c r="B1182">
        <v>10005</v>
      </c>
      <c r="C1182">
        <v>20</v>
      </c>
      <c r="D1182">
        <v>4.6593999999999998</v>
      </c>
      <c r="E1182">
        <v>429.88249999999999</v>
      </c>
      <c r="F1182">
        <v>17.562999999999999</v>
      </c>
      <c r="G1182">
        <v>87.816699999999997</v>
      </c>
      <c r="H1182">
        <v>93.247100000000003</v>
      </c>
    </row>
    <row r="1183" spans="1:8" x14ac:dyDescent="0.15">
      <c r="A1183" t="s">
        <v>15</v>
      </c>
      <c r="B1183">
        <v>10005</v>
      </c>
      <c r="C1183">
        <v>20</v>
      </c>
      <c r="D1183">
        <v>4.6490999999999998</v>
      </c>
      <c r="E1183">
        <v>430.8347</v>
      </c>
      <c r="F1183">
        <v>17.602</v>
      </c>
      <c r="G1183">
        <v>88.011200000000002</v>
      </c>
      <c r="H1183">
        <v>93.061499999999995</v>
      </c>
    </row>
    <row r="1184" spans="1:8" x14ac:dyDescent="0.15">
      <c r="A1184" t="s">
        <v>15</v>
      </c>
      <c r="B1184">
        <v>10005</v>
      </c>
      <c r="C1184">
        <v>20</v>
      </c>
      <c r="D1184">
        <v>4.6616999999999997</v>
      </c>
      <c r="E1184">
        <v>429.6764</v>
      </c>
      <c r="F1184">
        <v>17.555</v>
      </c>
      <c r="G1184">
        <v>87.774600000000007</v>
      </c>
      <c r="H1184">
        <v>93.29</v>
      </c>
    </row>
    <row r="1185" spans="1:8" x14ac:dyDescent="0.15">
      <c r="A1185" t="s">
        <v>15</v>
      </c>
      <c r="B1185">
        <v>10005</v>
      </c>
      <c r="C1185">
        <v>20</v>
      </c>
      <c r="D1185">
        <v>4.6651999999999996</v>
      </c>
      <c r="E1185">
        <v>429.35239999999999</v>
      </c>
      <c r="F1185">
        <v>17.542000000000002</v>
      </c>
      <c r="G1185">
        <v>87.708399999999997</v>
      </c>
      <c r="H1185">
        <v>93.3506</v>
      </c>
    </row>
    <row r="1186" spans="1:8" x14ac:dyDescent="0.15">
      <c r="A1186" t="s">
        <v>15</v>
      </c>
      <c r="B1186">
        <v>10005</v>
      </c>
      <c r="C1186">
        <v>20</v>
      </c>
      <c r="D1186">
        <v>4.6589</v>
      </c>
      <c r="E1186">
        <v>429.92660000000001</v>
      </c>
      <c r="F1186">
        <v>17.565000000000001</v>
      </c>
      <c r="G1186">
        <v>87.825699999999998</v>
      </c>
      <c r="H1186">
        <v>93.237300000000005</v>
      </c>
    </row>
    <row r="1187" spans="1:8" x14ac:dyDescent="0.15">
      <c r="A1187" t="s">
        <v>15</v>
      </c>
      <c r="B1187">
        <v>10005</v>
      </c>
      <c r="C1187">
        <v>20</v>
      </c>
      <c r="D1187">
        <v>4.6651999999999996</v>
      </c>
      <c r="E1187">
        <v>429.34530000000001</v>
      </c>
      <c r="F1187">
        <v>17.541</v>
      </c>
      <c r="G1187">
        <v>87.706999999999994</v>
      </c>
      <c r="H1187">
        <v>93.318399999999997</v>
      </c>
    </row>
    <row r="1188" spans="1:8" x14ac:dyDescent="0.15">
      <c r="A1188" t="s">
        <v>15</v>
      </c>
      <c r="B1188">
        <v>10005</v>
      </c>
      <c r="C1188">
        <v>20</v>
      </c>
      <c r="D1188">
        <v>4.6520999999999999</v>
      </c>
      <c r="E1188">
        <v>430.56</v>
      </c>
      <c r="F1188">
        <v>17.591000000000001</v>
      </c>
      <c r="G1188">
        <v>87.955100000000002</v>
      </c>
      <c r="H1188">
        <v>93.1006</v>
      </c>
    </row>
    <row r="1189" spans="1:8" x14ac:dyDescent="0.15">
      <c r="A1189" t="s">
        <v>15</v>
      </c>
      <c r="B1189">
        <v>10005</v>
      </c>
      <c r="C1189">
        <v>20</v>
      </c>
      <c r="D1189">
        <v>4.6544999999999996</v>
      </c>
      <c r="E1189">
        <v>430.33429999999998</v>
      </c>
      <c r="F1189">
        <v>17.582000000000001</v>
      </c>
      <c r="G1189">
        <v>87.909000000000006</v>
      </c>
      <c r="H1189">
        <v>93.1494</v>
      </c>
    </row>
    <row r="1190" spans="1:8" x14ac:dyDescent="0.15">
      <c r="A1190" t="s">
        <v>15</v>
      </c>
      <c r="B1190">
        <v>10005</v>
      </c>
      <c r="C1190">
        <v>20</v>
      </c>
      <c r="D1190">
        <v>4.6638000000000002</v>
      </c>
      <c r="E1190">
        <v>429.47489999999999</v>
      </c>
      <c r="F1190">
        <v>17.547000000000001</v>
      </c>
      <c r="G1190">
        <v>87.733400000000003</v>
      </c>
      <c r="H1190">
        <v>93.330100000000002</v>
      </c>
    </row>
    <row r="1191" spans="1:8" x14ac:dyDescent="0.15">
      <c r="A1191" t="s">
        <v>15</v>
      </c>
      <c r="B1191">
        <v>10005</v>
      </c>
      <c r="C1191">
        <v>20</v>
      </c>
      <c r="D1191">
        <v>4.6626000000000003</v>
      </c>
      <c r="E1191">
        <v>429.58769999999998</v>
      </c>
      <c r="F1191">
        <v>17.550999999999998</v>
      </c>
      <c r="G1191">
        <v>87.756500000000003</v>
      </c>
      <c r="H1191">
        <v>93.307599999999994</v>
      </c>
    </row>
    <row r="1192" spans="1:8" x14ac:dyDescent="0.15">
      <c r="A1192" t="s">
        <v>15</v>
      </c>
      <c r="B1192">
        <v>10005</v>
      </c>
      <c r="C1192">
        <v>20</v>
      </c>
      <c r="D1192">
        <v>4.6779000000000002</v>
      </c>
      <c r="E1192">
        <v>428.17939999999999</v>
      </c>
      <c r="F1192">
        <v>17.494</v>
      </c>
      <c r="G1192">
        <v>87.468800000000002</v>
      </c>
      <c r="H1192">
        <v>93.552700000000002</v>
      </c>
    </row>
    <row r="1193" spans="1:8" x14ac:dyDescent="0.15">
      <c r="A1193" t="s">
        <v>15</v>
      </c>
      <c r="B1193">
        <v>10005</v>
      </c>
      <c r="C1193">
        <v>20</v>
      </c>
      <c r="D1193">
        <v>4.6727999999999996</v>
      </c>
      <c r="E1193">
        <v>428.65010000000001</v>
      </c>
      <c r="F1193">
        <v>17.513000000000002</v>
      </c>
      <c r="G1193">
        <v>87.564999999999998</v>
      </c>
      <c r="H1193">
        <v>93.484399999999994</v>
      </c>
    </row>
    <row r="1194" spans="1:8" x14ac:dyDescent="0.15">
      <c r="A1194" t="s">
        <v>15</v>
      </c>
      <c r="B1194">
        <v>10005</v>
      </c>
      <c r="C1194">
        <v>20</v>
      </c>
      <c r="D1194">
        <v>4.6581000000000001</v>
      </c>
      <c r="E1194">
        <v>430.00049999999999</v>
      </c>
      <c r="F1194">
        <v>17.568000000000001</v>
      </c>
      <c r="G1194">
        <v>87.840800000000002</v>
      </c>
      <c r="H1194">
        <v>93.213899999999995</v>
      </c>
    </row>
    <row r="1195" spans="1:8" x14ac:dyDescent="0.15">
      <c r="A1195" t="s">
        <v>15</v>
      </c>
      <c r="B1195">
        <v>10005</v>
      </c>
      <c r="C1195">
        <v>20</v>
      </c>
      <c r="D1195">
        <v>4.6726000000000001</v>
      </c>
      <c r="E1195">
        <v>428.66719999999998</v>
      </c>
      <c r="F1195">
        <v>17.513999999999999</v>
      </c>
      <c r="G1195">
        <v>87.568399999999997</v>
      </c>
      <c r="H1195">
        <v>93.479500000000002</v>
      </c>
    </row>
    <row r="1196" spans="1:8" x14ac:dyDescent="0.15">
      <c r="A1196" t="s">
        <v>15</v>
      </c>
      <c r="B1196">
        <v>10005</v>
      </c>
      <c r="C1196">
        <v>20</v>
      </c>
      <c r="D1196">
        <v>4.6641000000000004</v>
      </c>
      <c r="E1196">
        <v>429.44979999999998</v>
      </c>
      <c r="F1196">
        <v>17.545999999999999</v>
      </c>
      <c r="G1196">
        <v>87.728300000000004</v>
      </c>
      <c r="H1196">
        <v>93.345699999999994</v>
      </c>
    </row>
    <row r="1197" spans="1:8" x14ac:dyDescent="0.15">
      <c r="A1197" t="s">
        <v>15</v>
      </c>
      <c r="B1197">
        <v>10005</v>
      </c>
      <c r="C1197">
        <v>20</v>
      </c>
      <c r="D1197">
        <v>4.6643999999999997</v>
      </c>
      <c r="E1197">
        <v>429.4248</v>
      </c>
      <c r="F1197">
        <v>17.545000000000002</v>
      </c>
      <c r="G1197">
        <v>87.723200000000006</v>
      </c>
      <c r="H1197">
        <v>93.341800000000006</v>
      </c>
    </row>
    <row r="1198" spans="1:8" x14ac:dyDescent="0.15">
      <c r="A1198" t="s">
        <v>15</v>
      </c>
      <c r="B1198">
        <v>10005</v>
      </c>
      <c r="C1198">
        <v>20</v>
      </c>
      <c r="D1198">
        <v>4.6497999999999999</v>
      </c>
      <c r="E1198">
        <v>430.77379999999999</v>
      </c>
      <c r="F1198">
        <v>17.600000000000001</v>
      </c>
      <c r="G1198">
        <v>87.998800000000003</v>
      </c>
      <c r="H1198">
        <v>93.074200000000005</v>
      </c>
    </row>
    <row r="1199" spans="1:8" x14ac:dyDescent="0.15">
      <c r="A1199" t="s">
        <v>15</v>
      </c>
      <c r="B1199">
        <v>10010</v>
      </c>
      <c r="C1199">
        <v>1</v>
      </c>
      <c r="D1199">
        <v>80.784499999999994</v>
      </c>
      <c r="E1199">
        <v>24.831600000000002</v>
      </c>
      <c r="F1199">
        <v>1</v>
      </c>
      <c r="G1199">
        <v>100</v>
      </c>
      <c r="H1199">
        <v>86.108900000000006</v>
      </c>
    </row>
    <row r="1200" spans="1:8" x14ac:dyDescent="0.15">
      <c r="A1200" t="s">
        <v>15</v>
      </c>
      <c r="B1200">
        <v>10010</v>
      </c>
      <c r="C1200">
        <v>1</v>
      </c>
      <c r="D1200">
        <v>80.451999999999998</v>
      </c>
      <c r="E1200">
        <v>24.934200000000001</v>
      </c>
      <c r="F1200">
        <v>1.004</v>
      </c>
      <c r="G1200">
        <v>100.4134</v>
      </c>
      <c r="H1200">
        <v>80.530799999999999</v>
      </c>
    </row>
    <row r="1201" spans="1:8" x14ac:dyDescent="0.15">
      <c r="A1201" t="s">
        <v>15</v>
      </c>
      <c r="B1201">
        <v>10010</v>
      </c>
      <c r="C1201">
        <v>1</v>
      </c>
      <c r="D1201">
        <v>80.4482</v>
      </c>
      <c r="E1201">
        <v>24.935400000000001</v>
      </c>
      <c r="F1201">
        <v>1.004</v>
      </c>
      <c r="G1201">
        <v>100.41800000000001</v>
      </c>
      <c r="H1201">
        <v>80.525800000000004</v>
      </c>
    </row>
    <row r="1202" spans="1:8" x14ac:dyDescent="0.15">
      <c r="A1202" t="s">
        <v>15</v>
      </c>
      <c r="B1202">
        <v>10010</v>
      </c>
      <c r="C1202">
        <v>1</v>
      </c>
      <c r="D1202">
        <v>80.449399999999997</v>
      </c>
      <c r="E1202">
        <v>24.934999999999999</v>
      </c>
      <c r="F1202">
        <v>1.004</v>
      </c>
      <c r="G1202">
        <v>100.4166</v>
      </c>
      <c r="H1202">
        <v>80.527799999999999</v>
      </c>
    </row>
    <row r="1203" spans="1:8" x14ac:dyDescent="0.15">
      <c r="A1203" t="s">
        <v>15</v>
      </c>
      <c r="B1203">
        <v>10010</v>
      </c>
      <c r="C1203">
        <v>1</v>
      </c>
      <c r="D1203">
        <v>80.455699999999993</v>
      </c>
      <c r="E1203">
        <v>24.9331</v>
      </c>
      <c r="F1203">
        <v>1.004</v>
      </c>
      <c r="G1203">
        <v>100.4087</v>
      </c>
      <c r="H1203">
        <v>80.533799999999999</v>
      </c>
    </row>
    <row r="1204" spans="1:8" x14ac:dyDescent="0.15">
      <c r="A1204" t="s">
        <v>15</v>
      </c>
      <c r="B1204">
        <v>10010</v>
      </c>
      <c r="C1204">
        <v>1</v>
      </c>
      <c r="D1204">
        <v>80.434200000000004</v>
      </c>
      <c r="E1204">
        <v>24.939699999999998</v>
      </c>
      <c r="F1204">
        <v>1.004</v>
      </c>
      <c r="G1204">
        <v>100.43559999999999</v>
      </c>
      <c r="H1204">
        <v>80.511700000000005</v>
      </c>
    </row>
    <row r="1205" spans="1:8" x14ac:dyDescent="0.15">
      <c r="A1205" t="s">
        <v>15</v>
      </c>
      <c r="B1205">
        <v>10010</v>
      </c>
      <c r="C1205">
        <v>19</v>
      </c>
      <c r="D1205">
        <v>4.9314</v>
      </c>
      <c r="E1205">
        <v>406.78449999999998</v>
      </c>
      <c r="F1205">
        <v>16.382000000000001</v>
      </c>
      <c r="G1205">
        <v>86.219700000000003</v>
      </c>
      <c r="H1205">
        <v>89.035499999999999</v>
      </c>
    </row>
    <row r="1206" spans="1:8" x14ac:dyDescent="0.15">
      <c r="A1206" t="s">
        <v>15</v>
      </c>
      <c r="B1206">
        <v>10010</v>
      </c>
      <c r="C1206">
        <v>19</v>
      </c>
      <c r="D1206">
        <v>4.9151999999999996</v>
      </c>
      <c r="E1206">
        <v>408.12200000000001</v>
      </c>
      <c r="F1206">
        <v>16.436</v>
      </c>
      <c r="G1206">
        <v>86.503200000000007</v>
      </c>
      <c r="H1206">
        <v>88.838399999999993</v>
      </c>
    </row>
    <row r="1207" spans="1:8" x14ac:dyDescent="0.15">
      <c r="A1207" t="s">
        <v>15</v>
      </c>
      <c r="B1207">
        <v>10010</v>
      </c>
      <c r="C1207">
        <v>19</v>
      </c>
      <c r="D1207">
        <v>4.9146999999999998</v>
      </c>
      <c r="E1207">
        <v>408.16770000000002</v>
      </c>
      <c r="F1207">
        <v>16.437000000000001</v>
      </c>
      <c r="G1207">
        <v>86.512900000000002</v>
      </c>
      <c r="H1207">
        <v>88.927499999999995</v>
      </c>
    </row>
    <row r="1208" spans="1:8" x14ac:dyDescent="0.15">
      <c r="A1208" t="s">
        <v>15</v>
      </c>
      <c r="B1208">
        <v>10010</v>
      </c>
      <c r="C1208">
        <v>19</v>
      </c>
      <c r="D1208">
        <v>4.9146999999999998</v>
      </c>
      <c r="E1208">
        <v>408.16050000000001</v>
      </c>
      <c r="F1208">
        <v>16.437000000000001</v>
      </c>
      <c r="G1208">
        <v>86.511399999999995</v>
      </c>
      <c r="H1208">
        <v>88.810500000000005</v>
      </c>
    </row>
    <row r="1209" spans="1:8" x14ac:dyDescent="0.15">
      <c r="A1209" t="s">
        <v>15</v>
      </c>
      <c r="B1209">
        <v>10010</v>
      </c>
      <c r="C1209">
        <v>19</v>
      </c>
      <c r="D1209">
        <v>4.9145000000000003</v>
      </c>
      <c r="E1209">
        <v>408.18130000000002</v>
      </c>
      <c r="F1209">
        <v>16.437999999999999</v>
      </c>
      <c r="G1209">
        <v>86.515799999999999</v>
      </c>
      <c r="H1209">
        <v>88.8904</v>
      </c>
    </row>
    <row r="1210" spans="1:8" x14ac:dyDescent="0.15">
      <c r="A1210" t="s">
        <v>15</v>
      </c>
      <c r="B1210">
        <v>10010</v>
      </c>
      <c r="C1210">
        <v>19</v>
      </c>
      <c r="D1210">
        <v>4.915</v>
      </c>
      <c r="E1210">
        <v>408.1431</v>
      </c>
      <c r="F1210">
        <v>16.436</v>
      </c>
      <c r="G1210">
        <v>86.5077</v>
      </c>
      <c r="H1210">
        <v>88.786500000000004</v>
      </c>
    </row>
    <row r="1211" spans="1:8" x14ac:dyDescent="0.15">
      <c r="A1211" t="s">
        <v>15</v>
      </c>
      <c r="B1211">
        <v>10010</v>
      </c>
      <c r="C1211">
        <v>19</v>
      </c>
      <c r="D1211">
        <v>4.9138000000000002</v>
      </c>
      <c r="E1211">
        <v>408.2364</v>
      </c>
      <c r="F1211">
        <v>16.440000000000001</v>
      </c>
      <c r="G1211">
        <v>86.527500000000003</v>
      </c>
      <c r="H1211">
        <v>88.853499999999997</v>
      </c>
    </row>
    <row r="1212" spans="1:8" x14ac:dyDescent="0.15">
      <c r="A1212" t="s">
        <v>15</v>
      </c>
      <c r="B1212">
        <v>10010</v>
      </c>
      <c r="C1212">
        <v>19</v>
      </c>
      <c r="D1212">
        <v>4.9138999999999999</v>
      </c>
      <c r="E1212">
        <v>408.23489999999998</v>
      </c>
      <c r="F1212">
        <v>16.440000000000001</v>
      </c>
      <c r="G1212">
        <v>86.527199999999993</v>
      </c>
      <c r="H1212">
        <v>88.741500000000002</v>
      </c>
    </row>
    <row r="1213" spans="1:8" x14ac:dyDescent="0.15">
      <c r="A1213" t="s">
        <v>15</v>
      </c>
      <c r="B1213">
        <v>10010</v>
      </c>
      <c r="C1213">
        <v>19</v>
      </c>
      <c r="D1213">
        <v>4.9177</v>
      </c>
      <c r="E1213">
        <v>407.91849999999999</v>
      </c>
      <c r="F1213">
        <v>16.427</v>
      </c>
      <c r="G1213">
        <v>86.460099999999997</v>
      </c>
      <c r="H1213">
        <v>88.898600000000002</v>
      </c>
    </row>
    <row r="1214" spans="1:8" x14ac:dyDescent="0.15">
      <c r="A1214" t="s">
        <v>15</v>
      </c>
      <c r="B1214">
        <v>10010</v>
      </c>
      <c r="C1214">
        <v>19</v>
      </c>
      <c r="D1214">
        <v>4.9507000000000003</v>
      </c>
      <c r="E1214">
        <v>405.19979999999998</v>
      </c>
      <c r="F1214">
        <v>16.318000000000001</v>
      </c>
      <c r="G1214">
        <v>85.883899999999997</v>
      </c>
      <c r="H1214">
        <v>89.577399999999997</v>
      </c>
    </row>
    <row r="1215" spans="1:8" x14ac:dyDescent="0.15">
      <c r="A1215" t="s">
        <v>15</v>
      </c>
      <c r="B1215">
        <v>10010</v>
      </c>
      <c r="C1215">
        <v>19</v>
      </c>
      <c r="D1215">
        <v>4.9611999999999998</v>
      </c>
      <c r="E1215">
        <v>404.34</v>
      </c>
      <c r="F1215">
        <v>16.283000000000001</v>
      </c>
      <c r="G1215">
        <v>85.701599999999999</v>
      </c>
      <c r="H1215">
        <v>89.6173</v>
      </c>
    </row>
    <row r="1216" spans="1:8" x14ac:dyDescent="0.15">
      <c r="A1216" t="s">
        <v>15</v>
      </c>
      <c r="B1216">
        <v>10010</v>
      </c>
      <c r="C1216">
        <v>19</v>
      </c>
      <c r="D1216">
        <v>4.9678000000000004</v>
      </c>
      <c r="E1216">
        <v>403.8</v>
      </c>
      <c r="F1216">
        <v>16.262</v>
      </c>
      <c r="G1216">
        <v>85.587100000000007</v>
      </c>
      <c r="H1216">
        <v>89.778400000000005</v>
      </c>
    </row>
    <row r="1217" spans="1:8" x14ac:dyDescent="0.15">
      <c r="A1217" t="s">
        <v>15</v>
      </c>
      <c r="B1217">
        <v>10010</v>
      </c>
      <c r="C1217">
        <v>19</v>
      </c>
      <c r="D1217">
        <v>4.9729999999999999</v>
      </c>
      <c r="E1217">
        <v>403.38189999999997</v>
      </c>
      <c r="F1217">
        <v>16.245000000000001</v>
      </c>
      <c r="G1217">
        <v>85.498500000000007</v>
      </c>
      <c r="H1217">
        <v>89.903300000000002</v>
      </c>
    </row>
    <row r="1218" spans="1:8" x14ac:dyDescent="0.15">
      <c r="A1218" t="s">
        <v>15</v>
      </c>
      <c r="B1218">
        <v>10010</v>
      </c>
      <c r="C1218">
        <v>19</v>
      </c>
      <c r="D1218">
        <v>4.976</v>
      </c>
      <c r="E1218">
        <v>403.13529999999997</v>
      </c>
      <c r="F1218">
        <v>16.234999999999999</v>
      </c>
      <c r="G1218">
        <v>85.446299999999994</v>
      </c>
      <c r="H1218">
        <v>89.988299999999995</v>
      </c>
    </row>
    <row r="1219" spans="1:8" x14ac:dyDescent="0.15">
      <c r="A1219" t="s">
        <v>15</v>
      </c>
      <c r="B1219">
        <v>10010</v>
      </c>
      <c r="C1219">
        <v>19</v>
      </c>
      <c r="D1219">
        <v>4.9821999999999997</v>
      </c>
      <c r="E1219">
        <v>402.63839999999999</v>
      </c>
      <c r="F1219">
        <v>16.215</v>
      </c>
      <c r="G1219">
        <v>85.340999999999994</v>
      </c>
      <c r="H1219">
        <v>90.1233</v>
      </c>
    </row>
    <row r="1220" spans="1:8" x14ac:dyDescent="0.15">
      <c r="A1220" t="s">
        <v>15</v>
      </c>
      <c r="B1220">
        <v>10010</v>
      </c>
      <c r="C1220">
        <v>19</v>
      </c>
      <c r="D1220">
        <v>4.9778000000000002</v>
      </c>
      <c r="E1220">
        <v>402.9939</v>
      </c>
      <c r="F1220">
        <v>16.228999999999999</v>
      </c>
      <c r="G1220">
        <v>85.416300000000007</v>
      </c>
      <c r="H1220">
        <v>90.065299999999993</v>
      </c>
    </row>
    <row r="1221" spans="1:8" x14ac:dyDescent="0.15">
      <c r="A1221" t="s">
        <v>15</v>
      </c>
      <c r="B1221">
        <v>10010</v>
      </c>
      <c r="C1221">
        <v>19</v>
      </c>
      <c r="D1221">
        <v>4.9794</v>
      </c>
      <c r="E1221">
        <v>402.86290000000002</v>
      </c>
      <c r="F1221">
        <v>16.224</v>
      </c>
      <c r="G1221">
        <v>85.388499999999993</v>
      </c>
      <c r="H1221">
        <v>89.917400000000001</v>
      </c>
    </row>
    <row r="1222" spans="1:8" x14ac:dyDescent="0.15">
      <c r="A1222" t="s">
        <v>15</v>
      </c>
      <c r="B1222">
        <v>10010</v>
      </c>
      <c r="C1222">
        <v>19</v>
      </c>
      <c r="D1222">
        <v>4.9888000000000003</v>
      </c>
      <c r="E1222">
        <v>402.10399999999998</v>
      </c>
      <c r="F1222">
        <v>16.193000000000001</v>
      </c>
      <c r="G1222">
        <v>85.227699999999999</v>
      </c>
      <c r="H1222">
        <v>90.109399999999994</v>
      </c>
    </row>
    <row r="1223" spans="1:8" x14ac:dyDescent="0.15">
      <c r="A1223" t="s">
        <v>15</v>
      </c>
      <c r="B1223">
        <v>10010</v>
      </c>
      <c r="C1223">
        <v>19</v>
      </c>
      <c r="D1223">
        <v>4.9912000000000001</v>
      </c>
      <c r="E1223">
        <v>401.90910000000002</v>
      </c>
      <c r="F1223">
        <v>16.184999999999999</v>
      </c>
      <c r="G1223">
        <v>85.186400000000006</v>
      </c>
      <c r="H1223">
        <v>90.166300000000007</v>
      </c>
    </row>
    <row r="1224" spans="1:8" x14ac:dyDescent="0.15">
      <c r="A1224" t="s">
        <v>15</v>
      </c>
      <c r="B1224">
        <v>10010</v>
      </c>
      <c r="C1224">
        <v>19</v>
      </c>
      <c r="D1224">
        <v>4.9870000000000001</v>
      </c>
      <c r="E1224">
        <v>402.24360000000001</v>
      </c>
      <c r="F1224">
        <v>16.199000000000002</v>
      </c>
      <c r="G1224">
        <v>85.257300000000001</v>
      </c>
      <c r="H1224">
        <v>90.1023</v>
      </c>
    </row>
    <row r="1225" spans="1:8" x14ac:dyDescent="0.15">
      <c r="A1225" t="s">
        <v>15</v>
      </c>
      <c r="B1225">
        <v>10010</v>
      </c>
      <c r="C1225">
        <v>19</v>
      </c>
      <c r="D1225">
        <v>4.9810999999999996</v>
      </c>
      <c r="E1225">
        <v>402.72390000000001</v>
      </c>
      <c r="F1225">
        <v>16.218</v>
      </c>
      <c r="G1225">
        <v>85.359099999999998</v>
      </c>
      <c r="H1225">
        <v>90.009299999999996</v>
      </c>
    </row>
    <row r="1226" spans="1:8" x14ac:dyDescent="0.15">
      <c r="A1226" t="s">
        <v>15</v>
      </c>
      <c r="B1226">
        <v>10010</v>
      </c>
      <c r="C1226">
        <v>19</v>
      </c>
      <c r="D1226">
        <v>4.9789000000000003</v>
      </c>
      <c r="E1226">
        <v>402.8999</v>
      </c>
      <c r="F1226">
        <v>16.225000000000001</v>
      </c>
      <c r="G1226">
        <v>85.3964</v>
      </c>
      <c r="H1226">
        <v>89.978300000000004</v>
      </c>
    </row>
    <row r="1227" spans="1:8" x14ac:dyDescent="0.15">
      <c r="A1227" t="s">
        <v>15</v>
      </c>
      <c r="B1227">
        <v>10010</v>
      </c>
      <c r="C1227">
        <v>19</v>
      </c>
      <c r="D1227">
        <v>4.9785000000000004</v>
      </c>
      <c r="E1227">
        <v>402.93709999999999</v>
      </c>
      <c r="F1227">
        <v>16.227</v>
      </c>
      <c r="G1227">
        <v>85.404300000000006</v>
      </c>
      <c r="H1227">
        <v>90.017300000000006</v>
      </c>
    </row>
    <row r="1228" spans="1:8" x14ac:dyDescent="0.15">
      <c r="A1228" t="s">
        <v>15</v>
      </c>
      <c r="B1228">
        <v>10010</v>
      </c>
      <c r="C1228">
        <v>19</v>
      </c>
      <c r="D1228">
        <v>4.9744000000000002</v>
      </c>
      <c r="E1228">
        <v>403.26339999999999</v>
      </c>
      <c r="F1228">
        <v>16.239999999999998</v>
      </c>
      <c r="G1228">
        <v>85.473399999999998</v>
      </c>
      <c r="H1228">
        <v>89.951400000000007</v>
      </c>
    </row>
    <row r="1229" spans="1:8" x14ac:dyDescent="0.15">
      <c r="A1229" t="s">
        <v>15</v>
      </c>
      <c r="B1229">
        <v>10010</v>
      </c>
      <c r="C1229">
        <v>19</v>
      </c>
      <c r="D1229">
        <v>4.9846000000000004</v>
      </c>
      <c r="E1229">
        <v>402.44080000000002</v>
      </c>
      <c r="F1229">
        <v>16.207000000000001</v>
      </c>
      <c r="G1229">
        <v>85.299099999999996</v>
      </c>
      <c r="H1229">
        <v>90.167199999999994</v>
      </c>
    </row>
    <row r="1230" spans="1:8" x14ac:dyDescent="0.15">
      <c r="A1230" t="s">
        <v>15</v>
      </c>
      <c r="B1230">
        <v>10010</v>
      </c>
      <c r="C1230">
        <v>19</v>
      </c>
      <c r="D1230">
        <v>4.9886999999999997</v>
      </c>
      <c r="E1230">
        <v>402.10719999999998</v>
      </c>
      <c r="F1230">
        <v>16.193000000000001</v>
      </c>
      <c r="G1230">
        <v>85.228399999999993</v>
      </c>
      <c r="H1230">
        <v>90.257300000000001</v>
      </c>
    </row>
    <row r="1231" spans="1:8" x14ac:dyDescent="0.15">
      <c r="A1231" t="s">
        <v>15</v>
      </c>
      <c r="B1231">
        <v>10010</v>
      </c>
      <c r="C1231">
        <v>19</v>
      </c>
      <c r="D1231">
        <v>4.9892000000000003</v>
      </c>
      <c r="E1231">
        <v>402.06819999999999</v>
      </c>
      <c r="F1231">
        <v>16.192</v>
      </c>
      <c r="G1231">
        <v>85.220100000000002</v>
      </c>
      <c r="H1231">
        <v>90.280299999999997</v>
      </c>
    </row>
    <row r="1232" spans="1:8" x14ac:dyDescent="0.15">
      <c r="A1232" t="s">
        <v>15</v>
      </c>
      <c r="B1232">
        <v>10010</v>
      </c>
      <c r="C1232">
        <v>19</v>
      </c>
      <c r="D1232">
        <v>4.9905999999999997</v>
      </c>
      <c r="E1232">
        <v>401.96019999999999</v>
      </c>
      <c r="F1232">
        <v>16.187000000000001</v>
      </c>
      <c r="G1232">
        <v>85.197199999999995</v>
      </c>
      <c r="H1232">
        <v>90.115200000000002</v>
      </c>
    </row>
    <row r="1233" spans="1:8" x14ac:dyDescent="0.15">
      <c r="A1233" t="s">
        <v>15</v>
      </c>
      <c r="B1233">
        <v>10010</v>
      </c>
      <c r="C1233">
        <v>19</v>
      </c>
      <c r="D1233">
        <v>4.9958</v>
      </c>
      <c r="E1233">
        <v>401.54079999999999</v>
      </c>
      <c r="F1233">
        <v>16.170999999999999</v>
      </c>
      <c r="G1233">
        <v>85.1083</v>
      </c>
      <c r="H1233">
        <v>90.219200000000001</v>
      </c>
    </row>
    <row r="1234" spans="1:8" x14ac:dyDescent="0.15">
      <c r="A1234" t="s">
        <v>15</v>
      </c>
      <c r="B1234">
        <v>10010</v>
      </c>
      <c r="C1234">
        <v>19</v>
      </c>
      <c r="D1234">
        <v>4.9973000000000001</v>
      </c>
      <c r="E1234">
        <v>401.4212</v>
      </c>
      <c r="F1234">
        <v>16.166</v>
      </c>
      <c r="G1234">
        <v>85.082999999999998</v>
      </c>
      <c r="H1234">
        <v>90.256299999999996</v>
      </c>
    </row>
    <row r="1235" spans="1:8" x14ac:dyDescent="0.15">
      <c r="A1235" t="s">
        <v>15</v>
      </c>
      <c r="B1235">
        <v>10010</v>
      </c>
      <c r="C1235">
        <v>19</v>
      </c>
      <c r="D1235">
        <v>4.9936999999999996</v>
      </c>
      <c r="E1235">
        <v>401.70929999999998</v>
      </c>
      <c r="F1235">
        <v>16.177</v>
      </c>
      <c r="G1235">
        <v>85.144000000000005</v>
      </c>
      <c r="H1235">
        <v>90.194299999999998</v>
      </c>
    </row>
    <row r="1236" spans="1:8" x14ac:dyDescent="0.15">
      <c r="A1236" t="s">
        <v>15</v>
      </c>
      <c r="B1236">
        <v>10010</v>
      </c>
      <c r="C1236">
        <v>19</v>
      </c>
      <c r="D1236">
        <v>4.9988000000000001</v>
      </c>
      <c r="E1236">
        <v>401.29969999999997</v>
      </c>
      <c r="F1236">
        <v>16.161000000000001</v>
      </c>
      <c r="G1236">
        <v>85.057199999999995</v>
      </c>
      <c r="H1236">
        <v>90.295199999999994</v>
      </c>
    </row>
    <row r="1237" spans="1:8" x14ac:dyDescent="0.15">
      <c r="A1237" t="s">
        <v>15</v>
      </c>
      <c r="B1237">
        <v>10010</v>
      </c>
      <c r="C1237">
        <v>19</v>
      </c>
      <c r="D1237">
        <v>5.0015000000000001</v>
      </c>
      <c r="E1237">
        <v>401.08479999999997</v>
      </c>
      <c r="F1237">
        <v>16.152000000000001</v>
      </c>
      <c r="G1237">
        <v>85.011700000000005</v>
      </c>
      <c r="H1237">
        <v>90.347399999999993</v>
      </c>
    </row>
    <row r="1238" spans="1:8" x14ac:dyDescent="0.15">
      <c r="A1238" t="s">
        <v>15</v>
      </c>
      <c r="B1238">
        <v>10010</v>
      </c>
      <c r="C1238">
        <v>19</v>
      </c>
      <c r="D1238">
        <v>5.0038</v>
      </c>
      <c r="E1238">
        <v>400.89510000000001</v>
      </c>
      <c r="F1238">
        <v>16.145</v>
      </c>
      <c r="G1238">
        <v>84.971400000000003</v>
      </c>
      <c r="H1238">
        <v>90.389200000000002</v>
      </c>
    </row>
    <row r="1239" spans="1:8" x14ac:dyDescent="0.15">
      <c r="A1239" t="s">
        <v>15</v>
      </c>
      <c r="B1239">
        <v>10010</v>
      </c>
      <c r="C1239">
        <v>19</v>
      </c>
      <c r="D1239">
        <v>5.0023</v>
      </c>
      <c r="E1239">
        <v>401.01679999999999</v>
      </c>
      <c r="F1239">
        <v>16.149000000000001</v>
      </c>
      <c r="G1239">
        <v>84.997299999999996</v>
      </c>
      <c r="H1239">
        <v>90.357200000000006</v>
      </c>
    </row>
    <row r="1240" spans="1:8" x14ac:dyDescent="0.15">
      <c r="A1240" t="s">
        <v>15</v>
      </c>
      <c r="B1240">
        <v>10010</v>
      </c>
      <c r="C1240">
        <v>19</v>
      </c>
      <c r="D1240">
        <v>5.0011999999999999</v>
      </c>
      <c r="E1240">
        <v>401.10329999999999</v>
      </c>
      <c r="F1240">
        <v>16.152999999999999</v>
      </c>
      <c r="G1240">
        <v>85.015600000000006</v>
      </c>
      <c r="H1240">
        <v>90.340299999999999</v>
      </c>
    </row>
    <row r="1241" spans="1:8" x14ac:dyDescent="0.15">
      <c r="A1241" t="s">
        <v>15</v>
      </c>
      <c r="B1241">
        <v>10010</v>
      </c>
      <c r="C1241">
        <v>19</v>
      </c>
      <c r="D1241">
        <v>5.0056000000000003</v>
      </c>
      <c r="E1241">
        <v>400.75330000000002</v>
      </c>
      <c r="F1241">
        <v>16.138999999999999</v>
      </c>
      <c r="G1241">
        <v>84.941400000000002</v>
      </c>
      <c r="H1241">
        <v>90.405299999999997</v>
      </c>
    </row>
    <row r="1242" spans="1:8" x14ac:dyDescent="0.15">
      <c r="A1242" t="s">
        <v>15</v>
      </c>
      <c r="B1242">
        <v>10010</v>
      </c>
      <c r="C1242">
        <v>19</v>
      </c>
      <c r="D1242">
        <v>5.0063000000000004</v>
      </c>
      <c r="E1242">
        <v>400.69900000000001</v>
      </c>
      <c r="F1242">
        <v>16.137</v>
      </c>
      <c r="G1242">
        <v>84.929900000000004</v>
      </c>
      <c r="H1242">
        <v>90.442400000000006</v>
      </c>
    </row>
    <row r="1243" spans="1:8" x14ac:dyDescent="0.15">
      <c r="A1243" t="s">
        <v>15</v>
      </c>
      <c r="B1243">
        <v>10010</v>
      </c>
      <c r="C1243">
        <v>19</v>
      </c>
      <c r="D1243">
        <v>5.0076999999999998</v>
      </c>
      <c r="E1243">
        <v>400.58679999999998</v>
      </c>
      <c r="F1243">
        <v>16.132000000000001</v>
      </c>
      <c r="G1243">
        <v>84.906099999999995</v>
      </c>
      <c r="H1243">
        <v>90.4482</v>
      </c>
    </row>
    <row r="1244" spans="1:8" x14ac:dyDescent="0.15">
      <c r="A1244" t="s">
        <v>15</v>
      </c>
      <c r="B1244">
        <v>10010</v>
      </c>
      <c r="C1244">
        <v>19</v>
      </c>
      <c r="D1244">
        <v>5.0058999999999996</v>
      </c>
      <c r="E1244">
        <v>400.73079999999999</v>
      </c>
      <c r="F1244">
        <v>16.138000000000002</v>
      </c>
      <c r="G1244">
        <v>84.936599999999999</v>
      </c>
      <c r="H1244">
        <v>90.411100000000005</v>
      </c>
    </row>
    <row r="1245" spans="1:8" x14ac:dyDescent="0.15">
      <c r="A1245" t="s">
        <v>15</v>
      </c>
      <c r="B1245">
        <v>10010</v>
      </c>
      <c r="C1245">
        <v>19</v>
      </c>
      <c r="D1245">
        <v>5.0096999999999996</v>
      </c>
      <c r="E1245">
        <v>400.42540000000002</v>
      </c>
      <c r="F1245">
        <v>16.126000000000001</v>
      </c>
      <c r="G1245">
        <v>84.871899999999997</v>
      </c>
      <c r="H1245">
        <v>90.472200000000001</v>
      </c>
    </row>
    <row r="1246" spans="1:8" x14ac:dyDescent="0.15">
      <c r="A1246" t="s">
        <v>15</v>
      </c>
      <c r="B1246">
        <v>10010</v>
      </c>
      <c r="C1246">
        <v>19</v>
      </c>
      <c r="D1246">
        <v>5.0046999999999997</v>
      </c>
      <c r="E1246">
        <v>400.8211</v>
      </c>
      <c r="F1246">
        <v>16.141999999999999</v>
      </c>
      <c r="G1246">
        <v>84.955799999999996</v>
      </c>
      <c r="H1246">
        <v>90.378399999999999</v>
      </c>
    </row>
    <row r="1247" spans="1:8" x14ac:dyDescent="0.15">
      <c r="A1247" t="s">
        <v>15</v>
      </c>
      <c r="B1247">
        <v>10010</v>
      </c>
      <c r="C1247">
        <v>19</v>
      </c>
      <c r="D1247">
        <v>5.0068000000000001</v>
      </c>
      <c r="E1247">
        <v>400.65530000000001</v>
      </c>
      <c r="F1247">
        <v>16.135000000000002</v>
      </c>
      <c r="G1247">
        <v>84.920599999999993</v>
      </c>
      <c r="H1247">
        <v>90.412099999999995</v>
      </c>
    </row>
    <row r="1248" spans="1:8" x14ac:dyDescent="0.15">
      <c r="A1248" t="s">
        <v>15</v>
      </c>
      <c r="B1248">
        <v>10010</v>
      </c>
      <c r="C1248">
        <v>19</v>
      </c>
      <c r="D1248">
        <v>5.0071000000000003</v>
      </c>
      <c r="E1248">
        <v>400.63130000000001</v>
      </c>
      <c r="F1248">
        <v>16.134</v>
      </c>
      <c r="G1248">
        <v>84.915499999999994</v>
      </c>
      <c r="H1248">
        <v>90.409199999999998</v>
      </c>
    </row>
    <row r="1249" spans="1:8" x14ac:dyDescent="0.15">
      <c r="A1249" t="s">
        <v>15</v>
      </c>
      <c r="B1249">
        <v>10010</v>
      </c>
      <c r="C1249">
        <v>19</v>
      </c>
      <c r="D1249">
        <v>5.0071000000000003</v>
      </c>
      <c r="E1249">
        <v>400.6343</v>
      </c>
      <c r="F1249">
        <v>16.134</v>
      </c>
      <c r="G1249">
        <v>84.916200000000003</v>
      </c>
      <c r="H1249">
        <v>90.609399999999994</v>
      </c>
    </row>
    <row r="1250" spans="1:8" x14ac:dyDescent="0.15">
      <c r="A1250" t="s">
        <v>15</v>
      </c>
      <c r="B1250">
        <v>10010</v>
      </c>
      <c r="C1250">
        <v>19</v>
      </c>
      <c r="D1250">
        <v>5.0087000000000002</v>
      </c>
      <c r="E1250">
        <v>400.50099999999998</v>
      </c>
      <c r="F1250">
        <v>16.129000000000001</v>
      </c>
      <c r="G1250">
        <v>84.887900000000002</v>
      </c>
      <c r="H1250">
        <v>90.628399999999999</v>
      </c>
    </row>
    <row r="1251" spans="1:8" x14ac:dyDescent="0.15">
      <c r="A1251" t="s">
        <v>15</v>
      </c>
      <c r="B1251">
        <v>10010</v>
      </c>
      <c r="C1251">
        <v>19</v>
      </c>
      <c r="D1251">
        <v>5.0095999999999998</v>
      </c>
      <c r="E1251">
        <v>400.4323</v>
      </c>
      <c r="F1251">
        <v>16.126000000000001</v>
      </c>
      <c r="G1251">
        <v>84.873400000000004</v>
      </c>
      <c r="H1251">
        <v>90.640100000000004</v>
      </c>
    </row>
    <row r="1252" spans="1:8" x14ac:dyDescent="0.15">
      <c r="A1252" t="s">
        <v>15</v>
      </c>
      <c r="B1252">
        <v>10010</v>
      </c>
      <c r="C1252">
        <v>19</v>
      </c>
      <c r="D1252">
        <v>5.0076999999999998</v>
      </c>
      <c r="E1252">
        <v>400.58409999999998</v>
      </c>
      <c r="F1252">
        <v>16.132000000000001</v>
      </c>
      <c r="G1252">
        <v>84.905500000000004</v>
      </c>
      <c r="H1252">
        <v>90.597200000000001</v>
      </c>
    </row>
    <row r="1253" spans="1:8" x14ac:dyDescent="0.15">
      <c r="A1253" t="s">
        <v>15</v>
      </c>
      <c r="B1253">
        <v>10010</v>
      </c>
      <c r="C1253">
        <v>19</v>
      </c>
      <c r="D1253">
        <v>5.0087000000000002</v>
      </c>
      <c r="E1253">
        <v>400.50569999999999</v>
      </c>
      <c r="F1253">
        <v>16.129000000000001</v>
      </c>
      <c r="G1253">
        <v>84.888900000000007</v>
      </c>
      <c r="H1253">
        <v>90.609399999999994</v>
      </c>
    </row>
    <row r="1254" spans="1:8" x14ac:dyDescent="0.15">
      <c r="A1254" t="s">
        <v>15</v>
      </c>
      <c r="B1254">
        <v>10010</v>
      </c>
      <c r="C1254">
        <v>19</v>
      </c>
      <c r="D1254">
        <v>5.0057999999999998</v>
      </c>
      <c r="E1254">
        <v>400.73860000000002</v>
      </c>
      <c r="F1254">
        <v>16.138000000000002</v>
      </c>
      <c r="G1254">
        <v>84.938299999999998</v>
      </c>
      <c r="H1254">
        <v>90.550299999999993</v>
      </c>
    </row>
    <row r="1255" spans="1:8" x14ac:dyDescent="0.15">
      <c r="A1255" t="s">
        <v>15</v>
      </c>
      <c r="B1255">
        <v>10010</v>
      </c>
      <c r="C1255">
        <v>19</v>
      </c>
      <c r="D1255">
        <v>5.0102000000000002</v>
      </c>
      <c r="E1255">
        <v>400.38479999999998</v>
      </c>
      <c r="F1255">
        <v>16.123999999999999</v>
      </c>
      <c r="G1255">
        <v>84.863299999999995</v>
      </c>
      <c r="H1255">
        <v>90.625</v>
      </c>
    </row>
    <row r="1256" spans="1:8" x14ac:dyDescent="0.15">
      <c r="A1256" t="s">
        <v>15</v>
      </c>
      <c r="B1256">
        <v>10010</v>
      </c>
      <c r="C1256">
        <v>20</v>
      </c>
      <c r="D1256">
        <v>4.6242000000000001</v>
      </c>
      <c r="E1256">
        <v>433.80630000000002</v>
      </c>
      <c r="F1256">
        <v>17.47</v>
      </c>
      <c r="G1256">
        <v>87.349800000000002</v>
      </c>
      <c r="H1256">
        <v>92.529799999999994</v>
      </c>
    </row>
    <row r="1257" spans="1:8" x14ac:dyDescent="0.15">
      <c r="A1257" t="s">
        <v>15</v>
      </c>
      <c r="B1257">
        <v>10010</v>
      </c>
      <c r="C1257">
        <v>20</v>
      </c>
      <c r="D1257">
        <v>4.6128</v>
      </c>
      <c r="E1257">
        <v>434.88040000000001</v>
      </c>
      <c r="F1257">
        <v>17.513000000000002</v>
      </c>
      <c r="G1257">
        <v>87.566100000000006</v>
      </c>
      <c r="H1257">
        <v>92.304199999999994</v>
      </c>
    </row>
    <row r="1258" spans="1:8" x14ac:dyDescent="0.15">
      <c r="A1258" t="s">
        <v>15</v>
      </c>
      <c r="B1258">
        <v>10010</v>
      </c>
      <c r="C1258">
        <v>20</v>
      </c>
      <c r="D1258">
        <v>4.6211000000000002</v>
      </c>
      <c r="E1258">
        <v>434.09550000000002</v>
      </c>
      <c r="F1258">
        <v>17.481999999999999</v>
      </c>
      <c r="G1258">
        <v>87.408000000000001</v>
      </c>
      <c r="H1258">
        <v>92.481899999999996</v>
      </c>
    </row>
    <row r="1259" spans="1:8" x14ac:dyDescent="0.15">
      <c r="A1259" t="s">
        <v>15</v>
      </c>
      <c r="B1259">
        <v>10010</v>
      </c>
      <c r="C1259">
        <v>20</v>
      </c>
      <c r="D1259">
        <v>4.6204000000000001</v>
      </c>
      <c r="E1259">
        <v>434.16160000000002</v>
      </c>
      <c r="F1259">
        <v>17.484000000000002</v>
      </c>
      <c r="G1259">
        <v>87.421300000000002</v>
      </c>
      <c r="H1259">
        <v>92.4619</v>
      </c>
    </row>
    <row r="1260" spans="1:8" x14ac:dyDescent="0.15">
      <c r="A1260" t="s">
        <v>15</v>
      </c>
      <c r="B1260">
        <v>10010</v>
      </c>
      <c r="C1260">
        <v>20</v>
      </c>
      <c r="D1260">
        <v>4.6158000000000001</v>
      </c>
      <c r="E1260">
        <v>434.59449999999998</v>
      </c>
      <c r="F1260">
        <v>17.501999999999999</v>
      </c>
      <c r="G1260">
        <v>87.508499999999998</v>
      </c>
      <c r="H1260">
        <v>92.393100000000004</v>
      </c>
    </row>
    <row r="1261" spans="1:8" x14ac:dyDescent="0.15">
      <c r="A1261" t="s">
        <v>15</v>
      </c>
      <c r="B1261">
        <v>10010</v>
      </c>
      <c r="C1261">
        <v>20</v>
      </c>
      <c r="D1261">
        <v>4.6272000000000002</v>
      </c>
      <c r="E1261">
        <v>433.52260000000001</v>
      </c>
      <c r="F1261">
        <v>17.459</v>
      </c>
      <c r="G1261">
        <v>87.292699999999996</v>
      </c>
      <c r="H1261">
        <v>92.6006</v>
      </c>
    </row>
    <row r="1262" spans="1:8" x14ac:dyDescent="0.15">
      <c r="A1262" t="s">
        <v>15</v>
      </c>
      <c r="B1262">
        <v>10010</v>
      </c>
      <c r="C1262">
        <v>20</v>
      </c>
      <c r="D1262">
        <v>4.625</v>
      </c>
      <c r="E1262">
        <v>433.7287</v>
      </c>
      <c r="F1262">
        <v>17.466999999999999</v>
      </c>
      <c r="G1262">
        <v>87.334100000000007</v>
      </c>
      <c r="H1262">
        <v>92.558099999999996</v>
      </c>
    </row>
    <row r="1263" spans="1:8" x14ac:dyDescent="0.15">
      <c r="A1263" t="s">
        <v>15</v>
      </c>
      <c r="B1263">
        <v>10010</v>
      </c>
      <c r="C1263">
        <v>20</v>
      </c>
      <c r="D1263">
        <v>4.6219000000000001</v>
      </c>
      <c r="E1263">
        <v>434.01850000000002</v>
      </c>
      <c r="F1263">
        <v>17.478000000000002</v>
      </c>
      <c r="G1263">
        <v>87.392499999999998</v>
      </c>
      <c r="H1263">
        <v>92.498999999999995</v>
      </c>
    </row>
    <row r="1264" spans="1:8" x14ac:dyDescent="0.15">
      <c r="A1264" t="s">
        <v>15</v>
      </c>
      <c r="B1264">
        <v>10010</v>
      </c>
      <c r="C1264">
        <v>20</v>
      </c>
      <c r="D1264">
        <v>4.6306000000000003</v>
      </c>
      <c r="E1264">
        <v>433.2081</v>
      </c>
      <c r="F1264">
        <v>17.446000000000002</v>
      </c>
      <c r="G1264">
        <v>87.229299999999995</v>
      </c>
      <c r="H1264">
        <v>92.668000000000006</v>
      </c>
    </row>
    <row r="1265" spans="1:8" x14ac:dyDescent="0.15">
      <c r="A1265" t="s">
        <v>15</v>
      </c>
      <c r="B1265">
        <v>10010</v>
      </c>
      <c r="C1265">
        <v>20</v>
      </c>
      <c r="D1265">
        <v>4.6315999999999997</v>
      </c>
      <c r="E1265">
        <v>433.10939999999999</v>
      </c>
      <c r="F1265">
        <v>17.442</v>
      </c>
      <c r="G1265">
        <v>87.209400000000002</v>
      </c>
      <c r="H1265">
        <v>92.678700000000006</v>
      </c>
    </row>
    <row r="1266" spans="1:8" x14ac:dyDescent="0.15">
      <c r="A1266" t="s">
        <v>15</v>
      </c>
      <c r="B1266">
        <v>10010</v>
      </c>
      <c r="C1266">
        <v>20</v>
      </c>
      <c r="D1266">
        <v>4.6269</v>
      </c>
      <c r="E1266">
        <v>433.55680000000001</v>
      </c>
      <c r="F1266">
        <v>17.46</v>
      </c>
      <c r="G1266">
        <v>87.299499999999995</v>
      </c>
      <c r="H1266">
        <v>92.581999999999994</v>
      </c>
    </row>
    <row r="1267" spans="1:8" x14ac:dyDescent="0.15">
      <c r="A1267" t="s">
        <v>15</v>
      </c>
      <c r="B1267">
        <v>10010</v>
      </c>
      <c r="C1267">
        <v>20</v>
      </c>
      <c r="D1267">
        <v>4.6281999999999996</v>
      </c>
      <c r="E1267">
        <v>433.42930000000001</v>
      </c>
      <c r="F1267">
        <v>17.454999999999998</v>
      </c>
      <c r="G1267">
        <v>87.273899999999998</v>
      </c>
      <c r="H1267">
        <v>92.629900000000006</v>
      </c>
    </row>
    <row r="1268" spans="1:8" x14ac:dyDescent="0.15">
      <c r="A1268" t="s">
        <v>15</v>
      </c>
      <c r="B1268">
        <v>10010</v>
      </c>
      <c r="C1268">
        <v>20</v>
      </c>
      <c r="D1268">
        <v>4.6308999999999996</v>
      </c>
      <c r="E1268">
        <v>433.18</v>
      </c>
      <c r="F1268">
        <v>17.445</v>
      </c>
      <c r="G1268">
        <v>87.223699999999994</v>
      </c>
      <c r="H1268">
        <v>92.6768</v>
      </c>
    </row>
    <row r="1269" spans="1:8" x14ac:dyDescent="0.15">
      <c r="A1269" t="s">
        <v>15</v>
      </c>
      <c r="B1269">
        <v>10010</v>
      </c>
      <c r="C1269">
        <v>20</v>
      </c>
      <c r="D1269">
        <v>4.6315999999999997</v>
      </c>
      <c r="E1269">
        <v>433.10950000000003</v>
      </c>
      <c r="F1269">
        <v>17.442</v>
      </c>
      <c r="G1269">
        <v>87.209500000000006</v>
      </c>
      <c r="H1269">
        <v>92.690899999999999</v>
      </c>
    </row>
    <row r="1270" spans="1:8" x14ac:dyDescent="0.15">
      <c r="A1270" t="s">
        <v>15</v>
      </c>
      <c r="B1270">
        <v>10010</v>
      </c>
      <c r="C1270">
        <v>20</v>
      </c>
      <c r="D1270">
        <v>4.6288</v>
      </c>
      <c r="E1270">
        <v>433.37119999999999</v>
      </c>
      <c r="F1270">
        <v>17.452000000000002</v>
      </c>
      <c r="G1270">
        <v>87.262200000000007</v>
      </c>
      <c r="H1270">
        <v>92.633300000000006</v>
      </c>
    </row>
    <row r="1271" spans="1:8" x14ac:dyDescent="0.15">
      <c r="A1271" t="s">
        <v>15</v>
      </c>
      <c r="B1271">
        <v>10010</v>
      </c>
      <c r="C1271">
        <v>20</v>
      </c>
      <c r="D1271">
        <v>4.6401000000000003</v>
      </c>
      <c r="E1271">
        <v>432.32209999999998</v>
      </c>
      <c r="F1271">
        <v>17.41</v>
      </c>
      <c r="G1271">
        <v>87.050899999999999</v>
      </c>
      <c r="H1271">
        <v>92.830600000000004</v>
      </c>
    </row>
    <row r="1272" spans="1:8" x14ac:dyDescent="0.15">
      <c r="A1272" t="s">
        <v>15</v>
      </c>
      <c r="B1272">
        <v>10010</v>
      </c>
      <c r="C1272">
        <v>20</v>
      </c>
      <c r="D1272">
        <v>4.6266999999999996</v>
      </c>
      <c r="E1272">
        <v>433.5729</v>
      </c>
      <c r="F1272">
        <v>17.460999999999999</v>
      </c>
      <c r="G1272">
        <v>87.302800000000005</v>
      </c>
      <c r="H1272">
        <v>92.585899999999995</v>
      </c>
    </row>
    <row r="1273" spans="1:8" x14ac:dyDescent="0.15">
      <c r="A1273" t="s">
        <v>15</v>
      </c>
      <c r="B1273">
        <v>10010</v>
      </c>
      <c r="C1273">
        <v>20</v>
      </c>
      <c r="D1273">
        <v>4.6334999999999997</v>
      </c>
      <c r="E1273">
        <v>432.93299999999999</v>
      </c>
      <c r="F1273">
        <v>17.434999999999999</v>
      </c>
      <c r="G1273">
        <v>87.173900000000003</v>
      </c>
      <c r="H1273">
        <v>92.727099999999993</v>
      </c>
    </row>
    <row r="1274" spans="1:8" x14ac:dyDescent="0.15">
      <c r="A1274" t="s">
        <v>15</v>
      </c>
      <c r="B1274">
        <v>10010</v>
      </c>
      <c r="C1274">
        <v>20</v>
      </c>
      <c r="D1274">
        <v>4.6237000000000004</v>
      </c>
      <c r="E1274">
        <v>433.85640000000001</v>
      </c>
      <c r="F1274">
        <v>17.472000000000001</v>
      </c>
      <c r="G1274">
        <v>87.359899999999996</v>
      </c>
      <c r="H1274">
        <v>92.5518</v>
      </c>
    </row>
    <row r="1275" spans="1:8" x14ac:dyDescent="0.15">
      <c r="A1275" t="s">
        <v>15</v>
      </c>
      <c r="B1275">
        <v>10010</v>
      </c>
      <c r="C1275">
        <v>20</v>
      </c>
      <c r="D1275">
        <v>4.6262999999999996</v>
      </c>
      <c r="E1275">
        <v>433.6062</v>
      </c>
      <c r="F1275">
        <v>17.462</v>
      </c>
      <c r="G1275">
        <v>87.3095</v>
      </c>
      <c r="H1275">
        <v>92.584000000000003</v>
      </c>
    </row>
    <row r="1276" spans="1:8" x14ac:dyDescent="0.15">
      <c r="A1276" t="s">
        <v>15</v>
      </c>
      <c r="B1276">
        <v>10010</v>
      </c>
      <c r="C1276">
        <v>20</v>
      </c>
      <c r="D1276">
        <v>4.6345000000000001</v>
      </c>
      <c r="E1276">
        <v>432.84120000000001</v>
      </c>
      <c r="F1276">
        <v>17.431000000000001</v>
      </c>
      <c r="G1276">
        <v>87.1554</v>
      </c>
      <c r="H1276">
        <v>92.747100000000003</v>
      </c>
    </row>
    <row r="1277" spans="1:8" x14ac:dyDescent="0.15">
      <c r="A1277" t="s">
        <v>15</v>
      </c>
      <c r="B1277">
        <v>10010</v>
      </c>
      <c r="C1277">
        <v>20</v>
      </c>
      <c r="D1277">
        <v>4.6307</v>
      </c>
      <c r="E1277">
        <v>433.19659999999999</v>
      </c>
      <c r="F1277">
        <v>17.445</v>
      </c>
      <c r="G1277">
        <v>87.227000000000004</v>
      </c>
      <c r="H1277">
        <v>92.665999999999997</v>
      </c>
    </row>
    <row r="1278" spans="1:8" x14ac:dyDescent="0.15">
      <c r="A1278" t="s">
        <v>15</v>
      </c>
      <c r="B1278">
        <v>10010</v>
      </c>
      <c r="C1278">
        <v>20</v>
      </c>
      <c r="D1278">
        <v>4.6374000000000004</v>
      </c>
      <c r="E1278">
        <v>432.57089999999999</v>
      </c>
      <c r="F1278">
        <v>17.420000000000002</v>
      </c>
      <c r="G1278">
        <v>87.100999999999999</v>
      </c>
      <c r="H1278">
        <v>92.784700000000001</v>
      </c>
    </row>
    <row r="1279" spans="1:8" x14ac:dyDescent="0.15">
      <c r="A1279" t="s">
        <v>15</v>
      </c>
      <c r="B1279">
        <v>10010</v>
      </c>
      <c r="C1279">
        <v>20</v>
      </c>
      <c r="D1279">
        <v>4.6391</v>
      </c>
      <c r="E1279">
        <v>432.41590000000002</v>
      </c>
      <c r="F1279">
        <v>17.414000000000001</v>
      </c>
      <c r="G1279">
        <v>87.069800000000001</v>
      </c>
      <c r="H1279">
        <v>92.796899999999994</v>
      </c>
    </row>
    <row r="1280" spans="1:8" x14ac:dyDescent="0.15">
      <c r="A1280" t="s">
        <v>15</v>
      </c>
      <c r="B1280">
        <v>10010</v>
      </c>
      <c r="C1280">
        <v>20</v>
      </c>
      <c r="D1280">
        <v>4.6317000000000004</v>
      </c>
      <c r="E1280">
        <v>433.10500000000002</v>
      </c>
      <c r="F1280">
        <v>17.442</v>
      </c>
      <c r="G1280">
        <v>87.208600000000004</v>
      </c>
      <c r="H1280">
        <v>92.691900000000004</v>
      </c>
    </row>
    <row r="1281" spans="1:8" x14ac:dyDescent="0.15">
      <c r="A1281" t="s">
        <v>15</v>
      </c>
      <c r="B1281">
        <v>10010</v>
      </c>
      <c r="C1281">
        <v>20</v>
      </c>
      <c r="D1281">
        <v>4.6230000000000002</v>
      </c>
      <c r="E1281">
        <v>433.91759999999999</v>
      </c>
      <c r="F1281">
        <v>17.474</v>
      </c>
      <c r="G1281">
        <v>87.372200000000007</v>
      </c>
      <c r="H1281">
        <v>92.516099999999994</v>
      </c>
    </row>
    <row r="1282" spans="1:8" x14ac:dyDescent="0.15">
      <c r="A1282" t="s">
        <v>15</v>
      </c>
      <c r="B1282">
        <v>10010</v>
      </c>
      <c r="C1282">
        <v>20</v>
      </c>
      <c r="D1282">
        <v>4.6230000000000002</v>
      </c>
      <c r="E1282">
        <v>433.91489999999999</v>
      </c>
      <c r="F1282">
        <v>17.474</v>
      </c>
      <c r="G1282">
        <v>87.371600000000001</v>
      </c>
      <c r="H1282">
        <v>92.52</v>
      </c>
    </row>
    <row r="1283" spans="1:8" x14ac:dyDescent="0.15">
      <c r="A1283" t="s">
        <v>15</v>
      </c>
      <c r="B1283">
        <v>10010</v>
      </c>
      <c r="C1283">
        <v>20</v>
      </c>
      <c r="D1283">
        <v>4.6241000000000003</v>
      </c>
      <c r="E1283">
        <v>433.81830000000002</v>
      </c>
      <c r="F1283">
        <v>17.47</v>
      </c>
      <c r="G1283">
        <v>87.352199999999996</v>
      </c>
      <c r="H1283">
        <v>92.535600000000002</v>
      </c>
    </row>
    <row r="1284" spans="1:8" x14ac:dyDescent="0.15">
      <c r="A1284" t="s">
        <v>15</v>
      </c>
      <c r="B1284">
        <v>10010</v>
      </c>
      <c r="C1284">
        <v>20</v>
      </c>
      <c r="D1284">
        <v>4.6364999999999998</v>
      </c>
      <c r="E1284">
        <v>432.65809999999999</v>
      </c>
      <c r="F1284">
        <v>17.423999999999999</v>
      </c>
      <c r="G1284">
        <v>87.118600000000001</v>
      </c>
      <c r="H1284">
        <v>92.747100000000003</v>
      </c>
    </row>
    <row r="1285" spans="1:8" x14ac:dyDescent="0.15">
      <c r="A1285" t="s">
        <v>15</v>
      </c>
      <c r="B1285">
        <v>10010</v>
      </c>
      <c r="C1285">
        <v>20</v>
      </c>
      <c r="D1285">
        <v>4.6490999999999998</v>
      </c>
      <c r="E1285">
        <v>431.4837</v>
      </c>
      <c r="F1285">
        <v>17.376000000000001</v>
      </c>
      <c r="G1285">
        <v>86.882099999999994</v>
      </c>
      <c r="H1285">
        <v>92.991699999999994</v>
      </c>
    </row>
    <row r="1286" spans="1:8" x14ac:dyDescent="0.15">
      <c r="A1286" t="s">
        <v>15</v>
      </c>
      <c r="B1286">
        <v>10010</v>
      </c>
      <c r="C1286">
        <v>20</v>
      </c>
      <c r="D1286">
        <v>4.6338999999999997</v>
      </c>
      <c r="E1286">
        <v>432.89479999999998</v>
      </c>
      <c r="F1286">
        <v>17.433</v>
      </c>
      <c r="G1286">
        <v>87.166200000000003</v>
      </c>
      <c r="H1286">
        <v>92.747100000000003</v>
      </c>
    </row>
    <row r="1287" spans="1:8" x14ac:dyDescent="0.15">
      <c r="A1287" t="s">
        <v>15</v>
      </c>
      <c r="B1287">
        <v>10010</v>
      </c>
      <c r="C1287">
        <v>20</v>
      </c>
      <c r="D1287">
        <v>4.6311</v>
      </c>
      <c r="E1287">
        <v>433.16140000000001</v>
      </c>
      <c r="F1287">
        <v>17.443999999999999</v>
      </c>
      <c r="G1287">
        <v>87.219899999999996</v>
      </c>
      <c r="H1287">
        <v>92.6738</v>
      </c>
    </row>
    <row r="1288" spans="1:8" x14ac:dyDescent="0.15">
      <c r="A1288" t="s">
        <v>15</v>
      </c>
      <c r="B1288">
        <v>10010</v>
      </c>
      <c r="C1288">
        <v>20</v>
      </c>
      <c r="D1288">
        <v>4.6327999999999996</v>
      </c>
      <c r="E1288">
        <v>433.00080000000003</v>
      </c>
      <c r="F1288">
        <v>17.437999999999999</v>
      </c>
      <c r="G1288">
        <v>87.187600000000003</v>
      </c>
      <c r="H1288">
        <v>92.715800000000002</v>
      </c>
    </row>
    <row r="1289" spans="1:8" x14ac:dyDescent="0.15">
      <c r="A1289" t="s">
        <v>15</v>
      </c>
      <c r="B1289">
        <v>10010</v>
      </c>
      <c r="C1289">
        <v>20</v>
      </c>
      <c r="D1289">
        <v>4.6256000000000004</v>
      </c>
      <c r="E1289">
        <v>433.6737</v>
      </c>
      <c r="F1289">
        <v>17.465</v>
      </c>
      <c r="G1289">
        <v>87.323099999999997</v>
      </c>
      <c r="H1289">
        <v>92.570800000000006</v>
      </c>
    </row>
    <row r="1290" spans="1:8" x14ac:dyDescent="0.15">
      <c r="A1290" t="s">
        <v>15</v>
      </c>
      <c r="B1290">
        <v>10010</v>
      </c>
      <c r="C1290">
        <v>20</v>
      </c>
      <c r="D1290">
        <v>4.6302000000000003</v>
      </c>
      <c r="E1290">
        <v>433.23989999999998</v>
      </c>
      <c r="F1290">
        <v>17.446999999999999</v>
      </c>
      <c r="G1290">
        <v>87.235699999999994</v>
      </c>
      <c r="H1290">
        <v>92.661100000000005</v>
      </c>
    </row>
    <row r="1291" spans="1:8" x14ac:dyDescent="0.15">
      <c r="A1291" t="s">
        <v>15</v>
      </c>
      <c r="B1291">
        <v>10010</v>
      </c>
      <c r="C1291">
        <v>20</v>
      </c>
      <c r="D1291">
        <v>4.6294000000000004</v>
      </c>
      <c r="E1291">
        <v>433.32220000000001</v>
      </c>
      <c r="F1291">
        <v>17.45</v>
      </c>
      <c r="G1291">
        <v>87.252300000000005</v>
      </c>
      <c r="H1291">
        <v>92.6387</v>
      </c>
    </row>
    <row r="1292" spans="1:8" x14ac:dyDescent="0.15">
      <c r="A1292" t="s">
        <v>15</v>
      </c>
      <c r="B1292">
        <v>10010</v>
      </c>
      <c r="C1292">
        <v>20</v>
      </c>
      <c r="D1292">
        <v>4.6258999999999997</v>
      </c>
      <c r="E1292">
        <v>433.64550000000003</v>
      </c>
      <c r="F1292">
        <v>17.463000000000001</v>
      </c>
      <c r="G1292">
        <v>87.317400000000006</v>
      </c>
      <c r="H1292">
        <v>92.578100000000006</v>
      </c>
    </row>
    <row r="1293" spans="1:8" x14ac:dyDescent="0.15">
      <c r="A1293" t="s">
        <v>15</v>
      </c>
      <c r="B1293">
        <v>10010</v>
      </c>
      <c r="C1293">
        <v>20</v>
      </c>
      <c r="D1293">
        <v>4.6391</v>
      </c>
      <c r="E1293">
        <v>432.41590000000002</v>
      </c>
      <c r="F1293">
        <v>17.414000000000001</v>
      </c>
      <c r="G1293">
        <v>87.069800000000001</v>
      </c>
      <c r="H1293">
        <v>92.838899999999995</v>
      </c>
    </row>
    <row r="1294" spans="1:8" x14ac:dyDescent="0.15">
      <c r="A1294" t="s">
        <v>15</v>
      </c>
      <c r="B1294">
        <v>10010</v>
      </c>
      <c r="C1294">
        <v>20</v>
      </c>
      <c r="D1294">
        <v>4.6284999999999998</v>
      </c>
      <c r="E1294">
        <v>433.40199999999999</v>
      </c>
      <c r="F1294">
        <v>17.454000000000001</v>
      </c>
      <c r="G1294">
        <v>87.2684</v>
      </c>
      <c r="H1294">
        <v>92.627899999999997</v>
      </c>
    </row>
    <row r="1295" spans="1:8" x14ac:dyDescent="0.15">
      <c r="A1295" t="s">
        <v>15</v>
      </c>
      <c r="B1295">
        <v>10010</v>
      </c>
      <c r="C1295">
        <v>20</v>
      </c>
      <c r="D1295">
        <v>4.6280000000000001</v>
      </c>
      <c r="E1295">
        <v>433.44799999999998</v>
      </c>
      <c r="F1295">
        <v>17.456</v>
      </c>
      <c r="G1295">
        <v>87.277600000000007</v>
      </c>
      <c r="H1295">
        <v>92.609399999999994</v>
      </c>
    </row>
    <row r="1296" spans="1:8" x14ac:dyDescent="0.15">
      <c r="A1296" t="s">
        <v>15</v>
      </c>
      <c r="B1296">
        <v>10010</v>
      </c>
      <c r="C1296">
        <v>20</v>
      </c>
      <c r="D1296">
        <v>4.6273</v>
      </c>
      <c r="E1296">
        <v>433.51100000000002</v>
      </c>
      <c r="F1296">
        <v>17.457999999999998</v>
      </c>
      <c r="G1296">
        <v>87.290300000000002</v>
      </c>
      <c r="H1296">
        <v>92.605500000000006</v>
      </c>
    </row>
    <row r="1297" spans="1:8" x14ac:dyDescent="0.15">
      <c r="A1297" t="s">
        <v>15</v>
      </c>
      <c r="B1297">
        <v>10010</v>
      </c>
      <c r="C1297">
        <v>20</v>
      </c>
      <c r="D1297">
        <v>4.6344000000000003</v>
      </c>
      <c r="E1297">
        <v>432.84730000000002</v>
      </c>
      <c r="F1297">
        <v>17.431000000000001</v>
      </c>
      <c r="G1297">
        <v>87.156700000000001</v>
      </c>
      <c r="H1297">
        <v>92.715800000000002</v>
      </c>
    </row>
    <row r="1298" spans="1:8" x14ac:dyDescent="0.15">
      <c r="A1298" t="s">
        <v>15</v>
      </c>
      <c r="B1298">
        <v>10010</v>
      </c>
      <c r="C1298">
        <v>20</v>
      </c>
      <c r="D1298">
        <v>4.6405000000000003</v>
      </c>
      <c r="E1298">
        <v>432.27769999999998</v>
      </c>
      <c r="F1298">
        <v>17.408000000000001</v>
      </c>
      <c r="G1298">
        <v>87.042000000000002</v>
      </c>
      <c r="H1298">
        <v>92.866200000000006</v>
      </c>
    </row>
    <row r="1299" spans="1:8" x14ac:dyDescent="0.15">
      <c r="A1299" t="s">
        <v>15</v>
      </c>
      <c r="B1299">
        <v>10010</v>
      </c>
      <c r="C1299">
        <v>20</v>
      </c>
      <c r="D1299">
        <v>4.6323999999999996</v>
      </c>
      <c r="E1299">
        <v>433.04129999999998</v>
      </c>
      <c r="F1299">
        <v>17.439</v>
      </c>
      <c r="G1299">
        <v>87.195700000000002</v>
      </c>
      <c r="H1299">
        <v>92.692400000000006</v>
      </c>
    </row>
    <row r="1300" spans="1:8" x14ac:dyDescent="0.15">
      <c r="A1300" t="s">
        <v>15</v>
      </c>
      <c r="B1300">
        <v>10010</v>
      </c>
      <c r="C1300">
        <v>20</v>
      </c>
      <c r="D1300">
        <v>4.6356000000000002</v>
      </c>
      <c r="E1300">
        <v>432.73930000000001</v>
      </c>
      <c r="F1300">
        <v>17.427</v>
      </c>
      <c r="G1300">
        <v>87.134900000000002</v>
      </c>
      <c r="H1300">
        <v>92.771500000000003</v>
      </c>
    </row>
    <row r="1301" spans="1:8" x14ac:dyDescent="0.15">
      <c r="A1301" t="s">
        <v>15</v>
      </c>
      <c r="B1301">
        <v>10010</v>
      </c>
      <c r="C1301">
        <v>20</v>
      </c>
      <c r="D1301">
        <v>4.6264000000000003</v>
      </c>
      <c r="E1301">
        <v>433.60039999999998</v>
      </c>
      <c r="F1301">
        <v>17.462</v>
      </c>
      <c r="G1301">
        <v>87.308300000000003</v>
      </c>
      <c r="H1301">
        <v>92.598600000000005</v>
      </c>
    </row>
    <row r="1302" spans="1:8" x14ac:dyDescent="0.15">
      <c r="A1302" t="s">
        <v>15</v>
      </c>
      <c r="B1302">
        <v>10010</v>
      </c>
      <c r="C1302">
        <v>20</v>
      </c>
      <c r="D1302">
        <v>4.6390000000000002</v>
      </c>
      <c r="E1302">
        <v>432.42619999999999</v>
      </c>
      <c r="F1302">
        <v>17.414000000000001</v>
      </c>
      <c r="G1302">
        <v>87.071899999999999</v>
      </c>
      <c r="H1302">
        <v>92.840800000000002</v>
      </c>
    </row>
    <row r="1303" spans="1:8" x14ac:dyDescent="0.15">
      <c r="A1303" t="s">
        <v>15</v>
      </c>
      <c r="B1303">
        <v>10010</v>
      </c>
      <c r="C1303">
        <v>20</v>
      </c>
      <c r="D1303">
        <v>4.6352000000000002</v>
      </c>
      <c r="E1303">
        <v>432.77300000000002</v>
      </c>
      <c r="F1303">
        <v>17.428000000000001</v>
      </c>
      <c r="G1303">
        <v>87.1417</v>
      </c>
      <c r="H1303">
        <v>92.756799999999998</v>
      </c>
    </row>
    <row r="1304" spans="1:8" x14ac:dyDescent="0.15">
      <c r="A1304" t="s">
        <v>15</v>
      </c>
      <c r="B1304">
        <v>10010</v>
      </c>
      <c r="C1304">
        <v>20</v>
      </c>
      <c r="D1304">
        <v>4.6428000000000003</v>
      </c>
      <c r="E1304">
        <v>432.07119999999998</v>
      </c>
      <c r="F1304">
        <v>17.399999999999999</v>
      </c>
      <c r="G1304">
        <v>87.000399999999999</v>
      </c>
      <c r="H1304">
        <v>92.8887</v>
      </c>
    </row>
    <row r="1305" spans="1:8" x14ac:dyDescent="0.15">
      <c r="A1305" t="s">
        <v>15</v>
      </c>
      <c r="B1305">
        <v>10010</v>
      </c>
      <c r="C1305">
        <v>20</v>
      </c>
      <c r="D1305">
        <v>4.6294000000000004</v>
      </c>
      <c r="E1305">
        <v>433.32040000000001</v>
      </c>
      <c r="F1305">
        <v>17.45</v>
      </c>
      <c r="G1305">
        <v>87.251900000000006</v>
      </c>
      <c r="H1305">
        <v>92.651399999999995</v>
      </c>
    </row>
    <row r="1306" spans="1:8" x14ac:dyDescent="0.15">
      <c r="A1306" t="s">
        <v>15</v>
      </c>
      <c r="B1306">
        <v>10010</v>
      </c>
      <c r="C1306">
        <v>20</v>
      </c>
      <c r="D1306">
        <v>4.6345000000000001</v>
      </c>
      <c r="E1306">
        <v>432.83789999999999</v>
      </c>
      <c r="F1306">
        <v>17.431000000000001</v>
      </c>
      <c r="G1306">
        <v>87.154799999999994</v>
      </c>
      <c r="H1306">
        <v>92.7363</v>
      </c>
    </row>
  </sheetData>
  <mergeCells count="4">
    <mergeCell ref="A4:H4"/>
    <mergeCell ref="C1:H1"/>
    <mergeCell ref="C2:H2"/>
    <mergeCell ref="A656:H656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abSelected="1" topLeftCell="A66" zoomScale="130" zoomScaleNormal="130" zoomScalePageLayoutView="130" workbookViewId="0">
      <selection activeCell="G113" sqref="G113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22.1640625" customWidth="1"/>
    <col min="14" max="14" width="18.83203125" customWidth="1"/>
  </cols>
  <sheetData>
    <row r="1" spans="1:20" x14ac:dyDescent="0.15">
      <c r="B1" t="s">
        <v>27</v>
      </c>
      <c r="D1" t="str">
        <f>data!C1</f>
        <v>r5c6cn02.hopper.antwerpen.vsc</v>
      </c>
    </row>
    <row r="2" spans="1:20" ht="14" thickBot="1" x14ac:dyDescent="0.2"/>
    <row r="3" spans="1:20" ht="14" thickBot="1" x14ac:dyDescent="0.2">
      <c r="E3" s="67" t="s">
        <v>22</v>
      </c>
      <c r="F3" s="68"/>
      <c r="G3" s="68"/>
      <c r="H3" s="69"/>
      <c r="I3" s="67" t="s">
        <v>9</v>
      </c>
      <c r="J3" s="68"/>
      <c r="K3" s="69"/>
      <c r="L3" s="26"/>
    </row>
    <row r="4" spans="1:20" ht="14" thickBot="1" x14ac:dyDescent="0.2">
      <c r="A4" s="29" t="s">
        <v>29</v>
      </c>
      <c r="B4" s="12" t="s">
        <v>5</v>
      </c>
      <c r="C4" s="13" t="s">
        <v>19</v>
      </c>
      <c r="D4" s="14" t="s">
        <v>16</v>
      </c>
      <c r="E4" s="15" t="s">
        <v>23</v>
      </c>
      <c r="F4" s="16" t="s">
        <v>25</v>
      </c>
      <c r="G4" s="16" t="s">
        <v>24</v>
      </c>
      <c r="H4" s="17" t="s">
        <v>26</v>
      </c>
      <c r="I4" s="15" t="s">
        <v>23</v>
      </c>
      <c r="J4" s="16" t="s">
        <v>25</v>
      </c>
      <c r="K4" s="17" t="s">
        <v>24</v>
      </c>
      <c r="L4" s="27"/>
      <c r="N4" t="s">
        <v>5</v>
      </c>
      <c r="O4" s="2" t="s">
        <v>19</v>
      </c>
      <c r="P4" s="2" t="s">
        <v>16</v>
      </c>
      <c r="Q4" s="2" t="s">
        <v>17</v>
      </c>
      <c r="R4" s="2" t="s">
        <v>18</v>
      </c>
      <c r="S4" s="2" t="s">
        <v>20</v>
      </c>
      <c r="T4" s="2" t="s">
        <v>21</v>
      </c>
    </row>
    <row r="5" spans="1:20" x14ac:dyDescent="0.15">
      <c r="A5" s="1" t="str">
        <f t="shared" ref="A5:A40" ca="1" si="0">N5 &amp; TEXT($O5,"000000") &amp; TEXT($P5, "000")</f>
        <v>OpenBLAS002500001</v>
      </c>
      <c r="B5" s="11" t="str">
        <f t="shared" ref="B5:B40" ca="1" si="1">N5</f>
        <v>OpenBLAS</v>
      </c>
      <c r="C5" s="22">
        <f t="shared" ref="C5:C40" ca="1" si="2">O5</f>
        <v>2500</v>
      </c>
      <c r="D5" s="23">
        <f t="shared" ref="D5:D40" ca="1" si="3">P5</f>
        <v>1</v>
      </c>
      <c r="E5" s="11">
        <f ca="1">AVERAGE(OFFSET(data!$A$1,$Q5-1,3,$R5,1))</f>
        <v>1.2645599999999999</v>
      </c>
      <c r="F5" s="22">
        <f ca="1">MIN(OFFSET(data!$A$1,$Q5-1,3,$R5,1))</f>
        <v>1.264</v>
      </c>
      <c r="G5" s="22">
        <f ca="1">MAX(OFFSET(data!$A$1,$Q5-1,3,$R5,1))</f>
        <v>1.2658</v>
      </c>
      <c r="H5" s="24">
        <f t="shared" ref="H5:H40" ca="1" si="4">(G5-F5)/E5</f>
        <v>1.4234200037958056E-3</v>
      </c>
      <c r="I5" s="11">
        <f ca="1">AVERAGE(OFFSET(data!$A$1,$Q5-1,4,$R5,1))</f>
        <v>24.712199999999999</v>
      </c>
      <c r="J5" s="22">
        <f ca="1">MIN(OFFSET(data!$A$1,$Q5-1,4,$R5,1))</f>
        <v>24.688800000000001</v>
      </c>
      <c r="K5" s="23">
        <f ca="1">MAX(OFFSET(data!$A$1,$Q5-1,4,$R5,1))</f>
        <v>24.722999999999999</v>
      </c>
      <c r="L5" s="28"/>
      <c r="N5" t="str">
        <f ca="1">OFFSET(data!$A$1,$Q5-1,0)</f>
        <v>OpenBLAS</v>
      </c>
      <c r="O5">
        <f ca="1">OFFSET(data!$A$1,$Q5-1,1)</f>
        <v>2500</v>
      </c>
      <c r="P5">
        <f ca="1">OFFSET(data!$A$1,$Q5-1,2)</f>
        <v>1</v>
      </c>
      <c r="Q5">
        <v>8</v>
      </c>
      <c r="R5">
        <v>5</v>
      </c>
      <c r="S5">
        <f ca="1">IF(AVERAGE(OFFSET(data!$A$1,$Q5,1,$R5-1,1))=O5,1,0)</f>
        <v>1</v>
      </c>
      <c r="T5">
        <f ca="1">IF(AVERAGE(OFFSET(data!$A$1,$Q5,2,$R5-1,1))=P5,1,0)</f>
        <v>1</v>
      </c>
    </row>
    <row r="6" spans="1:20" x14ac:dyDescent="0.15">
      <c r="A6" s="1" t="str">
        <f t="shared" ca="1" si="0"/>
        <v>OpenBLAS002500019</v>
      </c>
      <c r="B6" s="4" t="str">
        <f t="shared" ca="1" si="1"/>
        <v>OpenBLAS</v>
      </c>
      <c r="C6" s="3">
        <f t="shared" ca="1" si="2"/>
        <v>2500</v>
      </c>
      <c r="D6" s="9">
        <f t="shared" ca="1" si="3"/>
        <v>19</v>
      </c>
      <c r="E6" s="4">
        <f ca="1">AVERAGE(OFFSET(data!$A$1,$Q6-1,3,$R6,1))</f>
        <v>8.2089999999999982E-2</v>
      </c>
      <c r="F6" s="3">
        <f ca="1">MIN(OFFSET(data!$A$1,$Q6-1,3,$R6,1))</f>
        <v>8.1600000000000006E-2</v>
      </c>
      <c r="G6" s="3">
        <f ca="1">MAX(OFFSET(data!$A$1,$Q6-1,3,$R6,1))</f>
        <v>9.0399999999999994E-2</v>
      </c>
      <c r="H6" s="5">
        <f t="shared" ca="1" si="4"/>
        <v>0.10719941527591656</v>
      </c>
      <c r="I6" s="4">
        <f ca="1">AVERAGE(OFFSET(data!$A$1,$Q6-1,4,$R6,1))</f>
        <v>380.78685400000001</v>
      </c>
      <c r="J6" s="3">
        <f ca="1">MIN(OFFSET(data!$A$1,$Q6-1,4,$R6,1))</f>
        <v>345.8458</v>
      </c>
      <c r="K6" s="9">
        <f ca="1">MAX(OFFSET(data!$A$1,$Q6-1,4,$R6,1))</f>
        <v>382.83980000000003</v>
      </c>
      <c r="L6" s="28"/>
      <c r="N6" t="str">
        <f ca="1">OFFSET(data!$A$1,$Q6-1,0)</f>
        <v>OpenBLAS</v>
      </c>
      <c r="O6">
        <f ca="1">OFFSET(data!$A$1,$Q6-1,1)</f>
        <v>2500</v>
      </c>
      <c r="P6">
        <f ca="1">OFFSET(data!$A$1,$Q6-1,2)</f>
        <v>19</v>
      </c>
      <c r="Q6">
        <f t="shared" ref="Q6:Q22" si="5">Q5+R5+1</f>
        <v>14</v>
      </c>
      <c r="R6">
        <v>50</v>
      </c>
      <c r="S6">
        <f ca="1">IF(AVERAGE(OFFSET(data!$A$1,$Q6,1,$R6-1,1))=O6,1,0)</f>
        <v>1</v>
      </c>
      <c r="T6">
        <f ca="1">IF(AVERAGE(OFFSET(data!$A$1,$Q6,2,$R6-1,1))=P6,1,0)</f>
        <v>1</v>
      </c>
    </row>
    <row r="7" spans="1:20" x14ac:dyDescent="0.15">
      <c r="A7" s="1" t="str">
        <f t="shared" ca="1" si="0"/>
        <v>OpenBLAS002500020</v>
      </c>
      <c r="B7" s="4" t="str">
        <f t="shared" ca="1" si="1"/>
        <v>OpenBLAS</v>
      </c>
      <c r="C7" s="3">
        <f t="shared" ca="1" si="2"/>
        <v>2500</v>
      </c>
      <c r="D7" s="9">
        <f t="shared" ca="1" si="3"/>
        <v>20</v>
      </c>
      <c r="E7" s="4">
        <f ca="1">AVERAGE(OFFSET(data!$A$1,$Q7-1,3,$R7,1))</f>
        <v>0.10167200000000003</v>
      </c>
      <c r="F7" s="3">
        <f ca="1">MIN(OFFSET(data!$A$1,$Q7-1,3,$R7,1))</f>
        <v>8.0699999999999994E-2</v>
      </c>
      <c r="G7" s="3">
        <f ca="1">MAX(OFFSET(data!$A$1,$Q7-1,3,$R7,1))</f>
        <v>0.15629999999999999</v>
      </c>
      <c r="H7" s="5">
        <f t="shared" ca="1" si="4"/>
        <v>0.74356755055472479</v>
      </c>
      <c r="I7" s="4">
        <f ca="1">AVERAGE(OFFSET(data!$A$1,$Q7-1,4,$R7,1))</f>
        <v>332.66705800000005</v>
      </c>
      <c r="J7" s="3">
        <f ca="1">MIN(OFFSET(data!$A$1,$Q7-1,4,$R7,1))</f>
        <v>199.96010000000001</v>
      </c>
      <c r="K7" s="9">
        <f ca="1">MAX(OFFSET(data!$A$1,$Q7-1,4,$R7,1))</f>
        <v>387.04719999999998</v>
      </c>
      <c r="L7" s="28"/>
      <c r="N7" t="str">
        <f ca="1">OFFSET(data!$A$1,$Q7-1,0)</f>
        <v>OpenBLAS</v>
      </c>
      <c r="O7">
        <f ca="1">OFFSET(data!$A$1,$Q7-1,1)</f>
        <v>2500</v>
      </c>
      <c r="P7">
        <f ca="1">OFFSET(data!$A$1,$Q7-1,2)</f>
        <v>20</v>
      </c>
      <c r="Q7">
        <f t="shared" si="5"/>
        <v>65</v>
      </c>
      <c r="R7">
        <v>50</v>
      </c>
      <c r="S7">
        <f ca="1">IF(AVERAGE(OFFSET(data!$A$1,$Q7,1,$R7-1,1))=O7,1,0)</f>
        <v>1</v>
      </c>
      <c r="T7">
        <f ca="1">IF(AVERAGE(OFFSET(data!$A$1,$Q7,2,$R7-1,1))=P7,1,0)</f>
        <v>1</v>
      </c>
    </row>
    <row r="8" spans="1:20" x14ac:dyDescent="0.15">
      <c r="A8" s="1" t="str">
        <f t="shared" ca="1" si="0"/>
        <v>OpenBLAS002505001</v>
      </c>
      <c r="B8" s="4" t="str">
        <f t="shared" ca="1" si="1"/>
        <v>OpenBLAS</v>
      </c>
      <c r="C8" s="3">
        <f t="shared" ca="1" si="2"/>
        <v>2505</v>
      </c>
      <c r="D8" s="9">
        <f t="shared" ca="1" si="3"/>
        <v>1</v>
      </c>
      <c r="E8" s="4">
        <f ca="1">AVERAGE(OFFSET(data!$A$1,$Q8-1,3,$R8,1))</f>
        <v>1.2813000000000001</v>
      </c>
      <c r="F8" s="3">
        <f ca="1">MIN(OFFSET(data!$A$1,$Q8-1,3,$R8,1))</f>
        <v>1.2808999999999999</v>
      </c>
      <c r="G8" s="3">
        <f ca="1">MAX(OFFSET(data!$A$1,$Q8-1,3,$R8,1))</f>
        <v>1.2818000000000001</v>
      </c>
      <c r="H8" s="5">
        <f t="shared" ca="1" si="4"/>
        <v>7.0241161320543425E-4</v>
      </c>
      <c r="I8" s="4">
        <f ca="1">AVERAGE(OFFSET(data!$A$1,$Q8-1,4,$R8,1))</f>
        <v>24.536079999999998</v>
      </c>
      <c r="J8" s="3">
        <f ca="1">MIN(OFFSET(data!$A$1,$Q8-1,4,$R8,1))</f>
        <v>24.526800000000001</v>
      </c>
      <c r="K8" s="9">
        <f ca="1">MAX(OFFSET(data!$A$1,$Q8-1,4,$R8,1))</f>
        <v>24.543600000000001</v>
      </c>
      <c r="L8" s="28"/>
      <c r="N8" t="str">
        <f ca="1">OFFSET(data!$A$1,$Q8-1,0)</f>
        <v>OpenBLAS</v>
      </c>
      <c r="O8">
        <f ca="1">OFFSET(data!$A$1,$Q8-1,1)</f>
        <v>2505</v>
      </c>
      <c r="P8">
        <f ca="1">OFFSET(data!$A$1,$Q8-1,2)</f>
        <v>1</v>
      </c>
      <c r="Q8">
        <f t="shared" si="5"/>
        <v>116</v>
      </c>
      <c r="R8">
        <v>5</v>
      </c>
      <c r="S8">
        <f ca="1">IF(AVERAGE(OFFSET(data!$A$1,$Q8,1,$R8-1,1))=O8,1,0)</f>
        <v>1</v>
      </c>
      <c r="T8">
        <f ca="1">IF(AVERAGE(OFFSET(data!$A$1,$Q8,2,$R8-1,1))=P8,1,0)</f>
        <v>1</v>
      </c>
    </row>
    <row r="9" spans="1:20" x14ac:dyDescent="0.15">
      <c r="A9" s="1" t="str">
        <f t="shared" ca="1" si="0"/>
        <v>OpenBLAS002505019</v>
      </c>
      <c r="B9" s="4" t="str">
        <f t="shared" ca="1" si="1"/>
        <v>OpenBLAS</v>
      </c>
      <c r="C9" s="3">
        <f t="shared" ca="1" si="2"/>
        <v>2505</v>
      </c>
      <c r="D9" s="9">
        <f t="shared" ca="1" si="3"/>
        <v>19</v>
      </c>
      <c r="E9" s="4">
        <f ca="1">AVERAGE(OFFSET(data!$A$1,$Q9-1,3,$R9,1))</f>
        <v>8.3499999999999991E-2</v>
      </c>
      <c r="F9" s="3">
        <f ca="1">MIN(OFFSET(data!$A$1,$Q9-1,3,$R9,1))</f>
        <v>8.3099999999999993E-2</v>
      </c>
      <c r="G9" s="3">
        <f ca="1">MAX(OFFSET(data!$A$1,$Q9-1,3,$R9,1))</f>
        <v>8.6800000000000002E-2</v>
      </c>
      <c r="H9" s="5">
        <f t="shared" ca="1" si="4"/>
        <v>4.4311377245509091E-2</v>
      </c>
      <c r="I9" s="4">
        <f ca="1">AVERAGE(OFFSET(data!$A$1,$Q9-1,4,$R9,1))</f>
        <v>376.55000399999994</v>
      </c>
      <c r="J9" s="3">
        <f ca="1">MIN(OFFSET(data!$A$1,$Q9-1,4,$R9,1))</f>
        <v>362.27780000000001</v>
      </c>
      <c r="K9" s="9">
        <f ca="1">MAX(OFFSET(data!$A$1,$Q9-1,4,$R9,1))</f>
        <v>378.1345</v>
      </c>
      <c r="L9" s="28"/>
      <c r="N9" t="str">
        <f ca="1">OFFSET(data!$A$1,$Q9-1,0)</f>
        <v>OpenBLAS</v>
      </c>
      <c r="O9">
        <f ca="1">OFFSET(data!$A$1,$Q9-1,1)</f>
        <v>2505</v>
      </c>
      <c r="P9">
        <f ca="1">OFFSET(data!$A$1,$Q9-1,2)</f>
        <v>19</v>
      </c>
      <c r="Q9">
        <f t="shared" si="5"/>
        <v>122</v>
      </c>
      <c r="R9">
        <v>50</v>
      </c>
      <c r="S9">
        <f ca="1">IF(AVERAGE(OFFSET(data!$A$1,$Q9,1,$R9-1,1))=O9,1,0)</f>
        <v>1</v>
      </c>
      <c r="T9">
        <f ca="1">IF(AVERAGE(OFFSET(data!$A$1,$Q9,2,$R9-1,1))=P9,1,0)</f>
        <v>1</v>
      </c>
    </row>
    <row r="10" spans="1:20" x14ac:dyDescent="0.15">
      <c r="A10" s="1" t="str">
        <f t="shared" ca="1" si="0"/>
        <v>OpenBLAS002505020</v>
      </c>
      <c r="B10" s="4" t="str">
        <f t="shared" ca="1" si="1"/>
        <v>OpenBLAS</v>
      </c>
      <c r="C10" s="3">
        <f t="shared" ca="1" si="2"/>
        <v>2505</v>
      </c>
      <c r="D10" s="9">
        <f t="shared" ca="1" si="3"/>
        <v>20</v>
      </c>
      <c r="E10" s="4">
        <f ca="1">AVERAGE(OFFSET(data!$A$1,$Q10-1,3,$R10,1))</f>
        <v>0.15246400000000002</v>
      </c>
      <c r="F10" s="3">
        <f ca="1">MIN(OFFSET(data!$A$1,$Q10-1,3,$R10,1))</f>
        <v>0.14660000000000001</v>
      </c>
      <c r="G10" s="3">
        <f ca="1">MAX(OFFSET(data!$A$1,$Q10-1,3,$R10,1))</f>
        <v>0.15720000000000001</v>
      </c>
      <c r="H10" s="5">
        <f t="shared" ca="1" si="4"/>
        <v>6.9524609088047001E-2</v>
      </c>
      <c r="I10" s="4">
        <f ca="1">AVERAGE(OFFSET(data!$A$1,$Q10-1,4,$R10,1))</f>
        <v>206.26613799999993</v>
      </c>
      <c r="J10" s="3">
        <f ca="1">MIN(OFFSET(data!$A$1,$Q10-1,4,$R10,1))</f>
        <v>200.0343</v>
      </c>
      <c r="K10" s="9">
        <f ca="1">MAX(OFFSET(data!$A$1,$Q10-1,4,$R10,1))</f>
        <v>214.3784</v>
      </c>
      <c r="L10" s="28"/>
      <c r="N10" t="str">
        <f ca="1">OFFSET(data!$A$1,$Q10-1,0)</f>
        <v>OpenBLAS</v>
      </c>
      <c r="O10">
        <f ca="1">OFFSET(data!$A$1,$Q10-1,1)</f>
        <v>2505</v>
      </c>
      <c r="P10">
        <f ca="1">OFFSET(data!$A$1,$Q10-1,2)</f>
        <v>20</v>
      </c>
      <c r="Q10">
        <f t="shared" si="5"/>
        <v>173</v>
      </c>
      <c r="R10">
        <v>50</v>
      </c>
      <c r="S10">
        <f ca="1">IF(AVERAGE(OFFSET(data!$A$1,$Q10,1,$R10-1,1))=O10,1,0)</f>
        <v>1</v>
      </c>
      <c r="T10">
        <f ca="1">IF(AVERAGE(OFFSET(data!$A$1,$Q10,2,$R10-1,1))=P10,1,0)</f>
        <v>1</v>
      </c>
    </row>
    <row r="11" spans="1:20" x14ac:dyDescent="0.15">
      <c r="A11" s="1" t="str">
        <f t="shared" ca="1" si="0"/>
        <v>OpenBLAS002510001</v>
      </c>
      <c r="B11" s="4" t="str">
        <f t="shared" ca="1" si="1"/>
        <v>OpenBLAS</v>
      </c>
      <c r="C11" s="3">
        <f t="shared" ca="1" si="2"/>
        <v>2510</v>
      </c>
      <c r="D11" s="9">
        <f t="shared" ca="1" si="3"/>
        <v>1</v>
      </c>
      <c r="E11" s="4">
        <f ca="1">AVERAGE(OFFSET(data!$A$1,$Q11-1,3,$R11,1))</f>
        <v>1.27868</v>
      </c>
      <c r="F11" s="3">
        <f ca="1">MIN(OFFSET(data!$A$1,$Q11-1,3,$R11,1))</f>
        <v>1.2767999999999999</v>
      </c>
      <c r="G11" s="3">
        <f ca="1">MAX(OFFSET(data!$A$1,$Q11-1,3,$R11,1))</f>
        <v>1.2804</v>
      </c>
      <c r="H11" s="5">
        <f t="shared" ca="1" si="4"/>
        <v>2.8154033847405508E-3</v>
      </c>
      <c r="I11" s="4">
        <f ca="1">AVERAGE(OFFSET(data!$A$1,$Q11-1,4,$R11,1))</f>
        <v>24.733640000000001</v>
      </c>
      <c r="J11" s="3">
        <f ca="1">MIN(OFFSET(data!$A$1,$Q11-1,4,$R11,1))</f>
        <v>24.700800000000001</v>
      </c>
      <c r="K11" s="9">
        <f ca="1">MAX(OFFSET(data!$A$1,$Q11-1,4,$R11,1))</f>
        <v>24.769200000000001</v>
      </c>
      <c r="L11" s="28"/>
      <c r="N11" t="str">
        <f ca="1">OFFSET(data!$A$1,$Q11-1,0)</f>
        <v>OpenBLAS</v>
      </c>
      <c r="O11">
        <f ca="1">OFFSET(data!$A$1,$Q11-1,1)</f>
        <v>2510</v>
      </c>
      <c r="P11">
        <f ca="1">OFFSET(data!$A$1,$Q11-1,2)</f>
        <v>1</v>
      </c>
      <c r="Q11">
        <f t="shared" si="5"/>
        <v>224</v>
      </c>
      <c r="R11">
        <v>5</v>
      </c>
      <c r="S11">
        <f ca="1">IF(AVERAGE(OFFSET(data!$A$1,$Q11,1,$R11-1,1))=O11,1,0)</f>
        <v>1</v>
      </c>
      <c r="T11">
        <f ca="1">IF(AVERAGE(OFFSET(data!$A$1,$Q11,2,$R11-1,1))=P11,1,0)</f>
        <v>1</v>
      </c>
    </row>
    <row r="12" spans="1:20" x14ac:dyDescent="0.15">
      <c r="A12" s="1" t="str">
        <f t="shared" ca="1" si="0"/>
        <v>OpenBLAS002510019</v>
      </c>
      <c r="B12" s="4" t="str">
        <f t="shared" ca="1" si="1"/>
        <v>OpenBLAS</v>
      </c>
      <c r="C12" s="3">
        <f t="shared" ca="1" si="2"/>
        <v>2510</v>
      </c>
      <c r="D12" s="9">
        <f t="shared" ca="1" si="3"/>
        <v>19</v>
      </c>
      <c r="E12" s="4">
        <f ca="1">AVERAGE(OFFSET(data!$A$1,$Q12-1,3,$R12,1))</f>
        <v>8.3332000000000003E-2</v>
      </c>
      <c r="F12" s="3">
        <f ca="1">MIN(OFFSET(data!$A$1,$Q12-1,3,$R12,1))</f>
        <v>8.2799999999999999E-2</v>
      </c>
      <c r="G12" s="3">
        <f ca="1">MAX(OFFSET(data!$A$1,$Q12-1,3,$R12,1))</f>
        <v>9.3799999999999994E-2</v>
      </c>
      <c r="H12" s="5">
        <f t="shared" ca="1" si="4"/>
        <v>0.13200211203379247</v>
      </c>
      <c r="I12" s="4">
        <f ca="1">AVERAGE(OFFSET(data!$A$1,$Q12-1,4,$R12,1))</f>
        <v>379.61814999999996</v>
      </c>
      <c r="J12" s="3">
        <f ca="1">MIN(OFFSET(data!$A$1,$Q12-1,4,$R12,1))</f>
        <v>337.1549</v>
      </c>
      <c r="K12" s="9">
        <f ca="1">MAX(OFFSET(data!$A$1,$Q12-1,4,$R12,1))</f>
        <v>381.81439999999998</v>
      </c>
      <c r="L12" s="28"/>
      <c r="N12" t="str">
        <f ca="1">OFFSET(data!$A$1,$Q12-1,0)</f>
        <v>OpenBLAS</v>
      </c>
      <c r="O12">
        <f ca="1">OFFSET(data!$A$1,$Q12-1,1)</f>
        <v>2510</v>
      </c>
      <c r="P12">
        <f ca="1">OFFSET(data!$A$1,$Q12-1,2)</f>
        <v>19</v>
      </c>
      <c r="Q12">
        <f t="shared" si="5"/>
        <v>230</v>
      </c>
      <c r="R12">
        <v>50</v>
      </c>
      <c r="S12">
        <f ca="1">IF(AVERAGE(OFFSET(data!$A$1,$Q12,1,$R12-1,1))=O12,1,0)</f>
        <v>1</v>
      </c>
      <c r="T12">
        <f ca="1">IF(AVERAGE(OFFSET(data!$A$1,$Q12,2,$R12-1,1))=P12,1,0)</f>
        <v>1</v>
      </c>
    </row>
    <row r="13" spans="1:20" x14ac:dyDescent="0.15">
      <c r="A13" s="1" t="str">
        <f t="shared" ca="1" si="0"/>
        <v>OpenBLAS002510020</v>
      </c>
      <c r="B13" s="4" t="str">
        <f t="shared" ca="1" si="1"/>
        <v>OpenBLAS</v>
      </c>
      <c r="C13" s="3">
        <f t="shared" ca="1" si="2"/>
        <v>2510</v>
      </c>
      <c r="D13" s="9">
        <f t="shared" ca="1" si="3"/>
        <v>20</v>
      </c>
      <c r="E13" s="4">
        <f ca="1">AVERAGE(OFFSET(data!$A$1,$Q13-1,3,$R13,1))</f>
        <v>0.12324600000000004</v>
      </c>
      <c r="F13" s="3">
        <f ca="1">MIN(OFFSET(data!$A$1,$Q13-1,3,$R13,1))</f>
        <v>8.1500000000000003E-2</v>
      </c>
      <c r="G13" s="3">
        <f ca="1">MAX(OFFSET(data!$A$1,$Q13-1,3,$R13,1))</f>
        <v>0.15559999999999999</v>
      </c>
      <c r="H13" s="5">
        <f t="shared" ca="1" si="4"/>
        <v>0.60123655128766829</v>
      </c>
      <c r="I13" s="4">
        <f ca="1">AVERAGE(OFFSET(data!$A$1,$Q13-1,4,$R13,1))</f>
        <v>279.95295800000002</v>
      </c>
      <c r="J13" s="3">
        <f ca="1">MIN(OFFSET(data!$A$1,$Q13-1,4,$R13,1))</f>
        <v>203.2807</v>
      </c>
      <c r="K13" s="9">
        <f ca="1">MAX(OFFSET(data!$A$1,$Q13-1,4,$R13,1))</f>
        <v>387.92149999999998</v>
      </c>
      <c r="L13" s="28"/>
      <c r="N13" t="str">
        <f ca="1">OFFSET(data!$A$1,$Q13-1,0)</f>
        <v>OpenBLAS</v>
      </c>
      <c r="O13">
        <f ca="1">OFFSET(data!$A$1,$Q13-1,1)</f>
        <v>2510</v>
      </c>
      <c r="P13">
        <f ca="1">OFFSET(data!$A$1,$Q13-1,2)</f>
        <v>20</v>
      </c>
      <c r="Q13">
        <f t="shared" si="5"/>
        <v>281</v>
      </c>
      <c r="R13">
        <v>50</v>
      </c>
      <c r="S13">
        <f ca="1">IF(AVERAGE(OFFSET(data!$A$1,$Q13,1,$R13-1,1))=O13,1,0)</f>
        <v>1</v>
      </c>
      <c r="T13">
        <f ca="1">IF(AVERAGE(OFFSET(data!$A$1,$Q13,2,$R13-1,1))=P13,1,0)</f>
        <v>1</v>
      </c>
    </row>
    <row r="14" spans="1:20" x14ac:dyDescent="0.15">
      <c r="A14" s="1" t="str">
        <f t="shared" ca="1" si="0"/>
        <v>OpenBLAS010000001</v>
      </c>
      <c r="B14" s="4" t="str">
        <f t="shared" ca="1" si="1"/>
        <v>OpenBLAS</v>
      </c>
      <c r="C14" s="3">
        <f t="shared" ca="1" si="2"/>
        <v>10000</v>
      </c>
      <c r="D14" s="9">
        <f t="shared" ca="1" si="3"/>
        <v>1</v>
      </c>
      <c r="E14" s="4">
        <f ca="1">AVERAGE(OFFSET(data!$A$1,$Q14-1,3,$R14,1))</f>
        <v>80.532639999999986</v>
      </c>
      <c r="F14" s="3">
        <f ca="1">MIN(OFFSET(data!$A$1,$Q14-1,3,$R14,1))</f>
        <v>80.509799999999998</v>
      </c>
      <c r="G14" s="3">
        <f ca="1">MAX(OFFSET(data!$A$1,$Q14-1,3,$R14,1))</f>
        <v>80.552999999999997</v>
      </c>
      <c r="H14" s="5">
        <f t="shared" ca="1" si="4"/>
        <v>5.3642845931784681E-4</v>
      </c>
      <c r="I14" s="4">
        <f ca="1">AVERAGE(OFFSET(data!$A$1,$Q14-1,4,$R14,1))</f>
        <v>24.83466</v>
      </c>
      <c r="J14" s="3">
        <f ca="1">MIN(OFFSET(data!$A$1,$Q14-1,4,$R14,1))</f>
        <v>24.828399999999998</v>
      </c>
      <c r="K14" s="9">
        <f ca="1">MAX(OFFSET(data!$A$1,$Q14-1,4,$R14,1))</f>
        <v>24.841699999999999</v>
      </c>
      <c r="L14" s="28"/>
      <c r="N14" t="str">
        <f ca="1">OFFSET(data!$A$1,$Q14-1,0)</f>
        <v>OpenBLAS</v>
      </c>
      <c r="O14">
        <f ca="1">OFFSET(data!$A$1,$Q14-1,1)</f>
        <v>10000</v>
      </c>
      <c r="P14">
        <f ca="1">OFFSET(data!$A$1,$Q14-1,2)</f>
        <v>1</v>
      </c>
      <c r="Q14">
        <f t="shared" si="5"/>
        <v>332</v>
      </c>
      <c r="R14">
        <v>5</v>
      </c>
      <c r="S14">
        <f ca="1">IF(AVERAGE(OFFSET(data!$A$1,$Q14,1,$R14-1,1))=O14,1,0)</f>
        <v>1</v>
      </c>
      <c r="T14">
        <f ca="1">IF(AVERAGE(OFFSET(data!$A$1,$Q14,2,$R14-1,1))=P14,1,0)</f>
        <v>1</v>
      </c>
    </row>
    <row r="15" spans="1:20" x14ac:dyDescent="0.15">
      <c r="A15" s="1" t="str">
        <f t="shared" ca="1" si="0"/>
        <v>OpenBLAS010000019</v>
      </c>
      <c r="B15" s="4" t="str">
        <f t="shared" ca="1" si="1"/>
        <v>OpenBLAS</v>
      </c>
      <c r="C15" s="3">
        <f t="shared" ca="1" si="2"/>
        <v>10000</v>
      </c>
      <c r="D15" s="9">
        <f t="shared" ca="1" si="3"/>
        <v>19</v>
      </c>
      <c r="E15" s="4">
        <f ca="1">AVERAGE(OFFSET(data!$A$1,$Q15-1,3,$R15,1))</f>
        <v>5.036249999999999</v>
      </c>
      <c r="F15" s="3">
        <f ca="1">MIN(OFFSET(data!$A$1,$Q15-1,3,$R15,1))</f>
        <v>4.8158000000000003</v>
      </c>
      <c r="G15" s="3">
        <f ca="1">MAX(OFFSET(data!$A$1,$Q15-1,3,$R15,1))</f>
        <v>5.0582000000000003</v>
      </c>
      <c r="H15" s="5">
        <f t="shared" ca="1" si="4"/>
        <v>4.8131049888309754E-2</v>
      </c>
      <c r="I15" s="4">
        <f ca="1">AVERAGE(OFFSET(data!$A$1,$Q15-1,4,$R15,1))</f>
        <v>397.17125199999987</v>
      </c>
      <c r="J15" s="3">
        <f ca="1">MIN(OFFSET(data!$A$1,$Q15-1,4,$R15,1))</f>
        <v>395.39449999999999</v>
      </c>
      <c r="K15" s="9">
        <f ca="1">MAX(OFFSET(data!$A$1,$Q15-1,4,$R15,1))</f>
        <v>415.3039</v>
      </c>
      <c r="L15" s="28"/>
      <c r="N15" t="str">
        <f ca="1">OFFSET(data!$A$1,$Q15-1,0)</f>
        <v>OpenBLAS</v>
      </c>
      <c r="O15">
        <f ca="1">OFFSET(data!$A$1,$Q15-1,1)</f>
        <v>10000</v>
      </c>
      <c r="P15">
        <f ca="1">OFFSET(data!$A$1,$Q15-1,2)</f>
        <v>19</v>
      </c>
      <c r="Q15">
        <f t="shared" si="5"/>
        <v>338</v>
      </c>
      <c r="R15">
        <v>50</v>
      </c>
      <c r="S15">
        <f ca="1">IF(AVERAGE(OFFSET(data!$A$1,$Q15,1,$R15-1,1))=O15,1,0)</f>
        <v>1</v>
      </c>
      <c r="T15">
        <f ca="1">IF(AVERAGE(OFFSET(data!$A$1,$Q15,2,$R15-1,1))=P15,1,0)</f>
        <v>1</v>
      </c>
    </row>
    <row r="16" spans="1:20" x14ac:dyDescent="0.15">
      <c r="A16" s="1" t="str">
        <f t="shared" ca="1" si="0"/>
        <v>OpenBLAS010000020</v>
      </c>
      <c r="B16" s="4" t="str">
        <f t="shared" ca="1" si="1"/>
        <v>OpenBLAS</v>
      </c>
      <c r="C16" s="3">
        <f t="shared" ca="1" si="2"/>
        <v>10000</v>
      </c>
      <c r="D16" s="9">
        <f t="shared" ca="1" si="3"/>
        <v>20</v>
      </c>
      <c r="E16" s="4">
        <f ca="1">AVERAGE(OFFSET(data!$A$1,$Q16-1,3,$R16,1))</f>
        <v>5.2437780000000007</v>
      </c>
      <c r="F16" s="3">
        <f ca="1">MIN(OFFSET(data!$A$1,$Q16-1,3,$R16,1))</f>
        <v>4.7980999999999998</v>
      </c>
      <c r="G16" s="3">
        <f ca="1">MAX(OFFSET(data!$A$1,$Q16-1,3,$R16,1))</f>
        <v>7.2178000000000004</v>
      </c>
      <c r="H16" s="5">
        <f t="shared" ca="1" si="4"/>
        <v>0.46144211291934945</v>
      </c>
      <c r="I16" s="4">
        <f ca="1">AVERAGE(OFFSET(data!$A$1,$Q16-1,4,$R16,1))</f>
        <v>388.65482800000012</v>
      </c>
      <c r="J16" s="3">
        <f ca="1">MIN(OFFSET(data!$A$1,$Q16-1,4,$R16,1))</f>
        <v>277.09120000000001</v>
      </c>
      <c r="K16" s="9">
        <f ca="1">MAX(OFFSET(data!$A$1,$Q16-1,4,$R16,1))</f>
        <v>416.83100000000002</v>
      </c>
      <c r="L16" s="28"/>
      <c r="N16" t="str">
        <f ca="1">OFFSET(data!$A$1,$Q16-1,0)</f>
        <v>OpenBLAS</v>
      </c>
      <c r="O16">
        <f ca="1">OFFSET(data!$A$1,$Q16-1,1)</f>
        <v>10000</v>
      </c>
      <c r="P16">
        <f ca="1">OFFSET(data!$A$1,$Q16-1,2)</f>
        <v>20</v>
      </c>
      <c r="Q16">
        <f t="shared" si="5"/>
        <v>389</v>
      </c>
      <c r="R16">
        <v>50</v>
      </c>
      <c r="S16">
        <f ca="1">IF(AVERAGE(OFFSET(data!$A$1,$Q16,1,$R16-1,1))=O16,1,0)</f>
        <v>1</v>
      </c>
      <c r="T16">
        <f ca="1">IF(AVERAGE(OFFSET(data!$A$1,$Q16,2,$R16-1,1))=P16,1,0)</f>
        <v>1</v>
      </c>
    </row>
    <row r="17" spans="1:20" x14ac:dyDescent="0.15">
      <c r="A17" s="1" t="str">
        <f t="shared" ca="1" si="0"/>
        <v>OpenBLAS010005001</v>
      </c>
      <c r="B17" s="4" t="str">
        <f t="shared" ca="1" si="1"/>
        <v>OpenBLAS</v>
      </c>
      <c r="C17" s="3">
        <f t="shared" ca="1" si="2"/>
        <v>10005</v>
      </c>
      <c r="D17" s="9">
        <f t="shared" ca="1" si="3"/>
        <v>1</v>
      </c>
      <c r="E17" s="4">
        <f ca="1">AVERAGE(OFFSET(data!$A$1,$Q17-1,3,$R17,1))</f>
        <v>81.058539999999994</v>
      </c>
      <c r="F17" s="3">
        <f ca="1">MIN(OFFSET(data!$A$1,$Q17-1,3,$R17,1))</f>
        <v>81.051400000000001</v>
      </c>
      <c r="G17" s="3">
        <f ca="1">MAX(OFFSET(data!$A$1,$Q17-1,3,$R17,1))</f>
        <v>81.063999999999993</v>
      </c>
      <c r="H17" s="5">
        <f t="shared" ca="1" si="4"/>
        <v>1.5544321424975027E-4</v>
      </c>
      <c r="I17" s="4">
        <f ca="1">AVERAGE(OFFSET(data!$A$1,$Q17-1,4,$R17,1))</f>
        <v>24.710540000000002</v>
      </c>
      <c r="J17" s="3">
        <f ca="1">MIN(OFFSET(data!$A$1,$Q17-1,4,$R17,1))</f>
        <v>24.7089</v>
      </c>
      <c r="K17" s="9">
        <f ca="1">MAX(OFFSET(data!$A$1,$Q17-1,4,$R17,1))</f>
        <v>24.712700000000002</v>
      </c>
      <c r="L17" s="28"/>
      <c r="N17" t="str">
        <f ca="1">OFFSET(data!$A$1,$Q17-1,0)</f>
        <v>OpenBLAS</v>
      </c>
      <c r="O17">
        <f ca="1">OFFSET(data!$A$1,$Q17-1,1)</f>
        <v>10005</v>
      </c>
      <c r="P17">
        <f ca="1">OFFSET(data!$A$1,$Q17-1,2)</f>
        <v>1</v>
      </c>
      <c r="Q17">
        <f t="shared" si="5"/>
        <v>440</v>
      </c>
      <c r="R17">
        <v>5</v>
      </c>
      <c r="S17">
        <f ca="1">IF(AVERAGE(OFFSET(data!$A$1,$Q17,1,$R17-1,1))=O17,1,0)</f>
        <v>1</v>
      </c>
      <c r="T17">
        <f ca="1">IF(AVERAGE(OFFSET(data!$A$1,$Q17,2,$R17-1,1))=P17,1,0)</f>
        <v>1</v>
      </c>
    </row>
    <row r="18" spans="1:20" x14ac:dyDescent="0.15">
      <c r="A18" s="1" t="str">
        <f t="shared" ca="1" si="0"/>
        <v>OpenBLAS010005019</v>
      </c>
      <c r="B18" s="4" t="str">
        <f t="shared" ca="1" si="1"/>
        <v>OpenBLAS</v>
      </c>
      <c r="C18" s="3">
        <f t="shared" ca="1" si="2"/>
        <v>10005</v>
      </c>
      <c r="D18" s="9">
        <f t="shared" ca="1" si="3"/>
        <v>19</v>
      </c>
      <c r="E18" s="4">
        <f ca="1">AVERAGE(OFFSET(data!$A$1,$Q18-1,3,$R18,1))</f>
        <v>5.1402600000000005</v>
      </c>
      <c r="F18" s="3">
        <f ca="1">MIN(OFFSET(data!$A$1,$Q18-1,3,$R18,1))</f>
        <v>4.7690999999999999</v>
      </c>
      <c r="G18" s="3">
        <f ca="1">MAX(OFFSET(data!$A$1,$Q18-1,3,$R18,1))</f>
        <v>5.1928999999999998</v>
      </c>
      <c r="H18" s="5">
        <f t="shared" ca="1" si="4"/>
        <v>8.2447191387206076E-2</v>
      </c>
      <c r="I18" s="4">
        <f ca="1">AVERAGE(OFFSET(data!$A$1,$Q18-1,4,$R18,1))</f>
        <v>389.77719599999995</v>
      </c>
      <c r="J18" s="3">
        <f ca="1">MIN(OFFSET(data!$A$1,$Q18-1,4,$R18,1))</f>
        <v>385.72019999999998</v>
      </c>
      <c r="K18" s="9">
        <f ca="1">MAX(OFFSET(data!$A$1,$Q18-1,4,$R18,1))</f>
        <v>419.99369999999999</v>
      </c>
      <c r="L18" s="28"/>
      <c r="N18" t="str">
        <f ca="1">OFFSET(data!$A$1,$Q18-1,0)</f>
        <v>OpenBLAS</v>
      </c>
      <c r="O18">
        <f ca="1">OFFSET(data!$A$1,$Q18-1,1)</f>
        <v>10005</v>
      </c>
      <c r="P18">
        <f ca="1">OFFSET(data!$A$1,$Q18-1,2)</f>
        <v>19</v>
      </c>
      <c r="Q18">
        <f t="shared" si="5"/>
        <v>446</v>
      </c>
      <c r="R18">
        <v>50</v>
      </c>
      <c r="S18">
        <f ca="1">IF(AVERAGE(OFFSET(data!$A$1,$Q18,1,$R18-1,1))=O18,1,0)</f>
        <v>1</v>
      </c>
      <c r="T18">
        <f ca="1">IF(AVERAGE(OFFSET(data!$A$1,$Q18,2,$R18-1,1))=P18,1,0)</f>
        <v>1</v>
      </c>
    </row>
    <row r="19" spans="1:20" x14ac:dyDescent="0.15">
      <c r="A19" s="1" t="str">
        <f t="shared" ca="1" si="0"/>
        <v>OpenBLAS010005020</v>
      </c>
      <c r="B19" s="4" t="str">
        <f t="shared" ca="1" si="1"/>
        <v>OpenBLAS</v>
      </c>
      <c r="C19" s="3">
        <f t="shared" ca="1" si="2"/>
        <v>10005</v>
      </c>
      <c r="D19" s="9">
        <f t="shared" ca="1" si="3"/>
        <v>20</v>
      </c>
      <c r="E19" s="4">
        <f ca="1">AVERAGE(OFFSET(data!$A$1,$Q19-1,3,$R19,1))</f>
        <v>4.8940039999999989</v>
      </c>
      <c r="F19" s="3">
        <f ca="1">MIN(OFFSET(data!$A$1,$Q19-1,3,$R19,1))</f>
        <v>4.8815</v>
      </c>
      <c r="G19" s="3">
        <f ca="1">MAX(OFFSET(data!$A$1,$Q19-1,3,$R19,1))</f>
        <v>4.9013</v>
      </c>
      <c r="H19" s="5">
        <f t="shared" ca="1" si="4"/>
        <v>4.0457670243015829E-3</v>
      </c>
      <c r="I19" s="4">
        <f ca="1">AVERAGE(OFFSET(data!$A$1,$Q19-1,4,$R19,1))</f>
        <v>409.27680400000003</v>
      </c>
      <c r="J19" s="3">
        <f ca="1">MIN(OFFSET(data!$A$1,$Q19-1,4,$R19,1))</f>
        <v>408.66559999999998</v>
      </c>
      <c r="K19" s="9">
        <f ca="1">MAX(OFFSET(data!$A$1,$Q19-1,4,$R19,1))</f>
        <v>410.32220000000001</v>
      </c>
      <c r="L19" s="28"/>
      <c r="N19" t="str">
        <f ca="1">OFFSET(data!$A$1,$Q19-1,0)</f>
        <v>OpenBLAS</v>
      </c>
      <c r="O19">
        <f ca="1">OFFSET(data!$A$1,$Q19-1,1)</f>
        <v>10005</v>
      </c>
      <c r="P19">
        <f ca="1">OFFSET(data!$A$1,$Q19-1,2)</f>
        <v>20</v>
      </c>
      <c r="Q19">
        <f t="shared" si="5"/>
        <v>497</v>
      </c>
      <c r="R19">
        <v>50</v>
      </c>
      <c r="S19">
        <f ca="1">IF(AVERAGE(OFFSET(data!$A$1,$Q19,1,$R19-1,1))=O19,1,0)</f>
        <v>1</v>
      </c>
      <c r="T19">
        <f ca="1">IF(AVERAGE(OFFSET(data!$A$1,$Q19,2,$R19-1,1))=P19,1,0)</f>
        <v>1</v>
      </c>
    </row>
    <row r="20" spans="1:20" x14ac:dyDescent="0.15">
      <c r="A20" s="1" t="str">
        <f t="shared" ca="1" si="0"/>
        <v>OpenBLAS010010001</v>
      </c>
      <c r="B20" s="4" t="str">
        <f t="shared" ca="1" si="1"/>
        <v>OpenBLAS</v>
      </c>
      <c r="C20" s="3">
        <f t="shared" ca="1" si="2"/>
        <v>10010</v>
      </c>
      <c r="D20" s="9">
        <f t="shared" ca="1" si="3"/>
        <v>1</v>
      </c>
      <c r="E20" s="4">
        <f ca="1">AVERAGE(OFFSET(data!$A$1,$Q20-1,3,$R20,1))</f>
        <v>80.415080000000003</v>
      </c>
      <c r="F20" s="3">
        <f ca="1">MIN(OFFSET(data!$A$1,$Q20-1,3,$R20,1))</f>
        <v>80.408299999999997</v>
      </c>
      <c r="G20" s="3">
        <f ca="1">MAX(OFFSET(data!$A$1,$Q20-1,3,$R20,1))</f>
        <v>80.421499999999995</v>
      </c>
      <c r="H20" s="5">
        <f t="shared" ca="1" si="4"/>
        <v>1.6414831646001791E-4</v>
      </c>
      <c r="I20" s="4">
        <f ca="1">AVERAGE(OFFSET(data!$A$1,$Q20-1,4,$R20,1))</f>
        <v>24.945659999999997</v>
      </c>
      <c r="J20" s="3">
        <f ca="1">MIN(OFFSET(data!$A$1,$Q20-1,4,$R20,1))</f>
        <v>24.9437</v>
      </c>
      <c r="K20" s="9">
        <f ca="1">MAX(OFFSET(data!$A$1,$Q20-1,4,$R20,1))</f>
        <v>24.947700000000001</v>
      </c>
      <c r="L20" s="28"/>
      <c r="N20" t="str">
        <f ca="1">OFFSET(data!$A$1,$Q20-1,0)</f>
        <v>OpenBLAS</v>
      </c>
      <c r="O20">
        <f ca="1">OFFSET(data!$A$1,$Q20-1,1)</f>
        <v>10010</v>
      </c>
      <c r="P20">
        <f ca="1">OFFSET(data!$A$1,$Q20-1,2)</f>
        <v>1</v>
      </c>
      <c r="Q20">
        <f t="shared" si="5"/>
        <v>548</v>
      </c>
      <c r="R20">
        <v>5</v>
      </c>
      <c r="S20">
        <f ca="1">IF(AVERAGE(OFFSET(data!$A$1,$Q20,1,$R20-1,1))=O20,1,0)</f>
        <v>1</v>
      </c>
      <c r="T20">
        <f ca="1">IF(AVERAGE(OFFSET(data!$A$1,$Q20,2,$R20-1,1))=P20,1,0)</f>
        <v>1</v>
      </c>
    </row>
    <row r="21" spans="1:20" x14ac:dyDescent="0.15">
      <c r="A21" s="1" t="str">
        <f t="shared" ca="1" si="0"/>
        <v>OpenBLAS010010019</v>
      </c>
      <c r="B21" s="4" t="str">
        <f t="shared" ca="1" si="1"/>
        <v>OpenBLAS</v>
      </c>
      <c r="C21" s="3">
        <f t="shared" ca="1" si="2"/>
        <v>10010</v>
      </c>
      <c r="D21" s="9">
        <f t="shared" ca="1" si="3"/>
        <v>19</v>
      </c>
      <c r="E21" s="4">
        <f ca="1">AVERAGE(OFFSET(data!$A$1,$Q21-1,3,$R21,1))</f>
        <v>5.1135120000000009</v>
      </c>
      <c r="F21" s="3">
        <f ca="1">MIN(OFFSET(data!$A$1,$Q21-1,3,$R21,1))</f>
        <v>4.774</v>
      </c>
      <c r="G21" s="3">
        <f ca="1">MAX(OFFSET(data!$A$1,$Q21-1,3,$R21,1))</f>
        <v>5.1581000000000001</v>
      </c>
      <c r="H21" s="5">
        <f t="shared" ca="1" si="4"/>
        <v>7.5114715678774202E-2</v>
      </c>
      <c r="I21" s="4">
        <f ca="1">AVERAGE(OFFSET(data!$A$1,$Q21-1,4,$R21,1))</f>
        <v>392.387384</v>
      </c>
      <c r="J21" s="3">
        <f ca="1">MIN(OFFSET(data!$A$1,$Q21-1,4,$R21,1))</f>
        <v>388.90390000000002</v>
      </c>
      <c r="K21" s="9">
        <f ca="1">MAX(OFFSET(data!$A$1,$Q21-1,4,$R21,1))</f>
        <v>420.19099999999997</v>
      </c>
      <c r="L21" s="28"/>
      <c r="N21" t="str">
        <f ca="1">OFFSET(data!$A$1,$Q21-1,0)</f>
        <v>OpenBLAS</v>
      </c>
      <c r="O21">
        <f ca="1">OFFSET(data!$A$1,$Q21-1,1)</f>
        <v>10010</v>
      </c>
      <c r="P21">
        <f ca="1">OFFSET(data!$A$1,$Q21-1,2)</f>
        <v>19</v>
      </c>
      <c r="Q21">
        <f t="shared" si="5"/>
        <v>554</v>
      </c>
      <c r="R21">
        <v>50</v>
      </c>
      <c r="S21">
        <f ca="1">IF(AVERAGE(OFFSET(data!$A$1,$Q21,1,$R21-1,1))=O21,1,0)</f>
        <v>1</v>
      </c>
      <c r="T21">
        <f ca="1">IF(AVERAGE(OFFSET(data!$A$1,$Q21,2,$R21-1,1))=P21,1,0)</f>
        <v>1</v>
      </c>
    </row>
    <row r="22" spans="1:20" ht="14" thickBot="1" x14ac:dyDescent="0.2">
      <c r="A22" s="1" t="str">
        <f t="shared" ca="1" si="0"/>
        <v>OpenBLAS010010020</v>
      </c>
      <c r="B22" s="6" t="str">
        <f t="shared" ca="1" si="1"/>
        <v>OpenBLAS</v>
      </c>
      <c r="C22" s="7">
        <f t="shared" ca="1" si="2"/>
        <v>10010</v>
      </c>
      <c r="D22" s="10">
        <f t="shared" ca="1" si="3"/>
        <v>20</v>
      </c>
      <c r="E22" s="6">
        <f ca="1">AVERAGE(OFFSET(data!$A$1,$Q22-1,3,$R22,1))</f>
        <v>4.8583619999999996</v>
      </c>
      <c r="F22" s="7">
        <f ca="1">MIN(OFFSET(data!$A$1,$Q22-1,3,$R22,1))</f>
        <v>4.8517999999999999</v>
      </c>
      <c r="G22" s="7">
        <f ca="1">MAX(OFFSET(data!$A$1,$Q22-1,3,$R22,1))</f>
        <v>4.8640999999999996</v>
      </c>
      <c r="H22" s="8">
        <f t="shared" ca="1" si="4"/>
        <v>2.531717480088918E-3</v>
      </c>
      <c r="I22" s="6">
        <f ca="1">AVERAGE(OFFSET(data!$A$1,$Q22-1,4,$R22,1))</f>
        <v>412.8972599999999</v>
      </c>
      <c r="J22" s="7">
        <f ca="1">MIN(OFFSET(data!$A$1,$Q22-1,4,$R22,1))</f>
        <v>412.40879999999999</v>
      </c>
      <c r="K22" s="10">
        <f ca="1">MAX(OFFSET(data!$A$1,$Q22-1,4,$R22,1))</f>
        <v>413.45420000000001</v>
      </c>
      <c r="L22" s="28"/>
      <c r="N22" t="str">
        <f ca="1">OFFSET(data!$A$1,$Q22-1,0)</f>
        <v>OpenBLAS</v>
      </c>
      <c r="O22">
        <f ca="1">OFFSET(data!$A$1,$Q22-1,1)</f>
        <v>10010</v>
      </c>
      <c r="P22">
        <f ca="1">OFFSET(data!$A$1,$Q22-1,2)</f>
        <v>20</v>
      </c>
      <c r="Q22">
        <f t="shared" si="5"/>
        <v>605</v>
      </c>
      <c r="R22">
        <v>50</v>
      </c>
      <c r="S22">
        <f ca="1">IF(AVERAGE(OFFSET(data!$A$1,$Q22,1,$R22-1,1))=O22,1,0)</f>
        <v>1</v>
      </c>
      <c r="T22">
        <f ca="1">IF(AVERAGE(OFFSET(data!$A$1,$Q22,2,$R22-1,1))=P22,1,0)</f>
        <v>1</v>
      </c>
    </row>
    <row r="23" spans="1:20" x14ac:dyDescent="0.15">
      <c r="A23" s="1" t="str">
        <f t="shared" ca="1" si="0"/>
        <v>IntelMKL002500001</v>
      </c>
      <c r="B23" s="18" t="str">
        <f t="shared" ca="1" si="1"/>
        <v>IntelMKL</v>
      </c>
      <c r="C23" s="19">
        <f t="shared" ca="1" si="2"/>
        <v>2500</v>
      </c>
      <c r="D23" s="20">
        <f t="shared" ca="1" si="3"/>
        <v>1</v>
      </c>
      <c r="E23" s="18">
        <f ca="1">AVERAGE(OFFSET(data!$A$1,$Q23-1,3,$R23,1))</f>
        <v>1.2774399999999999</v>
      </c>
      <c r="F23" s="19">
        <f ca="1">MIN(OFFSET(data!$A$1,$Q23-1,3,$R23,1))</f>
        <v>1.2767999999999999</v>
      </c>
      <c r="G23" s="19">
        <f ca="1">MAX(OFFSET(data!$A$1,$Q23-1,3,$R23,1))</f>
        <v>1.2778</v>
      </c>
      <c r="H23" s="21">
        <f t="shared" ca="1" si="4"/>
        <v>7.8281563126261268E-4</v>
      </c>
      <c r="I23" s="18">
        <f ca="1">AVERAGE(OFFSET(data!$A$1,$Q23-1,4,$R23,1))</f>
        <v>24.463100000000001</v>
      </c>
      <c r="J23" s="19">
        <f ca="1">MIN(OFFSET(data!$A$1,$Q23-1,4,$R23,1))</f>
        <v>24.4559</v>
      </c>
      <c r="K23" s="20">
        <f ca="1">MAX(OFFSET(data!$A$1,$Q23-1,4,$R23,1))</f>
        <v>24.475300000000001</v>
      </c>
      <c r="L23" s="28"/>
      <c r="N23" t="str">
        <f ca="1">OFFSET(data!$A$1,$Q23-1,0)</f>
        <v>IntelMKL</v>
      </c>
      <c r="O23">
        <f ca="1">OFFSET(data!$A$1,$Q23-1,1)</f>
        <v>2500</v>
      </c>
      <c r="P23">
        <f ca="1">OFFSET(data!$A$1,$Q23-1,2)</f>
        <v>1</v>
      </c>
      <c r="Q23">
        <v>660</v>
      </c>
      <c r="R23">
        <v>5</v>
      </c>
      <c r="S23">
        <f ca="1">IF(AVERAGE(OFFSET(data!$A$1,$Q23,1,$R23-1,1))=O23,1,0)</f>
        <v>1</v>
      </c>
      <c r="T23">
        <f ca="1">IF(AVERAGE(OFFSET(data!$A$1,$Q23,2,$R23-1,1))=P23,1,0)</f>
        <v>1</v>
      </c>
    </row>
    <row r="24" spans="1:20" x14ac:dyDescent="0.15">
      <c r="A24" s="1" t="str">
        <f t="shared" ca="1" si="0"/>
        <v>IntelMKL002500019</v>
      </c>
      <c r="B24" s="4" t="str">
        <f t="shared" ca="1" si="1"/>
        <v>IntelMKL</v>
      </c>
      <c r="C24" s="3">
        <f t="shared" ca="1" si="2"/>
        <v>2500</v>
      </c>
      <c r="D24" s="9">
        <f t="shared" ca="1" si="3"/>
        <v>19</v>
      </c>
      <c r="E24" s="4">
        <f ca="1">AVERAGE(OFFSET(data!$A$1,$Q24-1,3,$R24,1))</f>
        <v>8.7085999999999983E-2</v>
      </c>
      <c r="F24" s="3">
        <f ca="1">MIN(OFFSET(data!$A$1,$Q24-1,3,$R24,1))</f>
        <v>8.6199999999999999E-2</v>
      </c>
      <c r="G24" s="3">
        <f ca="1">MAX(OFFSET(data!$A$1,$Q24-1,3,$R24,1))</f>
        <v>9.7299999999999998E-2</v>
      </c>
      <c r="H24" s="5">
        <f t="shared" ca="1" si="4"/>
        <v>0.12746021174471214</v>
      </c>
      <c r="I24" s="4">
        <f ca="1">AVERAGE(OFFSET(data!$A$1,$Q24-1,4,$R24,1))</f>
        <v>358.94894199999987</v>
      </c>
      <c r="J24" s="3">
        <f ca="1">MIN(OFFSET(data!$A$1,$Q24-1,4,$R24,1))</f>
        <v>321.19139999999999</v>
      </c>
      <c r="K24" s="9">
        <f ca="1">MAX(OFFSET(data!$A$1,$Q24-1,4,$R24,1))</f>
        <v>362.35660000000001</v>
      </c>
      <c r="L24" s="28"/>
      <c r="N24" t="str">
        <f ca="1">OFFSET(data!$A$1,$Q24-1,0)</f>
        <v>IntelMKL</v>
      </c>
      <c r="O24">
        <f ca="1">OFFSET(data!$A$1,$Q24-1,1)</f>
        <v>2500</v>
      </c>
      <c r="P24">
        <f ca="1">OFFSET(data!$A$1,$Q24-1,2)</f>
        <v>19</v>
      </c>
      <c r="Q24">
        <f t="shared" ref="Q24:Q40" si="6">Q23+R23+1</f>
        <v>666</v>
      </c>
      <c r="R24">
        <v>50</v>
      </c>
      <c r="S24">
        <f ca="1">IF(AVERAGE(OFFSET(data!$A$1,$Q24,1,$R24-1,1))=O24,1,0)</f>
        <v>1</v>
      </c>
      <c r="T24">
        <f ca="1">IF(AVERAGE(OFFSET(data!$A$1,$Q24,2,$R24-1,1))=P24,1,0)</f>
        <v>1</v>
      </c>
    </row>
    <row r="25" spans="1:20" x14ac:dyDescent="0.15">
      <c r="A25" s="1" t="str">
        <f t="shared" ca="1" si="0"/>
        <v>IntelMKL002500020</v>
      </c>
      <c r="B25" s="4" t="str">
        <f t="shared" ca="1" si="1"/>
        <v>IntelMKL</v>
      </c>
      <c r="C25" s="3">
        <f t="shared" ca="1" si="2"/>
        <v>2500</v>
      </c>
      <c r="D25" s="9">
        <f t="shared" ca="1" si="3"/>
        <v>20</v>
      </c>
      <c r="E25" s="4">
        <f ca="1">AVERAGE(OFFSET(data!$A$1,$Q25-1,3,$R25,1))</f>
        <v>7.5622000000000023E-2</v>
      </c>
      <c r="F25" s="3">
        <f ca="1">MIN(OFFSET(data!$A$1,$Q25-1,3,$R25,1))</f>
        <v>7.4700000000000003E-2</v>
      </c>
      <c r="G25" s="3">
        <f ca="1">MAX(OFFSET(data!$A$1,$Q25-1,3,$R25,1))</f>
        <v>8.8200000000000001E-2</v>
      </c>
      <c r="H25" s="5">
        <f t="shared" ca="1" si="4"/>
        <v>0.17851947845864952</v>
      </c>
      <c r="I25" s="4">
        <f ca="1">AVERAGE(OFFSET(data!$A$1,$Q25-1,4,$R25,1))</f>
        <v>413.44197200000002</v>
      </c>
      <c r="J25" s="3">
        <f ca="1">MIN(OFFSET(data!$A$1,$Q25-1,4,$R25,1))</f>
        <v>354.44499999999999</v>
      </c>
      <c r="K25" s="9">
        <f ca="1">MAX(OFFSET(data!$A$1,$Q25-1,4,$R25,1))</f>
        <v>418.12169999999998</v>
      </c>
      <c r="L25" s="28"/>
      <c r="N25" t="str">
        <f ca="1">OFFSET(data!$A$1,$Q25-1,0)</f>
        <v>IntelMKL</v>
      </c>
      <c r="O25">
        <f ca="1">OFFSET(data!$A$1,$Q25-1,1)</f>
        <v>2500</v>
      </c>
      <c r="P25">
        <f ca="1">OFFSET(data!$A$1,$Q25-1,2)</f>
        <v>20</v>
      </c>
      <c r="Q25">
        <f t="shared" si="6"/>
        <v>717</v>
      </c>
      <c r="R25">
        <v>50</v>
      </c>
      <c r="S25">
        <f ca="1">IF(AVERAGE(OFFSET(data!$A$1,$Q25,1,$R25-1,1))=O25,1,0)</f>
        <v>1</v>
      </c>
      <c r="T25">
        <f ca="1">IF(AVERAGE(OFFSET(data!$A$1,$Q25,2,$R25-1,1))=P25,1,0)</f>
        <v>1</v>
      </c>
    </row>
    <row r="26" spans="1:20" x14ac:dyDescent="0.15">
      <c r="A26" s="1" t="str">
        <f t="shared" ca="1" si="0"/>
        <v>IntelMKL002505001</v>
      </c>
      <c r="B26" s="4" t="str">
        <f t="shared" ca="1" si="1"/>
        <v>IntelMKL</v>
      </c>
      <c r="C26" s="3">
        <f t="shared" ca="1" si="2"/>
        <v>2505</v>
      </c>
      <c r="D26" s="9">
        <f t="shared" ca="1" si="3"/>
        <v>1</v>
      </c>
      <c r="E26" s="4">
        <f ca="1">AVERAGE(OFFSET(data!$A$1,$Q26-1,3,$R26,1))</f>
        <v>1.2864</v>
      </c>
      <c r="F26" s="3">
        <f ca="1">MIN(OFFSET(data!$A$1,$Q26-1,3,$R26,1))</f>
        <v>1.2857000000000001</v>
      </c>
      <c r="G26" s="3">
        <f ca="1">MAX(OFFSET(data!$A$1,$Q26-1,3,$R26,1))</f>
        <v>1.2871999999999999</v>
      </c>
      <c r="H26" s="5">
        <f t="shared" ca="1" si="4"/>
        <v>1.1660447761192745E-3</v>
      </c>
      <c r="I26" s="4">
        <f ca="1">AVERAGE(OFFSET(data!$A$1,$Q26-1,4,$R26,1))</f>
        <v>24.438400000000001</v>
      </c>
      <c r="J26" s="3">
        <f ca="1">MIN(OFFSET(data!$A$1,$Q26-1,4,$R26,1))</f>
        <v>24.4237</v>
      </c>
      <c r="K26" s="9">
        <f ca="1">MAX(OFFSET(data!$A$1,$Q26-1,4,$R26,1))</f>
        <v>24.4529</v>
      </c>
      <c r="L26" s="28"/>
      <c r="N26" t="str">
        <f ca="1">OFFSET(data!$A$1,$Q26-1,0)</f>
        <v>IntelMKL</v>
      </c>
      <c r="O26">
        <f ca="1">OFFSET(data!$A$1,$Q26-1,1)</f>
        <v>2505</v>
      </c>
      <c r="P26">
        <f ca="1">OFFSET(data!$A$1,$Q26-1,2)</f>
        <v>1</v>
      </c>
      <c r="Q26">
        <f t="shared" si="6"/>
        <v>768</v>
      </c>
      <c r="R26">
        <v>5</v>
      </c>
      <c r="S26">
        <f ca="1">IF(AVERAGE(OFFSET(data!$A$1,$Q26,1,$R26-1,1))=O26,1,0)</f>
        <v>1</v>
      </c>
      <c r="T26">
        <f ca="1">IF(AVERAGE(OFFSET(data!$A$1,$Q26,2,$R26-1,1))=P26,1,0)</f>
        <v>1</v>
      </c>
    </row>
    <row r="27" spans="1:20" x14ac:dyDescent="0.15">
      <c r="A27" s="1" t="str">
        <f t="shared" ca="1" si="0"/>
        <v>IntelMKL002505019</v>
      </c>
      <c r="B27" s="4" t="str">
        <f t="shared" ca="1" si="1"/>
        <v>IntelMKL</v>
      </c>
      <c r="C27" s="3">
        <f t="shared" ca="1" si="2"/>
        <v>2505</v>
      </c>
      <c r="D27" s="9">
        <f t="shared" ca="1" si="3"/>
        <v>19</v>
      </c>
      <c r="E27" s="4">
        <f ca="1">AVERAGE(OFFSET(data!$A$1,$Q27-1,3,$R27,1))</f>
        <v>8.8604000000000016E-2</v>
      </c>
      <c r="F27" s="3">
        <f ca="1">MIN(OFFSET(data!$A$1,$Q27-1,3,$R27,1))</f>
        <v>8.8300000000000003E-2</v>
      </c>
      <c r="G27" s="3">
        <f ca="1">MAX(OFFSET(data!$A$1,$Q27-1,3,$R27,1))</f>
        <v>8.9599999999999999E-2</v>
      </c>
      <c r="H27" s="5">
        <f t="shared" ca="1" si="4"/>
        <v>1.4672023836395596E-2</v>
      </c>
      <c r="I27" s="4">
        <f ca="1">AVERAGE(OFFSET(data!$A$1,$Q27-1,4,$R27,1))</f>
        <v>354.81879800000002</v>
      </c>
      <c r="J27" s="3">
        <f ca="1">MIN(OFFSET(data!$A$1,$Q27-1,4,$R27,1))</f>
        <v>350.95530000000002</v>
      </c>
      <c r="K27" s="9">
        <f ca="1">MAX(OFFSET(data!$A$1,$Q27-1,4,$R27,1))</f>
        <v>355.99450000000002</v>
      </c>
      <c r="L27" s="28"/>
      <c r="N27" t="str">
        <f ca="1">OFFSET(data!$A$1,$Q27-1,0)</f>
        <v>IntelMKL</v>
      </c>
      <c r="O27">
        <f ca="1">OFFSET(data!$A$1,$Q27-1,1)</f>
        <v>2505</v>
      </c>
      <c r="P27">
        <f ca="1">OFFSET(data!$A$1,$Q27-1,2)</f>
        <v>19</v>
      </c>
      <c r="Q27">
        <f t="shared" si="6"/>
        <v>774</v>
      </c>
      <c r="R27">
        <v>50</v>
      </c>
      <c r="S27">
        <f ca="1">IF(AVERAGE(OFFSET(data!$A$1,$Q27,1,$R27-1,1))=O27,1,0)</f>
        <v>1</v>
      </c>
      <c r="T27">
        <f ca="1">IF(AVERAGE(OFFSET(data!$A$1,$Q27,2,$R27-1,1))=P27,1,0)</f>
        <v>1</v>
      </c>
    </row>
    <row r="28" spans="1:20" x14ac:dyDescent="0.15">
      <c r="A28" s="1" t="str">
        <f t="shared" ca="1" si="0"/>
        <v>IntelMKL002505020</v>
      </c>
      <c r="B28" s="4" t="str">
        <f t="shared" ca="1" si="1"/>
        <v>IntelMKL</v>
      </c>
      <c r="C28" s="3">
        <f t="shared" ca="1" si="2"/>
        <v>2505</v>
      </c>
      <c r="D28" s="9">
        <f t="shared" ca="1" si="3"/>
        <v>20</v>
      </c>
      <c r="E28" s="4">
        <f ca="1">AVERAGE(OFFSET(data!$A$1,$Q28-1,3,$R28,1))</f>
        <v>0.15092799999999998</v>
      </c>
      <c r="F28" s="3">
        <f ca="1">MIN(OFFSET(data!$A$1,$Q28-1,3,$R28,1))</f>
        <v>0.14319999999999999</v>
      </c>
      <c r="G28" s="3">
        <f ca="1">MAX(OFFSET(data!$A$1,$Q28-1,3,$R28,1))</f>
        <v>0.21110000000000001</v>
      </c>
      <c r="H28" s="5">
        <f t="shared" ca="1" si="4"/>
        <v>0.44988338810558692</v>
      </c>
      <c r="I28" s="4">
        <f ca="1">AVERAGE(OFFSET(data!$A$1,$Q28-1,4,$R28,1))</f>
        <v>209.88473999999991</v>
      </c>
      <c r="J28" s="3">
        <f ca="1">MIN(OFFSET(data!$A$1,$Q28-1,4,$R28,1))</f>
        <v>148.9093</v>
      </c>
      <c r="K28" s="9">
        <f ca="1">MAX(OFFSET(data!$A$1,$Q28-1,4,$R28,1))</f>
        <v>219.5444</v>
      </c>
      <c r="L28" s="28"/>
      <c r="N28" t="str">
        <f ca="1">OFFSET(data!$A$1,$Q28-1,0)</f>
        <v>IntelMKL</v>
      </c>
      <c r="O28">
        <f ca="1">OFFSET(data!$A$1,$Q28-1,1)</f>
        <v>2505</v>
      </c>
      <c r="P28">
        <f ca="1">OFFSET(data!$A$1,$Q28-1,2)</f>
        <v>20</v>
      </c>
      <c r="Q28">
        <f t="shared" si="6"/>
        <v>825</v>
      </c>
      <c r="R28">
        <v>50</v>
      </c>
      <c r="S28">
        <f ca="1">IF(AVERAGE(OFFSET(data!$A$1,$Q28,1,$R28-1,1))=O28,1,0)</f>
        <v>1</v>
      </c>
      <c r="T28">
        <f ca="1">IF(AVERAGE(OFFSET(data!$A$1,$Q28,2,$R28-1,1))=P28,1,0)</f>
        <v>1</v>
      </c>
    </row>
    <row r="29" spans="1:20" x14ac:dyDescent="0.15">
      <c r="A29" s="1" t="str">
        <f t="shared" ca="1" si="0"/>
        <v>IntelMKL002510001</v>
      </c>
      <c r="B29" s="4" t="str">
        <f t="shared" ca="1" si="1"/>
        <v>IntelMKL</v>
      </c>
      <c r="C29" s="3">
        <f t="shared" ca="1" si="2"/>
        <v>2510</v>
      </c>
      <c r="D29" s="9">
        <f t="shared" ca="1" si="3"/>
        <v>1</v>
      </c>
      <c r="E29" s="4">
        <f ca="1">AVERAGE(OFFSET(data!$A$1,$Q29-1,3,$R29,1))</f>
        <v>1.2832399999999999</v>
      </c>
      <c r="F29" s="3">
        <f ca="1">MIN(OFFSET(data!$A$1,$Q29-1,3,$R29,1))</f>
        <v>1.2827</v>
      </c>
      <c r="G29" s="3">
        <f ca="1">MAX(OFFSET(data!$A$1,$Q29-1,3,$R29,1))</f>
        <v>1.2838000000000001</v>
      </c>
      <c r="H29" s="5">
        <f t="shared" ca="1" si="4"/>
        <v>8.5720519933925137E-4</v>
      </c>
      <c r="I29" s="4">
        <f ca="1">AVERAGE(OFFSET(data!$A$1,$Q29-1,4,$R29,1))</f>
        <v>24.64612</v>
      </c>
      <c r="J29" s="3">
        <f ca="1">MIN(OFFSET(data!$A$1,$Q29-1,4,$R29,1))</f>
        <v>24.6355</v>
      </c>
      <c r="K29" s="9">
        <f ca="1">MAX(OFFSET(data!$A$1,$Q29-1,4,$R29,1))</f>
        <v>24.6569</v>
      </c>
      <c r="L29" s="28"/>
      <c r="N29" t="str">
        <f ca="1">OFFSET(data!$A$1,$Q29-1,0)</f>
        <v>IntelMKL</v>
      </c>
      <c r="O29">
        <f ca="1">OFFSET(data!$A$1,$Q29-1,1)</f>
        <v>2510</v>
      </c>
      <c r="P29">
        <f ca="1">OFFSET(data!$A$1,$Q29-1,2)</f>
        <v>1</v>
      </c>
      <c r="Q29">
        <f t="shared" si="6"/>
        <v>876</v>
      </c>
      <c r="R29">
        <v>5</v>
      </c>
      <c r="S29">
        <f ca="1">IF(AVERAGE(OFFSET(data!$A$1,$Q29,1,$R29-1,1))=O29,1,0)</f>
        <v>1</v>
      </c>
      <c r="T29">
        <f ca="1">IF(AVERAGE(OFFSET(data!$A$1,$Q29,2,$R29-1,1))=P29,1,0)</f>
        <v>1</v>
      </c>
    </row>
    <row r="30" spans="1:20" x14ac:dyDescent="0.15">
      <c r="A30" s="1" t="str">
        <f t="shared" ca="1" si="0"/>
        <v>IntelMKL002510019</v>
      </c>
      <c r="B30" s="4" t="str">
        <f t="shared" ca="1" si="1"/>
        <v>IntelMKL</v>
      </c>
      <c r="C30" s="3">
        <f t="shared" ca="1" si="2"/>
        <v>2510</v>
      </c>
      <c r="D30" s="9">
        <f t="shared" ca="1" si="3"/>
        <v>19</v>
      </c>
      <c r="E30" s="4">
        <f ca="1">AVERAGE(OFFSET(data!$A$1,$Q30-1,3,$R30,1))</f>
        <v>8.7329999999999991E-2</v>
      </c>
      <c r="F30" s="3">
        <f ca="1">MIN(OFFSET(data!$A$1,$Q30-1,3,$R30,1))</f>
        <v>8.6999999999999994E-2</v>
      </c>
      <c r="G30" s="3">
        <f ca="1">MAX(OFFSET(data!$A$1,$Q30-1,3,$R30,1))</f>
        <v>8.77E-2</v>
      </c>
      <c r="H30" s="5">
        <f t="shared" ca="1" si="4"/>
        <v>8.0155731134776854E-3</v>
      </c>
      <c r="I30" s="4">
        <f ca="1">AVERAGE(OFFSET(data!$A$1,$Q30-1,4,$R30,1))</f>
        <v>362.17415599999987</v>
      </c>
      <c r="J30" s="3">
        <f ca="1">MIN(OFFSET(data!$A$1,$Q30-1,4,$R30,1))</f>
        <v>360.6626</v>
      </c>
      <c r="K30" s="9">
        <f ca="1">MAX(OFFSET(data!$A$1,$Q30-1,4,$R30,1))</f>
        <v>363.61079999999998</v>
      </c>
      <c r="L30" s="28"/>
      <c r="N30" t="str">
        <f ca="1">OFFSET(data!$A$1,$Q30-1,0)</f>
        <v>IntelMKL</v>
      </c>
      <c r="O30">
        <f ca="1">OFFSET(data!$A$1,$Q30-1,1)</f>
        <v>2510</v>
      </c>
      <c r="P30">
        <f ca="1">OFFSET(data!$A$1,$Q30-1,2)</f>
        <v>19</v>
      </c>
      <c r="Q30">
        <f t="shared" si="6"/>
        <v>882</v>
      </c>
      <c r="R30">
        <v>50</v>
      </c>
      <c r="S30">
        <f ca="1">IF(AVERAGE(OFFSET(data!$A$1,$Q30,1,$R30-1,1))=O30,1,0)</f>
        <v>1</v>
      </c>
      <c r="T30">
        <f ca="1">IF(AVERAGE(OFFSET(data!$A$1,$Q30,2,$R30-1,1))=P30,1,0)</f>
        <v>1</v>
      </c>
    </row>
    <row r="31" spans="1:20" x14ac:dyDescent="0.15">
      <c r="A31" s="1" t="str">
        <f t="shared" ca="1" si="0"/>
        <v>IntelMKL002510020</v>
      </c>
      <c r="B31" s="4" t="str">
        <f t="shared" ca="1" si="1"/>
        <v>IntelMKL</v>
      </c>
      <c r="C31" s="3">
        <f t="shared" ca="1" si="2"/>
        <v>2510</v>
      </c>
      <c r="D31" s="9">
        <f t="shared" ca="1" si="3"/>
        <v>20</v>
      </c>
      <c r="E31" s="4">
        <f ca="1">AVERAGE(OFFSET(data!$A$1,$Q31-1,3,$R31,1))</f>
        <v>7.8715999999999994E-2</v>
      </c>
      <c r="F31" s="3">
        <f ca="1">MIN(OFFSET(data!$A$1,$Q31-1,3,$R31,1))</f>
        <v>7.7499999999999999E-2</v>
      </c>
      <c r="G31" s="3">
        <f ca="1">MAX(OFFSET(data!$A$1,$Q31-1,3,$R31,1))</f>
        <v>9.2299999999999993E-2</v>
      </c>
      <c r="H31" s="5">
        <f t="shared" ca="1" si="4"/>
        <v>0.18801768382539757</v>
      </c>
      <c r="I31" s="4">
        <f ca="1">AVERAGE(OFFSET(data!$A$1,$Q31-1,4,$R31,1))</f>
        <v>402.06327799999997</v>
      </c>
      <c r="J31" s="3">
        <f ca="1">MIN(OFFSET(data!$A$1,$Q31-1,4,$R31,1))</f>
        <v>342.64159999999998</v>
      </c>
      <c r="K31" s="9">
        <f ca="1">MAX(OFFSET(data!$A$1,$Q31-1,4,$R31,1))</f>
        <v>407.92599999999999</v>
      </c>
      <c r="L31" s="28"/>
      <c r="N31" t="str">
        <f ca="1">OFFSET(data!$A$1,$Q31-1,0)</f>
        <v>IntelMKL</v>
      </c>
      <c r="O31">
        <f ca="1">OFFSET(data!$A$1,$Q31-1,1)</f>
        <v>2510</v>
      </c>
      <c r="P31">
        <f ca="1">OFFSET(data!$A$1,$Q31-1,2)</f>
        <v>20</v>
      </c>
      <c r="Q31">
        <f t="shared" si="6"/>
        <v>933</v>
      </c>
      <c r="R31">
        <v>50</v>
      </c>
      <c r="S31">
        <f ca="1">IF(AVERAGE(OFFSET(data!$A$1,$Q31,1,$R31-1,1))=O31,1,0)</f>
        <v>1</v>
      </c>
      <c r="T31">
        <f ca="1">IF(AVERAGE(OFFSET(data!$A$1,$Q31,2,$R31-1,1))=P31,1,0)</f>
        <v>1</v>
      </c>
    </row>
    <row r="32" spans="1:20" x14ac:dyDescent="0.15">
      <c r="A32" s="1" t="str">
        <f t="shared" ca="1" si="0"/>
        <v>IntelMKL010000001</v>
      </c>
      <c r="B32" s="4" t="str">
        <f t="shared" ca="1" si="1"/>
        <v>IntelMKL</v>
      </c>
      <c r="C32" s="3">
        <f t="shared" ca="1" si="2"/>
        <v>10000</v>
      </c>
      <c r="D32" s="9">
        <f t="shared" ca="1" si="3"/>
        <v>1</v>
      </c>
      <c r="E32" s="4">
        <f ca="1">AVERAGE(OFFSET(data!$A$1,$Q32-1,3,$R32,1))</f>
        <v>80.488140000000001</v>
      </c>
      <c r="F32" s="3">
        <f ca="1">MIN(OFFSET(data!$A$1,$Q32-1,3,$R32,1))</f>
        <v>80.4589</v>
      </c>
      <c r="G32" s="3">
        <f ca="1">MAX(OFFSET(data!$A$1,$Q32-1,3,$R32,1))</f>
        <v>80.507000000000005</v>
      </c>
      <c r="H32" s="5">
        <f t="shared" ca="1" si="4"/>
        <v>5.9760357240215935E-4</v>
      </c>
      <c r="I32" s="4">
        <f ca="1">AVERAGE(OFFSET(data!$A$1,$Q32-1,4,$R32,1))</f>
        <v>24.848380000000002</v>
      </c>
      <c r="J32" s="3">
        <f ca="1">MIN(OFFSET(data!$A$1,$Q32-1,4,$R32,1))</f>
        <v>24.842600000000001</v>
      </c>
      <c r="K32" s="9">
        <f ca="1">MAX(OFFSET(data!$A$1,$Q32-1,4,$R32,1))</f>
        <v>24.857399999999998</v>
      </c>
      <c r="L32" s="28"/>
      <c r="N32" t="str">
        <f ca="1">OFFSET(data!$A$1,$Q32-1,0)</f>
        <v>IntelMKL</v>
      </c>
      <c r="O32">
        <f ca="1">OFFSET(data!$A$1,$Q32-1,1)</f>
        <v>10000</v>
      </c>
      <c r="P32">
        <f ca="1">OFFSET(data!$A$1,$Q32-1,2)</f>
        <v>1</v>
      </c>
      <c r="Q32">
        <f t="shared" si="6"/>
        <v>984</v>
      </c>
      <c r="R32">
        <v>5</v>
      </c>
      <c r="S32">
        <f ca="1">IF(AVERAGE(OFFSET(data!$A$1,$Q32,1,$R32-1,1))=O32,1,0)</f>
        <v>1</v>
      </c>
      <c r="T32">
        <f ca="1">IF(AVERAGE(OFFSET(data!$A$1,$Q32,2,$R32-1,1))=P32,1,0)</f>
        <v>1</v>
      </c>
    </row>
    <row r="33" spans="1:20" x14ac:dyDescent="0.15">
      <c r="A33" s="1" t="str">
        <f t="shared" ca="1" si="0"/>
        <v>IntelMKL010000019</v>
      </c>
      <c r="B33" s="4" t="str">
        <f t="shared" ca="1" si="1"/>
        <v>IntelMKL</v>
      </c>
      <c r="C33" s="3">
        <f t="shared" ca="1" si="2"/>
        <v>10000</v>
      </c>
      <c r="D33" s="9">
        <f t="shared" ca="1" si="3"/>
        <v>19</v>
      </c>
      <c r="E33" s="4">
        <f ca="1">AVERAGE(OFFSET(data!$A$1,$Q33-1,3,$R33,1))</f>
        <v>5.0655719999999986</v>
      </c>
      <c r="F33" s="3">
        <f ca="1">MIN(OFFSET(data!$A$1,$Q33-1,3,$R33,1))</f>
        <v>5.0063000000000004</v>
      </c>
      <c r="G33" s="3">
        <f ca="1">MAX(OFFSET(data!$A$1,$Q33-1,3,$R33,1))</f>
        <v>5.0998999999999999</v>
      </c>
      <c r="H33" s="5">
        <f t="shared" ca="1" si="4"/>
        <v>1.84776763611295E-2</v>
      </c>
      <c r="I33" s="4">
        <f ca="1">AVERAGE(OFFSET(data!$A$1,$Q33-1,4,$R33,1))</f>
        <v>394.83606800000007</v>
      </c>
      <c r="J33" s="3">
        <f ca="1">MIN(OFFSET(data!$A$1,$Q33-1,4,$R33,1))</f>
        <v>392.16410000000002</v>
      </c>
      <c r="K33" s="9">
        <f ca="1">MAX(OFFSET(data!$A$1,$Q33-1,4,$R33,1))</f>
        <v>399.49290000000002</v>
      </c>
      <c r="L33" s="28"/>
      <c r="N33" t="str">
        <f ca="1">OFFSET(data!$A$1,$Q33-1,0)</f>
        <v>IntelMKL</v>
      </c>
      <c r="O33">
        <f ca="1">OFFSET(data!$A$1,$Q33-1,1)</f>
        <v>10000</v>
      </c>
      <c r="P33">
        <f ca="1">OFFSET(data!$A$1,$Q33-1,2)</f>
        <v>19</v>
      </c>
      <c r="Q33">
        <f t="shared" si="6"/>
        <v>990</v>
      </c>
      <c r="R33">
        <v>50</v>
      </c>
      <c r="S33">
        <f ca="1">IF(AVERAGE(OFFSET(data!$A$1,$Q33,1,$R33-1,1))=O33,1,0)</f>
        <v>1</v>
      </c>
      <c r="T33">
        <f ca="1">IF(AVERAGE(OFFSET(data!$A$1,$Q33,2,$R33-1,1))=P33,1,0)</f>
        <v>1</v>
      </c>
    </row>
    <row r="34" spans="1:20" x14ac:dyDescent="0.15">
      <c r="A34" s="1" t="str">
        <f t="shared" ca="1" si="0"/>
        <v>IntelMKL010000020</v>
      </c>
      <c r="B34" s="4" t="str">
        <f t="shared" ca="1" si="1"/>
        <v>IntelMKL</v>
      </c>
      <c r="C34" s="3">
        <f t="shared" ca="1" si="2"/>
        <v>10000</v>
      </c>
      <c r="D34" s="9">
        <f t="shared" ca="1" si="3"/>
        <v>20</v>
      </c>
      <c r="E34" s="4">
        <f ca="1">AVERAGE(OFFSET(data!$A$1,$Q34-1,3,$R34,1))</f>
        <v>4.6393520000000015</v>
      </c>
      <c r="F34" s="3">
        <f ca="1">MIN(OFFSET(data!$A$1,$Q34-1,3,$R34,1))</f>
        <v>4.6227</v>
      </c>
      <c r="G34" s="3">
        <f ca="1">MAX(OFFSET(data!$A$1,$Q34-1,3,$R34,1))</f>
        <v>4.6555</v>
      </c>
      <c r="H34" s="5">
        <f t="shared" ca="1" si="4"/>
        <v>7.0699528727287625E-3</v>
      </c>
      <c r="I34" s="4">
        <f ca="1">AVERAGE(OFFSET(data!$A$1,$Q34-1,4,$R34,1))</f>
        <v>431.09563599999996</v>
      </c>
      <c r="J34" s="3">
        <f ca="1">MIN(OFFSET(data!$A$1,$Q34-1,4,$R34,1))</f>
        <v>429.60230000000001</v>
      </c>
      <c r="K34" s="9">
        <f ca="1">MAX(OFFSET(data!$A$1,$Q34-1,4,$R34,1))</f>
        <v>432.64400000000001</v>
      </c>
      <c r="L34" s="28"/>
      <c r="N34" t="str">
        <f ca="1">OFFSET(data!$A$1,$Q34-1,0)</f>
        <v>IntelMKL</v>
      </c>
      <c r="O34">
        <f ca="1">OFFSET(data!$A$1,$Q34-1,1)</f>
        <v>10000</v>
      </c>
      <c r="P34">
        <f ca="1">OFFSET(data!$A$1,$Q34-1,2)</f>
        <v>20</v>
      </c>
      <c r="Q34">
        <f t="shared" si="6"/>
        <v>1041</v>
      </c>
      <c r="R34">
        <v>50</v>
      </c>
      <c r="S34">
        <f ca="1">IF(AVERAGE(OFFSET(data!$A$1,$Q34,1,$R34-1,1))=O34,1,0)</f>
        <v>1</v>
      </c>
      <c r="T34">
        <f ca="1">IF(AVERAGE(OFFSET(data!$A$1,$Q34,2,$R34-1,1))=P34,1,0)</f>
        <v>1</v>
      </c>
    </row>
    <row r="35" spans="1:20" x14ac:dyDescent="0.15">
      <c r="A35" s="1" t="str">
        <f t="shared" ca="1" si="0"/>
        <v>IntelMKL010005001</v>
      </c>
      <c r="B35" s="4" t="str">
        <f t="shared" ca="1" si="1"/>
        <v>IntelMKL</v>
      </c>
      <c r="C35" s="3">
        <f t="shared" ca="1" si="2"/>
        <v>10005</v>
      </c>
      <c r="D35" s="9">
        <f t="shared" ca="1" si="3"/>
        <v>1</v>
      </c>
      <c r="E35" s="4">
        <f ca="1">AVERAGE(OFFSET(data!$A$1,$Q35-1,3,$R35,1))</f>
        <v>80.881720000000001</v>
      </c>
      <c r="F35" s="3">
        <f ca="1">MIN(OFFSET(data!$A$1,$Q35-1,3,$R35,1))</f>
        <v>80.876800000000003</v>
      </c>
      <c r="G35" s="3">
        <f ca="1">MAX(OFFSET(data!$A$1,$Q35-1,3,$R35,1))</f>
        <v>80.890100000000004</v>
      </c>
      <c r="H35" s="5">
        <f t="shared" ca="1" si="4"/>
        <v>1.6443765043573476E-4</v>
      </c>
      <c r="I35" s="4">
        <f ca="1">AVERAGE(OFFSET(data!$A$1,$Q35-1,4,$R35,1))</f>
        <v>24.764600000000002</v>
      </c>
      <c r="J35" s="3">
        <f ca="1">MIN(OFFSET(data!$A$1,$Q35-1,4,$R35,1))</f>
        <v>24.762</v>
      </c>
      <c r="K35" s="9">
        <f ca="1">MAX(OFFSET(data!$A$1,$Q35-1,4,$R35,1))</f>
        <v>24.766100000000002</v>
      </c>
      <c r="L35" s="28"/>
      <c r="N35" t="str">
        <f ca="1">OFFSET(data!$A$1,$Q35-1,0)</f>
        <v>IntelMKL</v>
      </c>
      <c r="O35">
        <f ca="1">OFFSET(data!$A$1,$Q35-1,1)</f>
        <v>10005</v>
      </c>
      <c r="P35">
        <f ca="1">OFFSET(data!$A$1,$Q35-1,2)</f>
        <v>1</v>
      </c>
      <c r="Q35">
        <f t="shared" si="6"/>
        <v>1092</v>
      </c>
      <c r="R35">
        <v>5</v>
      </c>
      <c r="S35">
        <f ca="1">IF(AVERAGE(OFFSET(data!$A$1,$Q35,1,$R35-1,1))=O35,1,0)</f>
        <v>1</v>
      </c>
      <c r="T35">
        <f ca="1">IF(AVERAGE(OFFSET(data!$A$1,$Q35,2,$R35-1,1))=P35,1,0)</f>
        <v>1</v>
      </c>
    </row>
    <row r="36" spans="1:20" x14ac:dyDescent="0.15">
      <c r="A36" s="1" t="str">
        <f t="shared" ca="1" si="0"/>
        <v>IntelMKL010005019</v>
      </c>
      <c r="B36" s="4" t="str">
        <f t="shared" ca="1" si="1"/>
        <v>IntelMKL</v>
      </c>
      <c r="C36" s="3">
        <f t="shared" ca="1" si="2"/>
        <v>10005</v>
      </c>
      <c r="D36" s="9">
        <f t="shared" ca="1" si="3"/>
        <v>19</v>
      </c>
      <c r="E36" s="4">
        <f ca="1">AVERAGE(OFFSET(data!$A$1,$Q36-1,3,$R36,1))</f>
        <v>5.1123840000000014</v>
      </c>
      <c r="F36" s="3">
        <f ca="1">MIN(OFFSET(data!$A$1,$Q36-1,3,$R36,1))</f>
        <v>5.0625</v>
      </c>
      <c r="G36" s="3">
        <f ca="1">MAX(OFFSET(data!$A$1,$Q36-1,3,$R36,1))</f>
        <v>5.15</v>
      </c>
      <c r="H36" s="5">
        <f t="shared" ca="1" si="4"/>
        <v>1.7115302762859819E-2</v>
      </c>
      <c r="I36" s="4">
        <f ca="1">AVERAGE(OFFSET(data!$A$1,$Q36-1,4,$R36,1))</f>
        <v>391.80556799999999</v>
      </c>
      <c r="J36" s="3">
        <f ca="1">MIN(OFFSET(data!$A$1,$Q36-1,4,$R36,1))</f>
        <v>388.93020000000001</v>
      </c>
      <c r="K36" s="9">
        <f ca="1">MAX(OFFSET(data!$A$1,$Q36-1,4,$R36,1))</f>
        <v>395.65230000000003</v>
      </c>
      <c r="L36" s="28"/>
      <c r="N36" t="str">
        <f ca="1">OFFSET(data!$A$1,$Q36-1,0)</f>
        <v>IntelMKL</v>
      </c>
      <c r="O36">
        <f ca="1">OFFSET(data!$A$1,$Q36-1,1)</f>
        <v>10005</v>
      </c>
      <c r="P36">
        <f ca="1">OFFSET(data!$A$1,$Q36-1,2)</f>
        <v>19</v>
      </c>
      <c r="Q36">
        <f t="shared" si="6"/>
        <v>1098</v>
      </c>
      <c r="R36">
        <v>50</v>
      </c>
      <c r="S36">
        <f ca="1">IF(AVERAGE(OFFSET(data!$A$1,$Q36,1,$R36-1,1))=O36,1,0)</f>
        <v>1</v>
      </c>
      <c r="T36">
        <f ca="1">IF(AVERAGE(OFFSET(data!$A$1,$Q36,2,$R36-1,1))=P36,1,0)</f>
        <v>1</v>
      </c>
    </row>
    <row r="37" spans="1:20" x14ac:dyDescent="0.15">
      <c r="A37" s="1" t="str">
        <f t="shared" ca="1" si="0"/>
        <v>IntelMKL010005020</v>
      </c>
      <c r="B37" s="4" t="str">
        <f t="shared" ca="1" si="1"/>
        <v>IntelMKL</v>
      </c>
      <c r="C37" s="3">
        <f t="shared" ca="1" si="2"/>
        <v>10005</v>
      </c>
      <c r="D37" s="9">
        <f t="shared" ca="1" si="3"/>
        <v>20</v>
      </c>
      <c r="E37" s="4">
        <f ca="1">AVERAGE(OFFSET(data!$A$1,$Q37-1,3,$R37,1))</f>
        <v>4.6580099999999991</v>
      </c>
      <c r="F37" s="3">
        <f ca="1">MIN(OFFSET(data!$A$1,$Q37-1,3,$R37,1))</f>
        <v>4.6375000000000002</v>
      </c>
      <c r="G37" s="3">
        <f ca="1">MAX(OFFSET(data!$A$1,$Q37-1,3,$R37,1))</f>
        <v>4.6779000000000002</v>
      </c>
      <c r="H37" s="5">
        <f t="shared" ca="1" si="4"/>
        <v>8.6732317019499738E-3</v>
      </c>
      <c r="I37" s="4">
        <f ca="1">AVERAGE(OFFSET(data!$A$1,$Q37-1,4,$R37,1))</f>
        <v>430.01227599999993</v>
      </c>
      <c r="J37" s="3">
        <f ca="1">MIN(OFFSET(data!$A$1,$Q37-1,4,$R37,1))</f>
        <v>428.17939999999999</v>
      </c>
      <c r="K37" s="9">
        <f ca="1">MAX(OFFSET(data!$A$1,$Q37-1,4,$R37,1))</f>
        <v>431.91109999999998</v>
      </c>
      <c r="L37" s="28"/>
      <c r="N37" t="str">
        <f ca="1">OFFSET(data!$A$1,$Q37-1,0)</f>
        <v>IntelMKL</v>
      </c>
      <c r="O37">
        <f ca="1">OFFSET(data!$A$1,$Q37-1,1)</f>
        <v>10005</v>
      </c>
      <c r="P37">
        <f ca="1">OFFSET(data!$A$1,$Q37-1,2)</f>
        <v>20</v>
      </c>
      <c r="Q37">
        <f t="shared" si="6"/>
        <v>1149</v>
      </c>
      <c r="R37">
        <v>50</v>
      </c>
      <c r="S37">
        <f ca="1">IF(AVERAGE(OFFSET(data!$A$1,$Q37,1,$R37-1,1))=O37,1,0)</f>
        <v>1</v>
      </c>
      <c r="T37">
        <f ca="1">IF(AVERAGE(OFFSET(data!$A$1,$Q37,2,$R37-1,1))=P37,1,0)</f>
        <v>1</v>
      </c>
    </row>
    <row r="38" spans="1:20" x14ac:dyDescent="0.15">
      <c r="A38" s="1" t="str">
        <f t="shared" ca="1" si="0"/>
        <v>IntelMKL010010001</v>
      </c>
      <c r="B38" s="4" t="str">
        <f t="shared" ca="1" si="1"/>
        <v>IntelMKL</v>
      </c>
      <c r="C38" s="3">
        <f t="shared" ca="1" si="2"/>
        <v>10010</v>
      </c>
      <c r="D38" s="9">
        <f t="shared" ca="1" si="3"/>
        <v>1</v>
      </c>
      <c r="E38" s="4">
        <f ca="1">AVERAGE(OFFSET(data!$A$1,$Q38-1,3,$R38,1))</f>
        <v>80.447900000000004</v>
      </c>
      <c r="F38" s="3">
        <f ca="1">MIN(OFFSET(data!$A$1,$Q38-1,3,$R38,1))</f>
        <v>80.434200000000004</v>
      </c>
      <c r="G38" s="3">
        <f ca="1">MAX(OFFSET(data!$A$1,$Q38-1,3,$R38,1))</f>
        <v>80.455699999999993</v>
      </c>
      <c r="H38" s="5">
        <f t="shared" ca="1" si="4"/>
        <v>2.6725371327267672E-4</v>
      </c>
      <c r="I38" s="4">
        <f ca="1">AVERAGE(OFFSET(data!$A$1,$Q38-1,4,$R38,1))</f>
        <v>24.935480000000002</v>
      </c>
      <c r="J38" s="3">
        <f ca="1">MIN(OFFSET(data!$A$1,$Q38-1,4,$R38,1))</f>
        <v>24.9331</v>
      </c>
      <c r="K38" s="9">
        <f ca="1">MAX(OFFSET(data!$A$1,$Q38-1,4,$R38,1))</f>
        <v>24.939699999999998</v>
      </c>
      <c r="L38" s="28"/>
      <c r="N38" t="str">
        <f ca="1">OFFSET(data!$A$1,$Q38-1,0)</f>
        <v>IntelMKL</v>
      </c>
      <c r="O38">
        <f ca="1">OFFSET(data!$A$1,$Q38-1,1)</f>
        <v>10010</v>
      </c>
      <c r="P38">
        <f ca="1">OFFSET(data!$A$1,$Q38-1,2)</f>
        <v>1</v>
      </c>
      <c r="Q38">
        <f t="shared" si="6"/>
        <v>1200</v>
      </c>
      <c r="R38">
        <v>5</v>
      </c>
      <c r="S38">
        <f ca="1">IF(AVERAGE(OFFSET(data!$A$1,$Q38,1,$R38-1,1))=O38,1,0)</f>
        <v>1</v>
      </c>
      <c r="T38">
        <f ca="1">IF(AVERAGE(OFFSET(data!$A$1,$Q38,2,$R38-1,1))=P38,1,0)</f>
        <v>1</v>
      </c>
    </row>
    <row r="39" spans="1:20" x14ac:dyDescent="0.15">
      <c r="A39" s="1" t="str">
        <f t="shared" ca="1" si="0"/>
        <v>IntelMKL010010019</v>
      </c>
      <c r="B39" s="4" t="str">
        <f t="shared" ca="1" si="1"/>
        <v>IntelMKL</v>
      </c>
      <c r="C39" s="3">
        <f t="shared" ca="1" si="2"/>
        <v>10010</v>
      </c>
      <c r="D39" s="9">
        <f t="shared" ca="1" si="3"/>
        <v>19</v>
      </c>
      <c r="E39" s="4">
        <f ca="1">AVERAGE(OFFSET(data!$A$1,$Q39-1,3,$R39,1))</f>
        <v>4.9805319999999993</v>
      </c>
      <c r="F39" s="3">
        <f ca="1">MIN(OFFSET(data!$A$1,$Q39-1,3,$R39,1))</f>
        <v>4.9138000000000002</v>
      </c>
      <c r="G39" s="3">
        <f ca="1">MAX(OFFSET(data!$A$1,$Q39-1,3,$R39,1))</f>
        <v>5.0102000000000002</v>
      </c>
      <c r="H39" s="5">
        <f t="shared" ca="1" si="4"/>
        <v>1.9355362037629727E-2</v>
      </c>
      <c r="I39" s="4">
        <f ca="1">AVERAGE(OFFSET(data!$A$1,$Q39-1,4,$R39,1))</f>
        <v>402.78657600000008</v>
      </c>
      <c r="J39" s="3">
        <f ca="1">MIN(OFFSET(data!$A$1,$Q39-1,4,$R39,1))</f>
        <v>400.38479999999998</v>
      </c>
      <c r="K39" s="9">
        <f ca="1">MAX(OFFSET(data!$A$1,$Q39-1,4,$R39,1))</f>
        <v>408.2364</v>
      </c>
      <c r="L39" s="28"/>
      <c r="N39" t="str">
        <f ca="1">OFFSET(data!$A$1,$Q39-1,0)</f>
        <v>IntelMKL</v>
      </c>
      <c r="O39">
        <f ca="1">OFFSET(data!$A$1,$Q39-1,1)</f>
        <v>10010</v>
      </c>
      <c r="P39">
        <f ca="1">OFFSET(data!$A$1,$Q39-1,2)</f>
        <v>19</v>
      </c>
      <c r="Q39">
        <f t="shared" si="6"/>
        <v>1206</v>
      </c>
      <c r="R39">
        <v>50</v>
      </c>
      <c r="S39">
        <f ca="1">IF(AVERAGE(OFFSET(data!$A$1,$Q39,1,$R39-1,1))=O39,1,0)</f>
        <v>1</v>
      </c>
      <c r="T39">
        <f ca="1">IF(AVERAGE(OFFSET(data!$A$1,$Q39,2,$R39-1,1))=P39,1,0)</f>
        <v>1</v>
      </c>
    </row>
    <row r="40" spans="1:20" ht="14" thickBot="1" x14ac:dyDescent="0.2">
      <c r="A40" s="1" t="str">
        <f t="shared" ca="1" si="0"/>
        <v>IntelMKL010010020</v>
      </c>
      <c r="B40" s="6" t="str">
        <f t="shared" ca="1" si="1"/>
        <v>IntelMKL</v>
      </c>
      <c r="C40" s="7">
        <f t="shared" ca="1" si="2"/>
        <v>10010</v>
      </c>
      <c r="D40" s="10">
        <f t="shared" ca="1" si="3"/>
        <v>20</v>
      </c>
      <c r="E40" s="6">
        <f ca="1">AVERAGE(OFFSET(data!$A$1,$Q40-1,3,$R40,1))</f>
        <v>4.6302840000000005</v>
      </c>
      <c r="F40" s="7">
        <f ca="1">MIN(OFFSET(data!$A$1,$Q40-1,3,$R40,1))</f>
        <v>4.6128</v>
      </c>
      <c r="G40" s="7">
        <f ca="1">MAX(OFFSET(data!$A$1,$Q40-1,3,$R40,1))</f>
        <v>4.6490999999999998</v>
      </c>
      <c r="H40" s="8">
        <f t="shared" ca="1" si="4"/>
        <v>7.8396919065871068E-3</v>
      </c>
      <c r="I40" s="6">
        <f ca="1">AVERAGE(OFFSET(data!$A$1,$Q40-1,4,$R40,1))</f>
        <v>433.23657600000007</v>
      </c>
      <c r="J40" s="7">
        <f ca="1">MIN(OFFSET(data!$A$1,$Q40-1,4,$R40,1))</f>
        <v>431.4837</v>
      </c>
      <c r="K40" s="10">
        <f ca="1">MAX(OFFSET(data!$A$1,$Q40-1,4,$R40,1))</f>
        <v>434.88040000000001</v>
      </c>
      <c r="L40" s="28"/>
      <c r="N40" t="str">
        <f ca="1">OFFSET(data!$A$1,$Q40-1,0)</f>
        <v>IntelMKL</v>
      </c>
      <c r="O40">
        <f ca="1">OFFSET(data!$A$1,$Q40-1,1)</f>
        <v>10010</v>
      </c>
      <c r="P40">
        <f ca="1">OFFSET(data!$A$1,$Q40-1,2)</f>
        <v>20</v>
      </c>
      <c r="Q40">
        <f t="shared" si="6"/>
        <v>1257</v>
      </c>
      <c r="R40">
        <v>50</v>
      </c>
      <c r="S40">
        <f ca="1">IF(AVERAGE(OFFSET(data!$A$1,$Q40,1,$R40-1,1))=O40,1,0)</f>
        <v>1</v>
      </c>
      <c r="T40">
        <f ca="1">IF(AVERAGE(OFFSET(data!$A$1,$Q40,2,$R40-1,1))=P40,1,0)</f>
        <v>1</v>
      </c>
    </row>
    <row r="46" spans="1:20" ht="14" thickBot="1" x14ac:dyDescent="0.2"/>
    <row r="47" spans="1:20" ht="14" thickBot="1" x14ac:dyDescent="0.2">
      <c r="D47" s="70" t="s">
        <v>28</v>
      </c>
      <c r="E47" s="71"/>
      <c r="F47" s="72"/>
      <c r="G47" s="73" t="s">
        <v>9</v>
      </c>
      <c r="H47" s="71"/>
      <c r="I47" s="72"/>
    </row>
    <row r="48" spans="1:20" ht="14" thickBot="1" x14ac:dyDescent="0.2">
      <c r="B48" s="46" t="s">
        <v>30</v>
      </c>
      <c r="C48" s="47" t="s">
        <v>31</v>
      </c>
      <c r="D48" s="56">
        <f ca="1">D5</f>
        <v>1</v>
      </c>
      <c r="E48" s="57">
        <f ca="1">D6</f>
        <v>19</v>
      </c>
      <c r="F48" s="58">
        <f ca="1">D7</f>
        <v>20</v>
      </c>
      <c r="G48" s="59">
        <f ca="1">D5</f>
        <v>1</v>
      </c>
      <c r="H48" s="57">
        <f ca="1">D6</f>
        <v>19</v>
      </c>
      <c r="I48" s="58">
        <f ca="1">D7</f>
        <v>20</v>
      </c>
    </row>
    <row r="49" spans="2:16" x14ac:dyDescent="0.15">
      <c r="B49" s="11" t="str">
        <f ca="1">B5</f>
        <v>OpenBLAS</v>
      </c>
      <c r="C49" s="39">
        <f ca="1">C5</f>
        <v>2500</v>
      </c>
      <c r="D49" s="41">
        <f t="shared" ref="D49:D60" ca="1" si="7">VLOOKUP(N49,datatable,8,FALSE)</f>
        <v>1.4234200037958056E-3</v>
      </c>
      <c r="E49" s="32">
        <f t="shared" ref="E49:E60" ca="1" si="8">VLOOKUP(O49,datatable,8,FALSE)</f>
        <v>0.10719941527591656</v>
      </c>
      <c r="F49" s="24">
        <f t="shared" ref="F49:F60" ca="1" si="9">VLOOKUP(P49,datatable,8,FALSE)</f>
        <v>0.74356755055472479</v>
      </c>
      <c r="G49" s="48">
        <f t="shared" ref="G49:G60" ca="1" si="10">VLOOKUP(N49,datatable,9,FALSE)</f>
        <v>24.712199999999999</v>
      </c>
      <c r="H49" s="33">
        <f t="shared" ref="H49:H60" ca="1" si="11">VLOOKUP(O49,datatable,9,FALSE)</f>
        <v>380.78685400000001</v>
      </c>
      <c r="I49" s="34">
        <f t="shared" ref="I49:I60" ca="1" si="12">VLOOKUP(P49,datatable,9,FALSE)</f>
        <v>332.66705800000005</v>
      </c>
      <c r="N49" t="str">
        <f t="shared" ref="N49:N60" ca="1" si="13">$B49 &amp; TEXT($C49,"000000") &amp; TEXT(D$48,"000")</f>
        <v>OpenBLAS002500001</v>
      </c>
      <c r="O49" s="1" t="str">
        <f t="shared" ref="O49:O60" ca="1" si="14">$B49 &amp; TEXT($C49,"000000") &amp; TEXT(E$48,"000")</f>
        <v>OpenBLAS002500019</v>
      </c>
      <c r="P49" s="1" t="str">
        <f t="shared" ref="P49:P60" ca="1" si="15">$B49 &amp; TEXT($C49,"000000") &amp; TEXT(F$48,"000")</f>
        <v>OpenBLAS002500020</v>
      </c>
    </row>
    <row r="50" spans="2:16" x14ac:dyDescent="0.15">
      <c r="B50" s="4" t="str">
        <f ca="1">B8</f>
        <v>OpenBLAS</v>
      </c>
      <c r="C50" s="40">
        <f ca="1">C8</f>
        <v>2505</v>
      </c>
      <c r="D50" s="42">
        <f t="shared" ca="1" si="7"/>
        <v>7.0241161320543425E-4</v>
      </c>
      <c r="E50" s="30">
        <f t="shared" ca="1" si="8"/>
        <v>4.4311377245509091E-2</v>
      </c>
      <c r="F50" s="5">
        <f t="shared" ca="1" si="9"/>
        <v>6.9524609088047001E-2</v>
      </c>
      <c r="G50" s="49">
        <f t="shared" ca="1" si="10"/>
        <v>24.536079999999998</v>
      </c>
      <c r="H50" s="31">
        <f t="shared" ca="1" si="11"/>
        <v>376.55000399999994</v>
      </c>
      <c r="I50" s="35">
        <f t="shared" ca="1" si="12"/>
        <v>206.26613799999993</v>
      </c>
      <c r="N50" s="1" t="str">
        <f t="shared" ca="1" si="13"/>
        <v>OpenBLAS002505001</v>
      </c>
      <c r="O50" s="1" t="str">
        <f t="shared" ca="1" si="14"/>
        <v>OpenBLAS002505019</v>
      </c>
      <c r="P50" s="1" t="str">
        <f t="shared" ca="1" si="15"/>
        <v>OpenBLAS002505020</v>
      </c>
    </row>
    <row r="51" spans="2:16" x14ac:dyDescent="0.15">
      <c r="B51" s="4" t="str">
        <f ca="1">B11</f>
        <v>OpenBLAS</v>
      </c>
      <c r="C51" s="40">
        <f ca="1">C11</f>
        <v>2510</v>
      </c>
      <c r="D51" s="42">
        <f t="shared" ca="1" si="7"/>
        <v>2.8154033847405508E-3</v>
      </c>
      <c r="E51" s="30">
        <f t="shared" ca="1" si="8"/>
        <v>0.13200211203379247</v>
      </c>
      <c r="F51" s="5">
        <f t="shared" ca="1" si="9"/>
        <v>0.60123655128766829</v>
      </c>
      <c r="G51" s="49">
        <f t="shared" ca="1" si="10"/>
        <v>24.733640000000001</v>
      </c>
      <c r="H51" s="31">
        <f t="shared" ca="1" si="11"/>
        <v>379.61814999999996</v>
      </c>
      <c r="I51" s="35">
        <f t="shared" ca="1" si="12"/>
        <v>279.95295800000002</v>
      </c>
      <c r="N51" s="1" t="str">
        <f t="shared" ca="1" si="13"/>
        <v>OpenBLAS002510001</v>
      </c>
      <c r="O51" s="1" t="str">
        <f t="shared" ca="1" si="14"/>
        <v>OpenBLAS002510019</v>
      </c>
      <c r="P51" s="1" t="str">
        <f t="shared" ca="1" si="15"/>
        <v>OpenBLAS002510020</v>
      </c>
    </row>
    <row r="52" spans="2:16" x14ac:dyDescent="0.15">
      <c r="B52" s="4" t="str">
        <f ca="1">B14</f>
        <v>OpenBLAS</v>
      </c>
      <c r="C52" s="40">
        <f ca="1">C14</f>
        <v>10000</v>
      </c>
      <c r="D52" s="42">
        <f t="shared" ca="1" si="7"/>
        <v>5.3642845931784681E-4</v>
      </c>
      <c r="E52" s="30">
        <f t="shared" ca="1" si="8"/>
        <v>4.8131049888309754E-2</v>
      </c>
      <c r="F52" s="5">
        <f t="shared" ca="1" si="9"/>
        <v>0.46144211291934945</v>
      </c>
      <c r="G52" s="49">
        <f t="shared" ca="1" si="10"/>
        <v>24.83466</v>
      </c>
      <c r="H52" s="31">
        <f t="shared" ca="1" si="11"/>
        <v>397.17125199999987</v>
      </c>
      <c r="I52" s="35">
        <f t="shared" ca="1" si="12"/>
        <v>388.65482800000012</v>
      </c>
      <c r="N52" s="1" t="str">
        <f t="shared" ca="1" si="13"/>
        <v>OpenBLAS010000001</v>
      </c>
      <c r="O52" s="1" t="str">
        <f t="shared" ca="1" si="14"/>
        <v>OpenBLAS010000019</v>
      </c>
      <c r="P52" s="1" t="str">
        <f t="shared" ca="1" si="15"/>
        <v>OpenBLAS010000020</v>
      </c>
    </row>
    <row r="53" spans="2:16" x14ac:dyDescent="0.15">
      <c r="B53" s="4" t="str">
        <f ca="1">B17</f>
        <v>OpenBLAS</v>
      </c>
      <c r="C53" s="40">
        <f ca="1">C17</f>
        <v>10005</v>
      </c>
      <c r="D53" s="42">
        <f t="shared" ca="1" si="7"/>
        <v>1.5544321424975027E-4</v>
      </c>
      <c r="E53" s="30">
        <f t="shared" ca="1" si="8"/>
        <v>8.2447191387206076E-2</v>
      </c>
      <c r="F53" s="5">
        <f t="shared" ca="1" si="9"/>
        <v>4.0457670243015829E-3</v>
      </c>
      <c r="G53" s="49">
        <f t="shared" ca="1" si="10"/>
        <v>24.710540000000002</v>
      </c>
      <c r="H53" s="31">
        <f t="shared" ca="1" si="11"/>
        <v>389.77719599999995</v>
      </c>
      <c r="I53" s="35">
        <f t="shared" ca="1" si="12"/>
        <v>409.27680400000003</v>
      </c>
      <c r="N53" s="1" t="str">
        <f t="shared" ca="1" si="13"/>
        <v>OpenBLAS010005001</v>
      </c>
      <c r="O53" s="1" t="str">
        <f t="shared" ca="1" si="14"/>
        <v>OpenBLAS010005019</v>
      </c>
      <c r="P53" s="1" t="str">
        <f t="shared" ca="1" si="15"/>
        <v>OpenBLAS010005020</v>
      </c>
    </row>
    <row r="54" spans="2:16" ht="14" thickBot="1" x14ac:dyDescent="0.2">
      <c r="B54" s="6" t="str">
        <f ca="1">B20</f>
        <v>OpenBLAS</v>
      </c>
      <c r="C54" s="44">
        <f ca="1">C20</f>
        <v>10010</v>
      </c>
      <c r="D54" s="43">
        <f t="shared" ca="1" si="7"/>
        <v>1.6414831646001791E-4</v>
      </c>
      <c r="E54" s="36">
        <f t="shared" ca="1" si="8"/>
        <v>7.5114715678774202E-2</v>
      </c>
      <c r="F54" s="8">
        <f t="shared" ca="1" si="9"/>
        <v>2.531717480088918E-3</v>
      </c>
      <c r="G54" s="50">
        <f t="shared" ca="1" si="10"/>
        <v>24.945659999999997</v>
      </c>
      <c r="H54" s="37">
        <f t="shared" ca="1" si="11"/>
        <v>392.387384</v>
      </c>
      <c r="I54" s="38">
        <f t="shared" ca="1" si="12"/>
        <v>412.8972599999999</v>
      </c>
      <c r="N54" s="1" t="str">
        <f t="shared" ca="1" si="13"/>
        <v>OpenBLAS010010001</v>
      </c>
      <c r="O54" s="1" t="str">
        <f t="shared" ca="1" si="14"/>
        <v>OpenBLAS010010019</v>
      </c>
      <c r="P54" s="1" t="str">
        <f t="shared" ca="1" si="15"/>
        <v>OpenBLAS010010020</v>
      </c>
    </row>
    <row r="55" spans="2:16" x14ac:dyDescent="0.15">
      <c r="B55" s="18" t="str">
        <f ca="1">B23</f>
        <v>IntelMKL</v>
      </c>
      <c r="C55" s="45">
        <f ca="1">C23</f>
        <v>2500</v>
      </c>
      <c r="D55" s="51">
        <f t="shared" ca="1" si="7"/>
        <v>7.8281563126261268E-4</v>
      </c>
      <c r="E55" s="52">
        <f t="shared" ca="1" si="8"/>
        <v>0.12746021174471214</v>
      </c>
      <c r="F55" s="21">
        <f t="shared" ca="1" si="9"/>
        <v>0.17851947845864952</v>
      </c>
      <c r="G55" s="53">
        <f t="shared" ca="1" si="10"/>
        <v>24.463100000000001</v>
      </c>
      <c r="H55" s="54">
        <f t="shared" ca="1" si="11"/>
        <v>358.94894199999987</v>
      </c>
      <c r="I55" s="55">
        <f t="shared" ca="1" si="12"/>
        <v>413.44197200000002</v>
      </c>
      <c r="N55" s="1" t="str">
        <f t="shared" ca="1" si="13"/>
        <v>IntelMKL002500001</v>
      </c>
      <c r="O55" s="1" t="str">
        <f t="shared" ca="1" si="14"/>
        <v>IntelMKL002500019</v>
      </c>
      <c r="P55" s="1" t="str">
        <f t="shared" ca="1" si="15"/>
        <v>IntelMKL002500020</v>
      </c>
    </row>
    <row r="56" spans="2:16" x14ac:dyDescent="0.15">
      <c r="B56" s="4" t="str">
        <f ca="1">B26</f>
        <v>IntelMKL</v>
      </c>
      <c r="C56" s="40">
        <f ca="1">C26</f>
        <v>2505</v>
      </c>
      <c r="D56" s="42">
        <f t="shared" ca="1" si="7"/>
        <v>1.1660447761192745E-3</v>
      </c>
      <c r="E56" s="30">
        <f t="shared" ca="1" si="8"/>
        <v>1.4672023836395596E-2</v>
      </c>
      <c r="F56" s="5">
        <f t="shared" ca="1" si="9"/>
        <v>0.44988338810558692</v>
      </c>
      <c r="G56" s="49">
        <f t="shared" ca="1" si="10"/>
        <v>24.438400000000001</v>
      </c>
      <c r="H56" s="31">
        <f t="shared" ca="1" si="11"/>
        <v>354.81879800000002</v>
      </c>
      <c r="I56" s="35">
        <f t="shared" ca="1" si="12"/>
        <v>209.88473999999991</v>
      </c>
      <c r="N56" s="1" t="str">
        <f t="shared" ca="1" si="13"/>
        <v>IntelMKL002505001</v>
      </c>
      <c r="O56" s="1" t="str">
        <f t="shared" ca="1" si="14"/>
        <v>IntelMKL002505019</v>
      </c>
      <c r="P56" s="1" t="str">
        <f t="shared" ca="1" si="15"/>
        <v>IntelMKL002505020</v>
      </c>
    </row>
    <row r="57" spans="2:16" x14ac:dyDescent="0.15">
      <c r="B57" s="4" t="str">
        <f ca="1">B29</f>
        <v>IntelMKL</v>
      </c>
      <c r="C57" s="40">
        <f ca="1">C29</f>
        <v>2510</v>
      </c>
      <c r="D57" s="42">
        <f t="shared" ca="1" si="7"/>
        <v>8.5720519933925137E-4</v>
      </c>
      <c r="E57" s="30">
        <f t="shared" ca="1" si="8"/>
        <v>8.0155731134776854E-3</v>
      </c>
      <c r="F57" s="5">
        <f t="shared" ca="1" si="9"/>
        <v>0.18801768382539757</v>
      </c>
      <c r="G57" s="49">
        <f t="shared" ca="1" si="10"/>
        <v>24.64612</v>
      </c>
      <c r="H57" s="31">
        <f t="shared" ca="1" si="11"/>
        <v>362.17415599999987</v>
      </c>
      <c r="I57" s="35">
        <f t="shared" ca="1" si="12"/>
        <v>402.06327799999997</v>
      </c>
      <c r="N57" s="1" t="str">
        <f t="shared" ca="1" si="13"/>
        <v>IntelMKL002510001</v>
      </c>
      <c r="O57" s="1" t="str">
        <f t="shared" ca="1" si="14"/>
        <v>IntelMKL002510019</v>
      </c>
      <c r="P57" s="1" t="str">
        <f t="shared" ca="1" si="15"/>
        <v>IntelMKL002510020</v>
      </c>
    </row>
    <row r="58" spans="2:16" x14ac:dyDescent="0.15">
      <c r="B58" s="4" t="str">
        <f ca="1">B32</f>
        <v>IntelMKL</v>
      </c>
      <c r="C58" s="40">
        <f ca="1">C32</f>
        <v>10000</v>
      </c>
      <c r="D58" s="42">
        <f t="shared" ca="1" si="7"/>
        <v>5.9760357240215935E-4</v>
      </c>
      <c r="E58" s="30">
        <f t="shared" ca="1" si="8"/>
        <v>1.84776763611295E-2</v>
      </c>
      <c r="F58" s="5">
        <f t="shared" ca="1" si="9"/>
        <v>7.0699528727287625E-3</v>
      </c>
      <c r="G58" s="49">
        <f t="shared" ca="1" si="10"/>
        <v>24.848380000000002</v>
      </c>
      <c r="H58" s="31">
        <f t="shared" ca="1" si="11"/>
        <v>394.83606800000007</v>
      </c>
      <c r="I58" s="35">
        <f t="shared" ca="1" si="12"/>
        <v>431.09563599999996</v>
      </c>
      <c r="N58" s="1" t="str">
        <f t="shared" ca="1" si="13"/>
        <v>IntelMKL010000001</v>
      </c>
      <c r="O58" s="1" t="str">
        <f t="shared" ca="1" si="14"/>
        <v>IntelMKL010000019</v>
      </c>
      <c r="P58" s="1" t="str">
        <f t="shared" ca="1" si="15"/>
        <v>IntelMKL010000020</v>
      </c>
    </row>
    <row r="59" spans="2:16" x14ac:dyDescent="0.15">
      <c r="B59" s="4" t="str">
        <f ca="1">B35</f>
        <v>IntelMKL</v>
      </c>
      <c r="C59" s="40">
        <f ca="1">C35</f>
        <v>10005</v>
      </c>
      <c r="D59" s="42">
        <f t="shared" ca="1" si="7"/>
        <v>1.6443765043573476E-4</v>
      </c>
      <c r="E59" s="30">
        <f t="shared" ca="1" si="8"/>
        <v>1.7115302762859819E-2</v>
      </c>
      <c r="F59" s="5">
        <f t="shared" ca="1" si="9"/>
        <v>8.6732317019499738E-3</v>
      </c>
      <c r="G59" s="49">
        <f t="shared" ca="1" si="10"/>
        <v>24.764600000000002</v>
      </c>
      <c r="H59" s="31">
        <f t="shared" ca="1" si="11"/>
        <v>391.80556799999999</v>
      </c>
      <c r="I59" s="35">
        <f t="shared" ca="1" si="12"/>
        <v>430.01227599999993</v>
      </c>
      <c r="N59" s="1" t="str">
        <f t="shared" ca="1" si="13"/>
        <v>IntelMKL010005001</v>
      </c>
      <c r="O59" s="1" t="str">
        <f t="shared" ca="1" si="14"/>
        <v>IntelMKL010005019</v>
      </c>
      <c r="P59" s="1" t="str">
        <f t="shared" ca="1" si="15"/>
        <v>IntelMKL010005020</v>
      </c>
    </row>
    <row r="60" spans="2:16" ht="14" thickBot="1" x14ac:dyDescent="0.2">
      <c r="B60" s="6" t="str">
        <f ca="1">B38</f>
        <v>IntelMKL</v>
      </c>
      <c r="C60" s="44">
        <f ca="1">C38</f>
        <v>10010</v>
      </c>
      <c r="D60" s="43">
        <f t="shared" ca="1" si="7"/>
        <v>2.6725371327267672E-4</v>
      </c>
      <c r="E60" s="36">
        <f t="shared" ca="1" si="8"/>
        <v>1.9355362037629727E-2</v>
      </c>
      <c r="F60" s="8">
        <f t="shared" ca="1" si="9"/>
        <v>7.8396919065871068E-3</v>
      </c>
      <c r="G60" s="50">
        <f t="shared" ca="1" si="10"/>
        <v>24.935480000000002</v>
      </c>
      <c r="H60" s="37">
        <f t="shared" ca="1" si="11"/>
        <v>402.78657600000008</v>
      </c>
      <c r="I60" s="38">
        <f t="shared" ca="1" si="12"/>
        <v>433.23657600000007</v>
      </c>
      <c r="N60" s="1" t="str">
        <f t="shared" ca="1" si="13"/>
        <v>IntelMKL010010001</v>
      </c>
      <c r="O60" s="1" t="str">
        <f t="shared" ca="1" si="14"/>
        <v>IntelMKL010010019</v>
      </c>
      <c r="P60" s="1" t="str">
        <f t="shared" ca="1" si="15"/>
        <v>IntelMKL010010020</v>
      </c>
    </row>
    <row r="104" spans="2:4" x14ac:dyDescent="0.15">
      <c r="B104" s="25" t="s">
        <v>37</v>
      </c>
      <c r="C104" s="25"/>
      <c r="D104" s="25">
        <v>2.8</v>
      </c>
    </row>
    <row r="105" spans="2:4" x14ac:dyDescent="0.15">
      <c r="B105" s="25" t="s">
        <v>34</v>
      </c>
      <c r="C105" s="25"/>
      <c r="D105" s="25">
        <v>8</v>
      </c>
    </row>
    <row r="106" spans="2:4" x14ac:dyDescent="0.15">
      <c r="B106" s="25" t="s">
        <v>32</v>
      </c>
      <c r="C106" s="25"/>
      <c r="D106" s="25">
        <v>10</v>
      </c>
    </row>
    <row r="107" spans="2:4" x14ac:dyDescent="0.15">
      <c r="B107" s="25" t="s">
        <v>33</v>
      </c>
      <c r="C107" s="25"/>
      <c r="D107" s="25">
        <v>2</v>
      </c>
    </row>
    <row r="109" spans="2:4" x14ac:dyDescent="0.15">
      <c r="B109" t="s">
        <v>35</v>
      </c>
      <c r="D109">
        <f>D104*D105</f>
        <v>22.4</v>
      </c>
    </row>
    <row r="110" spans="2:4" x14ac:dyDescent="0.15">
      <c r="B110" s="25" t="s">
        <v>36</v>
      </c>
      <c r="C110" s="25"/>
      <c r="D110" s="25">
        <f>PRODUCT(D104:D107)</f>
        <v>448</v>
      </c>
    </row>
    <row r="113" spans="2:16" x14ac:dyDescent="0.15">
      <c r="B113" t="s">
        <v>38</v>
      </c>
    </row>
    <row r="114" spans="2:16" ht="14" thickBot="1" x14ac:dyDescent="0.2"/>
    <row r="115" spans="2:16" ht="14" thickBot="1" x14ac:dyDescent="0.2">
      <c r="B115" s="61"/>
      <c r="C115" s="61"/>
      <c r="D115" s="70" t="s">
        <v>28</v>
      </c>
      <c r="E115" s="71"/>
      <c r="F115" s="72"/>
      <c r="G115" s="73" t="s">
        <v>9</v>
      </c>
      <c r="H115" s="71"/>
      <c r="I115" s="72"/>
      <c r="J115" s="70" t="s">
        <v>39</v>
      </c>
      <c r="K115" s="71"/>
      <c r="L115" s="72"/>
    </row>
    <row r="116" spans="2:16" ht="14" thickBot="1" x14ac:dyDescent="0.2">
      <c r="B116" s="12" t="s">
        <v>30</v>
      </c>
      <c r="C116" s="14" t="s">
        <v>31</v>
      </c>
      <c r="D116" s="56">
        <f ca="1">D$5</f>
        <v>1</v>
      </c>
      <c r="E116" s="57">
        <f ca="1">D$6</f>
        <v>19</v>
      </c>
      <c r="F116" s="58">
        <f ca="1">D$7</f>
        <v>20</v>
      </c>
      <c r="G116" s="59">
        <f t="shared" ref="G116:L116" ca="1" si="16">D116</f>
        <v>1</v>
      </c>
      <c r="H116" s="57">
        <f t="shared" ca="1" si="16"/>
        <v>19</v>
      </c>
      <c r="I116" s="58">
        <f t="shared" ca="1" si="16"/>
        <v>20</v>
      </c>
      <c r="J116" s="56">
        <f t="shared" ca="1" si="16"/>
        <v>1</v>
      </c>
      <c r="K116" s="57">
        <f t="shared" ca="1" si="16"/>
        <v>19</v>
      </c>
      <c r="L116" s="58">
        <f t="shared" ca="1" si="16"/>
        <v>20</v>
      </c>
    </row>
    <row r="117" spans="2:16" x14ac:dyDescent="0.15">
      <c r="B117" s="11" t="str">
        <f ca="1">B$5</f>
        <v>OpenBLAS</v>
      </c>
      <c r="C117" s="23">
        <f ca="1">C$5</f>
        <v>2500</v>
      </c>
      <c r="D117" s="62">
        <f t="shared" ref="D117:D128" ca="1" si="17">VLOOKUP(N117,datatable,8,FALSE)</f>
        <v>1.4234200037958056E-3</v>
      </c>
      <c r="E117" s="32">
        <f t="shared" ref="E117:E128" ca="1" si="18">VLOOKUP(O117,datatable,8,FALSE)</f>
        <v>0.10719941527591656</v>
      </c>
      <c r="F117" s="24">
        <f t="shared" ref="F117:F128" ca="1" si="19">VLOOKUP(P117,datatable,8,FALSE)</f>
        <v>0.74356755055472479</v>
      </c>
      <c r="G117" s="48">
        <f t="shared" ref="G117:G128" ca="1" si="20">VLOOKUP(N117,datatable,9,FALSE)</f>
        <v>24.712199999999999</v>
      </c>
      <c r="H117" s="33">
        <f t="shared" ref="H117:H128" ca="1" si="21">VLOOKUP(O117,datatable,9,FALSE)</f>
        <v>380.78685400000001</v>
      </c>
      <c r="I117" s="34">
        <f t="shared" ref="I117:I128" ca="1" si="22">VLOOKUP(P117,datatable,9,FALSE)</f>
        <v>332.66705800000005</v>
      </c>
      <c r="J117" s="41">
        <f t="shared" ref="J117:J128" ca="1" si="23">G117/(J$116*$D$109)</f>
        <v>1.1032232142857143</v>
      </c>
      <c r="K117" s="32">
        <f t="shared" ref="K117:K128" ca="1" si="24">H117/(K$116*$D$109)</f>
        <v>0.89470595394736852</v>
      </c>
      <c r="L117" s="24">
        <f t="shared" ref="L117:L128" ca="1" si="25">I117/(L$116*$D$109)</f>
        <v>0.74256039732142864</v>
      </c>
      <c r="N117" s="60" t="str">
        <f t="shared" ref="N117:N128" ca="1" si="26">$B117 &amp; TEXT($C117,"000000") &amp; TEXT(G$116,"000")</f>
        <v>OpenBLAS002500001</v>
      </c>
      <c r="O117" s="60" t="str">
        <f t="shared" ref="O117:O128" ca="1" si="27">$B117 &amp; TEXT($C117,"000000") &amp; TEXT(H$116,"000")</f>
        <v>OpenBLAS002500019</v>
      </c>
      <c r="P117" s="60" t="str">
        <f t="shared" ref="P117:P128" ca="1" si="28">$B117 &amp; TEXT($C117,"000000") &amp; TEXT(I$116,"000")</f>
        <v>OpenBLAS002500020</v>
      </c>
    </row>
    <row r="118" spans="2:16" x14ac:dyDescent="0.15">
      <c r="B118" s="4" t="str">
        <f ca="1">B$8</f>
        <v>OpenBLAS</v>
      </c>
      <c r="C118" s="9">
        <f ca="1">C$8</f>
        <v>2505</v>
      </c>
      <c r="D118" s="63">
        <f t="shared" ca="1" si="17"/>
        <v>7.0241161320543425E-4</v>
      </c>
      <c r="E118" s="30">
        <f t="shared" ca="1" si="18"/>
        <v>4.4311377245509091E-2</v>
      </c>
      <c r="F118" s="5">
        <f t="shared" ca="1" si="19"/>
        <v>6.9524609088047001E-2</v>
      </c>
      <c r="G118" s="49">
        <f t="shared" ca="1" si="20"/>
        <v>24.536079999999998</v>
      </c>
      <c r="H118" s="31">
        <f t="shared" ca="1" si="21"/>
        <v>376.55000399999994</v>
      </c>
      <c r="I118" s="35">
        <f t="shared" ca="1" si="22"/>
        <v>206.26613799999993</v>
      </c>
      <c r="J118" s="42">
        <f t="shared" ca="1" si="23"/>
        <v>1.0953607142857142</v>
      </c>
      <c r="K118" s="30">
        <f t="shared" ca="1" si="24"/>
        <v>0.88475094924812026</v>
      </c>
      <c r="L118" s="5">
        <f t="shared" ca="1" si="25"/>
        <v>0.46041548660714271</v>
      </c>
      <c r="N118" s="60" t="str">
        <f t="shared" ca="1" si="26"/>
        <v>OpenBLAS002505001</v>
      </c>
      <c r="O118" s="60" t="str">
        <f t="shared" ca="1" si="27"/>
        <v>OpenBLAS002505019</v>
      </c>
      <c r="P118" s="60" t="str">
        <f t="shared" ca="1" si="28"/>
        <v>OpenBLAS002505020</v>
      </c>
    </row>
    <row r="119" spans="2:16" x14ac:dyDescent="0.15">
      <c r="B119" s="4" t="str">
        <f ca="1">B$11</f>
        <v>OpenBLAS</v>
      </c>
      <c r="C119" s="9">
        <f ca="1">C$11</f>
        <v>2510</v>
      </c>
      <c r="D119" s="63">
        <f t="shared" ca="1" si="17"/>
        <v>2.8154033847405508E-3</v>
      </c>
      <c r="E119" s="30">
        <f t="shared" ca="1" si="18"/>
        <v>0.13200211203379247</v>
      </c>
      <c r="F119" s="5">
        <f t="shared" ca="1" si="19"/>
        <v>0.60123655128766829</v>
      </c>
      <c r="G119" s="49">
        <f t="shared" ca="1" si="20"/>
        <v>24.733640000000001</v>
      </c>
      <c r="H119" s="31">
        <f t="shared" ca="1" si="21"/>
        <v>379.61814999999996</v>
      </c>
      <c r="I119" s="35">
        <f t="shared" ca="1" si="22"/>
        <v>279.95295800000002</v>
      </c>
      <c r="J119" s="42">
        <f t="shared" ca="1" si="23"/>
        <v>1.1041803571428572</v>
      </c>
      <c r="K119" s="30">
        <f t="shared" ca="1" si="24"/>
        <v>0.89195993890977443</v>
      </c>
      <c r="L119" s="5">
        <f t="shared" ca="1" si="25"/>
        <v>0.62489499553571437</v>
      </c>
      <c r="N119" s="60" t="str">
        <f t="shared" ca="1" si="26"/>
        <v>OpenBLAS002510001</v>
      </c>
      <c r="O119" s="60" t="str">
        <f t="shared" ca="1" si="27"/>
        <v>OpenBLAS002510019</v>
      </c>
      <c r="P119" s="60" t="str">
        <f t="shared" ca="1" si="28"/>
        <v>OpenBLAS002510020</v>
      </c>
    </row>
    <row r="120" spans="2:16" x14ac:dyDescent="0.15">
      <c r="B120" s="4" t="str">
        <f ca="1">B$14</f>
        <v>OpenBLAS</v>
      </c>
      <c r="C120" s="9">
        <f ca="1">C$14</f>
        <v>10000</v>
      </c>
      <c r="D120" s="63">
        <f t="shared" ca="1" si="17"/>
        <v>5.3642845931784681E-4</v>
      </c>
      <c r="E120" s="30">
        <f t="shared" ca="1" si="18"/>
        <v>4.8131049888309754E-2</v>
      </c>
      <c r="F120" s="5">
        <f t="shared" ca="1" si="19"/>
        <v>0.46144211291934945</v>
      </c>
      <c r="G120" s="49">
        <f t="shared" ca="1" si="20"/>
        <v>24.83466</v>
      </c>
      <c r="H120" s="31">
        <f t="shared" ca="1" si="21"/>
        <v>397.17125199999987</v>
      </c>
      <c r="I120" s="35">
        <f t="shared" ca="1" si="22"/>
        <v>388.65482800000012</v>
      </c>
      <c r="J120" s="42">
        <f t="shared" ca="1" si="23"/>
        <v>1.1086901785714287</v>
      </c>
      <c r="K120" s="30">
        <f t="shared" ca="1" si="24"/>
        <v>0.9332031296992479</v>
      </c>
      <c r="L120" s="5">
        <f t="shared" ca="1" si="25"/>
        <v>0.86753309821428604</v>
      </c>
      <c r="N120" s="60" t="str">
        <f t="shared" ca="1" si="26"/>
        <v>OpenBLAS010000001</v>
      </c>
      <c r="O120" s="60" t="str">
        <f t="shared" ca="1" si="27"/>
        <v>OpenBLAS010000019</v>
      </c>
      <c r="P120" s="60" t="str">
        <f t="shared" ca="1" si="28"/>
        <v>OpenBLAS010000020</v>
      </c>
    </row>
    <row r="121" spans="2:16" x14ac:dyDescent="0.15">
      <c r="B121" s="4" t="str">
        <f ca="1">B$17</f>
        <v>OpenBLAS</v>
      </c>
      <c r="C121" s="9">
        <f ca="1">C$17</f>
        <v>10005</v>
      </c>
      <c r="D121" s="63">
        <f t="shared" ca="1" si="17"/>
        <v>1.5544321424975027E-4</v>
      </c>
      <c r="E121" s="30">
        <f t="shared" ca="1" si="18"/>
        <v>8.2447191387206076E-2</v>
      </c>
      <c r="F121" s="5">
        <f t="shared" ca="1" si="19"/>
        <v>4.0457670243015829E-3</v>
      </c>
      <c r="G121" s="49">
        <f t="shared" ca="1" si="20"/>
        <v>24.710540000000002</v>
      </c>
      <c r="H121" s="31">
        <f t="shared" ca="1" si="21"/>
        <v>389.77719599999995</v>
      </c>
      <c r="I121" s="35">
        <f t="shared" ca="1" si="22"/>
        <v>409.27680400000003</v>
      </c>
      <c r="J121" s="42">
        <f t="shared" ca="1" si="23"/>
        <v>1.1031491071428572</v>
      </c>
      <c r="K121" s="30">
        <f t="shared" ca="1" si="24"/>
        <v>0.91582987781954883</v>
      </c>
      <c r="L121" s="5">
        <f t="shared" ca="1" si="25"/>
        <v>0.91356429464285716</v>
      </c>
      <c r="N121" s="60" t="str">
        <f t="shared" ca="1" si="26"/>
        <v>OpenBLAS010005001</v>
      </c>
      <c r="O121" s="60" t="str">
        <f t="shared" ca="1" si="27"/>
        <v>OpenBLAS010005019</v>
      </c>
      <c r="P121" s="60" t="str">
        <f t="shared" ca="1" si="28"/>
        <v>OpenBLAS010005020</v>
      </c>
    </row>
    <row r="122" spans="2:16" ht="14" thickBot="1" x14ac:dyDescent="0.2">
      <c r="B122" s="6" t="str">
        <f ca="1">B$20</f>
        <v>OpenBLAS</v>
      </c>
      <c r="C122" s="10">
        <f ca="1">C$20</f>
        <v>10010</v>
      </c>
      <c r="D122" s="64">
        <f t="shared" ca="1" si="17"/>
        <v>1.6414831646001791E-4</v>
      </c>
      <c r="E122" s="36">
        <f t="shared" ca="1" si="18"/>
        <v>7.5114715678774202E-2</v>
      </c>
      <c r="F122" s="8">
        <f t="shared" ca="1" si="19"/>
        <v>2.531717480088918E-3</v>
      </c>
      <c r="G122" s="50">
        <f t="shared" ca="1" si="20"/>
        <v>24.945659999999997</v>
      </c>
      <c r="H122" s="37">
        <f t="shared" ca="1" si="21"/>
        <v>392.387384</v>
      </c>
      <c r="I122" s="38">
        <f t="shared" ca="1" si="22"/>
        <v>412.8972599999999</v>
      </c>
      <c r="J122" s="43">
        <f t="shared" ca="1" si="23"/>
        <v>1.1136455357142856</v>
      </c>
      <c r="K122" s="36">
        <f t="shared" ca="1" si="24"/>
        <v>0.92196283834586468</v>
      </c>
      <c r="L122" s="8">
        <f t="shared" ca="1" si="25"/>
        <v>0.92164566964285688</v>
      </c>
      <c r="N122" s="60" t="str">
        <f t="shared" ca="1" si="26"/>
        <v>OpenBLAS010010001</v>
      </c>
      <c r="O122" s="60" t="str">
        <f t="shared" ca="1" si="27"/>
        <v>OpenBLAS010010019</v>
      </c>
      <c r="P122" s="60" t="str">
        <f t="shared" ca="1" si="28"/>
        <v>OpenBLAS010010020</v>
      </c>
    </row>
    <row r="123" spans="2:16" x14ac:dyDescent="0.15">
      <c r="B123" s="18" t="str">
        <f ca="1">B$23</f>
        <v>IntelMKL</v>
      </c>
      <c r="C123" s="20">
        <f ca="1">C$23</f>
        <v>2500</v>
      </c>
      <c r="D123" s="65">
        <f t="shared" ca="1" si="17"/>
        <v>7.8281563126261268E-4</v>
      </c>
      <c r="E123" s="52">
        <f t="shared" ca="1" si="18"/>
        <v>0.12746021174471214</v>
      </c>
      <c r="F123" s="21">
        <f t="shared" ca="1" si="19"/>
        <v>0.17851947845864952</v>
      </c>
      <c r="G123" s="53">
        <f t="shared" ca="1" si="20"/>
        <v>24.463100000000001</v>
      </c>
      <c r="H123" s="54">
        <f t="shared" ca="1" si="21"/>
        <v>358.94894199999987</v>
      </c>
      <c r="I123" s="55">
        <f t="shared" ca="1" si="22"/>
        <v>413.44197200000002</v>
      </c>
      <c r="J123" s="51">
        <f t="shared" ca="1" si="23"/>
        <v>1.0921026785714287</v>
      </c>
      <c r="K123" s="52">
        <f t="shared" ca="1" si="24"/>
        <v>0.84339507048872153</v>
      </c>
      <c r="L123" s="21">
        <f t="shared" ca="1" si="25"/>
        <v>0.92286154464285719</v>
      </c>
      <c r="N123" s="60" t="str">
        <f t="shared" ca="1" si="26"/>
        <v>IntelMKL002500001</v>
      </c>
      <c r="O123" s="60" t="str">
        <f t="shared" ca="1" si="27"/>
        <v>IntelMKL002500019</v>
      </c>
      <c r="P123" s="60" t="str">
        <f t="shared" ca="1" si="28"/>
        <v>IntelMKL002500020</v>
      </c>
    </row>
    <row r="124" spans="2:16" x14ac:dyDescent="0.15">
      <c r="B124" s="4" t="str">
        <f ca="1">B$26</f>
        <v>IntelMKL</v>
      </c>
      <c r="C124" s="9">
        <f ca="1">C$26</f>
        <v>2505</v>
      </c>
      <c r="D124" s="63">
        <f t="shared" ca="1" si="17"/>
        <v>1.1660447761192745E-3</v>
      </c>
      <c r="E124" s="30">
        <f t="shared" ca="1" si="18"/>
        <v>1.4672023836395596E-2</v>
      </c>
      <c r="F124" s="5">
        <f t="shared" ca="1" si="19"/>
        <v>0.44988338810558692</v>
      </c>
      <c r="G124" s="49">
        <f t="shared" ca="1" si="20"/>
        <v>24.438400000000001</v>
      </c>
      <c r="H124" s="31">
        <f t="shared" ca="1" si="21"/>
        <v>354.81879800000002</v>
      </c>
      <c r="I124" s="35">
        <f t="shared" ca="1" si="22"/>
        <v>209.88473999999991</v>
      </c>
      <c r="J124" s="42">
        <f t="shared" ca="1" si="23"/>
        <v>1.0910000000000002</v>
      </c>
      <c r="K124" s="30">
        <f t="shared" ca="1" si="24"/>
        <v>0.83369078477443614</v>
      </c>
      <c r="L124" s="5">
        <f t="shared" ca="1" si="25"/>
        <v>0.46849272321428553</v>
      </c>
      <c r="N124" s="60" t="str">
        <f t="shared" ca="1" si="26"/>
        <v>IntelMKL002505001</v>
      </c>
      <c r="O124" s="60" t="str">
        <f t="shared" ca="1" si="27"/>
        <v>IntelMKL002505019</v>
      </c>
      <c r="P124" s="60" t="str">
        <f t="shared" ca="1" si="28"/>
        <v>IntelMKL002505020</v>
      </c>
    </row>
    <row r="125" spans="2:16" x14ac:dyDescent="0.15">
      <c r="B125" s="4" t="str">
        <f ca="1">B$29</f>
        <v>IntelMKL</v>
      </c>
      <c r="C125" s="9">
        <f ca="1">C$29</f>
        <v>2510</v>
      </c>
      <c r="D125" s="63">
        <f t="shared" ca="1" si="17"/>
        <v>8.5720519933925137E-4</v>
      </c>
      <c r="E125" s="30">
        <f t="shared" ca="1" si="18"/>
        <v>8.0155731134776854E-3</v>
      </c>
      <c r="F125" s="5">
        <f t="shared" ca="1" si="19"/>
        <v>0.18801768382539757</v>
      </c>
      <c r="G125" s="49">
        <f t="shared" ca="1" si="20"/>
        <v>24.64612</v>
      </c>
      <c r="H125" s="31">
        <f t="shared" ca="1" si="21"/>
        <v>362.17415599999987</v>
      </c>
      <c r="I125" s="35">
        <f t="shared" ca="1" si="22"/>
        <v>402.06327799999997</v>
      </c>
      <c r="J125" s="42">
        <f t="shared" ca="1" si="23"/>
        <v>1.1002732142857143</v>
      </c>
      <c r="K125" s="30">
        <f t="shared" ca="1" si="24"/>
        <v>0.85097311090225536</v>
      </c>
      <c r="L125" s="5">
        <f t="shared" ca="1" si="25"/>
        <v>0.89746267410714275</v>
      </c>
      <c r="N125" s="60" t="str">
        <f t="shared" ca="1" si="26"/>
        <v>IntelMKL002510001</v>
      </c>
      <c r="O125" s="60" t="str">
        <f t="shared" ca="1" si="27"/>
        <v>IntelMKL002510019</v>
      </c>
      <c r="P125" s="60" t="str">
        <f t="shared" ca="1" si="28"/>
        <v>IntelMKL002510020</v>
      </c>
    </row>
    <row r="126" spans="2:16" x14ac:dyDescent="0.15">
      <c r="B126" s="4" t="str">
        <f ca="1">B$32</f>
        <v>IntelMKL</v>
      </c>
      <c r="C126" s="9">
        <f ca="1">C$32</f>
        <v>10000</v>
      </c>
      <c r="D126" s="63">
        <f t="shared" ca="1" si="17"/>
        <v>5.9760357240215935E-4</v>
      </c>
      <c r="E126" s="30">
        <f t="shared" ca="1" si="18"/>
        <v>1.84776763611295E-2</v>
      </c>
      <c r="F126" s="5">
        <f t="shared" ca="1" si="19"/>
        <v>7.0699528727287625E-3</v>
      </c>
      <c r="G126" s="49">
        <f t="shared" ca="1" si="20"/>
        <v>24.848380000000002</v>
      </c>
      <c r="H126" s="31">
        <f t="shared" ca="1" si="21"/>
        <v>394.83606800000007</v>
      </c>
      <c r="I126" s="35">
        <f t="shared" ca="1" si="22"/>
        <v>431.09563599999996</v>
      </c>
      <c r="J126" s="42">
        <f t="shared" ca="1" si="23"/>
        <v>1.1093026785714288</v>
      </c>
      <c r="K126" s="30">
        <f t="shared" ca="1" si="24"/>
        <v>0.9277163251879702</v>
      </c>
      <c r="L126" s="5">
        <f t="shared" ca="1" si="25"/>
        <v>0.96226704464285706</v>
      </c>
      <c r="N126" s="60" t="str">
        <f t="shared" ca="1" si="26"/>
        <v>IntelMKL010000001</v>
      </c>
      <c r="O126" s="60" t="str">
        <f t="shared" ca="1" si="27"/>
        <v>IntelMKL010000019</v>
      </c>
      <c r="P126" s="60" t="str">
        <f t="shared" ca="1" si="28"/>
        <v>IntelMKL010000020</v>
      </c>
    </row>
    <row r="127" spans="2:16" x14ac:dyDescent="0.15">
      <c r="B127" s="4" t="str">
        <f ca="1">B$35</f>
        <v>IntelMKL</v>
      </c>
      <c r="C127" s="9">
        <f ca="1">C$35</f>
        <v>10005</v>
      </c>
      <c r="D127" s="63">
        <f t="shared" ca="1" si="17"/>
        <v>1.6443765043573476E-4</v>
      </c>
      <c r="E127" s="30">
        <f t="shared" ca="1" si="18"/>
        <v>1.7115302762859819E-2</v>
      </c>
      <c r="F127" s="5">
        <f t="shared" ca="1" si="19"/>
        <v>8.6732317019499738E-3</v>
      </c>
      <c r="G127" s="49">
        <f t="shared" ca="1" si="20"/>
        <v>24.764600000000002</v>
      </c>
      <c r="H127" s="31">
        <f t="shared" ca="1" si="21"/>
        <v>391.80556799999999</v>
      </c>
      <c r="I127" s="35">
        <f t="shared" ca="1" si="22"/>
        <v>430.01227599999993</v>
      </c>
      <c r="J127" s="42">
        <f t="shared" ca="1" si="23"/>
        <v>1.1055625000000002</v>
      </c>
      <c r="K127" s="30">
        <f t="shared" ca="1" si="24"/>
        <v>0.92059578947368426</v>
      </c>
      <c r="L127" s="5">
        <f t="shared" ca="1" si="25"/>
        <v>0.95984883035714275</v>
      </c>
      <c r="N127" s="60" t="str">
        <f t="shared" ca="1" si="26"/>
        <v>IntelMKL010005001</v>
      </c>
      <c r="O127" s="60" t="str">
        <f t="shared" ca="1" si="27"/>
        <v>IntelMKL010005019</v>
      </c>
      <c r="P127" s="60" t="str">
        <f t="shared" ca="1" si="28"/>
        <v>IntelMKL010005020</v>
      </c>
    </row>
    <row r="128" spans="2:16" ht="14" thickBot="1" x14ac:dyDescent="0.2">
      <c r="B128" s="6" t="str">
        <f ca="1">B$38</f>
        <v>IntelMKL</v>
      </c>
      <c r="C128" s="10">
        <f ca="1">C$38</f>
        <v>10010</v>
      </c>
      <c r="D128" s="64">
        <f t="shared" ca="1" si="17"/>
        <v>2.6725371327267672E-4</v>
      </c>
      <c r="E128" s="36">
        <f t="shared" ca="1" si="18"/>
        <v>1.9355362037629727E-2</v>
      </c>
      <c r="F128" s="8">
        <f t="shared" ca="1" si="19"/>
        <v>7.8396919065871068E-3</v>
      </c>
      <c r="G128" s="50">
        <f t="shared" ca="1" si="20"/>
        <v>24.935480000000002</v>
      </c>
      <c r="H128" s="37">
        <f t="shared" ca="1" si="21"/>
        <v>402.78657600000008</v>
      </c>
      <c r="I128" s="38">
        <f t="shared" ca="1" si="22"/>
        <v>433.23657600000007</v>
      </c>
      <c r="J128" s="43">
        <f t="shared" ca="1" si="23"/>
        <v>1.1131910714285715</v>
      </c>
      <c r="K128" s="36">
        <f t="shared" ca="1" si="24"/>
        <v>0.94639703007518827</v>
      </c>
      <c r="L128" s="8">
        <f t="shared" ca="1" si="25"/>
        <v>0.96704592857142868</v>
      </c>
      <c r="N128" s="60" t="str">
        <f t="shared" ca="1" si="26"/>
        <v>IntelMKL010010001</v>
      </c>
      <c r="O128" s="60" t="str">
        <f t="shared" ca="1" si="27"/>
        <v>IntelMKL010010019</v>
      </c>
      <c r="P128" s="60" t="str">
        <f t="shared" ca="1" si="28"/>
        <v>IntelMKL010010020</v>
      </c>
    </row>
  </sheetData>
  <mergeCells count="7">
    <mergeCell ref="E3:H3"/>
    <mergeCell ref="I3:K3"/>
    <mergeCell ref="D47:F47"/>
    <mergeCell ref="G47:I47"/>
    <mergeCell ref="D115:F115"/>
    <mergeCell ref="G115:I115"/>
    <mergeCell ref="J115:L1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2016-02-22T13:15:22Z</dcterms:modified>
  <dc:language>nl-NL</dc:language>
</cp:coreProperties>
</file>