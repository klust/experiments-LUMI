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709"/>
  <workbookPr/>
  <mc:AlternateContent xmlns:mc="http://schemas.openxmlformats.org/markup-compatibility/2006">
    <mc:Choice Requires="x15">
      <x15ac:absPath xmlns:x15ac="http://schemas.microsoft.com/office/spreadsheetml/2010/11/ac" url="/Users/KLust/Projects/TestProgramsCluster-WS/DemoPrograms/Results/"/>
    </mc:Choice>
  </mc:AlternateContent>
  <bookViews>
    <workbookView xWindow="20" yWindow="2040" windowWidth="27080" windowHeight="22600" tabRatio="987"/>
  </bookViews>
  <sheets>
    <sheet name="test_OpenBLAS_OSX" sheetId="1" r:id="rId1"/>
  </sheets>
  <calcPr calcId="150001" concurrentCalc="0"/>
  <extLst>
    <ext xmlns:mx="http://schemas.microsoft.com/office/mac/excel/2008/main" uri="{7523E5D3-25F3-A5E0-1632-64F254C22452}">
      <mx:ArchID Flags="2"/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I45" i="1" l="1"/>
  <c r="H45" i="1"/>
  <c r="G45" i="1"/>
  <c r="E45" i="1"/>
  <c r="D45" i="1"/>
  <c r="C45" i="1"/>
  <c r="F45" i="1"/>
  <c r="J45" i="1"/>
  <c r="J44" i="1"/>
  <c r="F44" i="1"/>
  <c r="I44" i="1"/>
  <c r="H44" i="1"/>
  <c r="G44" i="1"/>
  <c r="E44" i="1"/>
  <c r="D44" i="1"/>
  <c r="C44" i="1"/>
  <c r="J43" i="1"/>
  <c r="F43" i="1"/>
  <c r="I43" i="1"/>
  <c r="H43" i="1"/>
  <c r="G43" i="1"/>
  <c r="E43" i="1"/>
  <c r="D43" i="1"/>
  <c r="C43" i="1"/>
</calcChain>
</file>

<file path=xl/sharedStrings.xml><?xml version="1.0" encoding="utf-8"?>
<sst xmlns="http://schemas.openxmlformats.org/spreadsheetml/2006/main" count="64" uniqueCount="20">
  <si>
    <t>Matrix size:  2500* 2500,    47.68MB per array, Single-threaded library</t>
  </si>
  <si>
    <t>Variant</t>
  </si>
  <si>
    <t>nrows</t>
  </si>
  <si>
    <t>nthreads</t>
  </si>
  <si>
    <t>time (s)</t>
  </si>
  <si>
    <t>Gflops</t>
  </si>
  <si>
    <t>speedup</t>
  </si>
  <si>
    <t>efficiency (%)</t>
  </si>
  <si>
    <t>CPU time (s)</t>
  </si>
  <si>
    <t>OpenBLAS</t>
  </si>
  <si>
    <t>Matrix size:  2500* 2500,    47.68MB per array, multi-threaded library</t>
  </si>
  <si>
    <t>Results:</t>
  </si>
  <si>
    <t>Library</t>
  </si>
  <si>
    <t>Threads</t>
  </si>
  <si>
    <t>st</t>
  </si>
  <si>
    <t>mt</t>
  </si>
  <si>
    <t>avg</t>
  </si>
  <si>
    <t>max</t>
  </si>
  <si>
    <t>min</t>
  </si>
  <si>
    <t>speling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</si>
</sst>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0" fontId="0" fillId="0" borderId="0" xfId="0" applyNumberFormat="1"/>
  </cellXfs>
  <cellStyles count="1">
    <cellStyle name="Stand.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"/>
  <sheetViews>
    <sheetView tabSelected="1" zoomScale="120" zoomScaleNormal="120" zoomScalePageLayoutView="120" workbookViewId="0">
      <selection activeCell="A49" sqref="A49"/>
    </sheetView>
  </sheetViews>
  <sheetFormatPr baseColWidth="10" defaultColWidth="8.83203125" defaultRowHeight="13" x14ac:dyDescent="0.15"/>
  <sheetData>
    <row r="1" spans="1:8" x14ac:dyDescent="0.15">
      <c r="A1" t="s">
        <v>0</v>
      </c>
    </row>
    <row r="2" spans="1:8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15">
      <c r="A3" t="s">
        <v>9</v>
      </c>
      <c r="B3">
        <v>2500</v>
      </c>
      <c r="C3">
        <v>1</v>
      </c>
      <c r="D3">
        <v>1.0349999999999999</v>
      </c>
      <c r="E3">
        <v>30.194199999999999</v>
      </c>
      <c r="F3">
        <v>1.0840000000000001</v>
      </c>
      <c r="G3">
        <v>108.35299999999999</v>
      </c>
      <c r="H3">
        <v>1.0339</v>
      </c>
    </row>
    <row r="4" spans="1:8" x14ac:dyDescent="0.15">
      <c r="A4" t="s">
        <v>9</v>
      </c>
      <c r="B4">
        <v>2500</v>
      </c>
      <c r="C4">
        <v>1</v>
      </c>
      <c r="D4">
        <v>1.0318000000000001</v>
      </c>
      <c r="E4">
        <v>30.286799999999999</v>
      </c>
      <c r="F4">
        <v>1.087</v>
      </c>
      <c r="G4">
        <v>108.6853</v>
      </c>
      <c r="H4">
        <v>1.0309999999999999</v>
      </c>
    </row>
    <row r="5" spans="1:8" x14ac:dyDescent="0.15">
      <c r="A5" t="s">
        <v>9</v>
      </c>
      <c r="B5">
        <v>2500</v>
      </c>
      <c r="C5">
        <v>1</v>
      </c>
      <c r="D5">
        <v>1.0162</v>
      </c>
      <c r="E5">
        <v>30.753</v>
      </c>
      <c r="F5">
        <v>1.1040000000000001</v>
      </c>
      <c r="G5">
        <v>110.35809999999999</v>
      </c>
      <c r="H5">
        <v>1.0152000000000001</v>
      </c>
    </row>
    <row r="6" spans="1:8" x14ac:dyDescent="0.15">
      <c r="A6" t="s">
        <v>9</v>
      </c>
      <c r="B6">
        <v>2500</v>
      </c>
      <c r="C6">
        <v>1</v>
      </c>
      <c r="D6">
        <v>1.0164</v>
      </c>
      <c r="E6">
        <v>30.746600000000001</v>
      </c>
      <c r="F6">
        <v>1.103</v>
      </c>
      <c r="G6">
        <v>110.3351</v>
      </c>
      <c r="H6">
        <v>1.0155000000000001</v>
      </c>
    </row>
    <row r="7" spans="1:8" x14ac:dyDescent="0.15">
      <c r="A7" t="s">
        <v>9</v>
      </c>
      <c r="B7">
        <v>2500</v>
      </c>
      <c r="C7">
        <v>1</v>
      </c>
      <c r="D7">
        <v>1.0355000000000001</v>
      </c>
      <c r="E7">
        <v>30.1797</v>
      </c>
      <c r="F7">
        <v>1.083</v>
      </c>
      <c r="G7">
        <v>108.3009</v>
      </c>
      <c r="H7">
        <v>1.0343</v>
      </c>
    </row>
    <row r="8" spans="1:8" x14ac:dyDescent="0.15">
      <c r="A8" t="s">
        <v>9</v>
      </c>
      <c r="B8">
        <v>2500</v>
      </c>
      <c r="C8">
        <v>1</v>
      </c>
      <c r="D8">
        <v>1.0182</v>
      </c>
      <c r="E8">
        <v>30.692799999999998</v>
      </c>
      <c r="F8">
        <v>1.101</v>
      </c>
      <c r="G8">
        <v>110.14230000000001</v>
      </c>
      <c r="H8">
        <v>1.0172000000000001</v>
      </c>
    </row>
    <row r="9" spans="1:8" x14ac:dyDescent="0.15">
      <c r="A9" t="s">
        <v>9</v>
      </c>
      <c r="B9">
        <v>2500</v>
      </c>
      <c r="C9">
        <v>1</v>
      </c>
      <c r="D9">
        <v>1.0279</v>
      </c>
      <c r="E9">
        <v>30.400400000000001</v>
      </c>
      <c r="F9">
        <v>1.091</v>
      </c>
      <c r="G9">
        <v>109.0928</v>
      </c>
      <c r="H9">
        <v>1.0269999999999999</v>
      </c>
    </row>
    <row r="10" spans="1:8" x14ac:dyDescent="0.15">
      <c r="A10" t="s">
        <v>9</v>
      </c>
      <c r="B10">
        <v>2500</v>
      </c>
      <c r="C10">
        <v>1</v>
      </c>
      <c r="D10">
        <v>1.0286999999999999</v>
      </c>
      <c r="E10">
        <v>30.378599999999999</v>
      </c>
      <c r="F10">
        <v>1.0900000000000001</v>
      </c>
      <c r="G10">
        <v>109.0146</v>
      </c>
      <c r="H10">
        <v>1.0279</v>
      </c>
    </row>
    <row r="11" spans="1:8" x14ac:dyDescent="0.15">
      <c r="A11" t="s">
        <v>9</v>
      </c>
      <c r="B11">
        <v>2500</v>
      </c>
      <c r="C11">
        <v>1</v>
      </c>
      <c r="D11">
        <v>1.0170999999999999</v>
      </c>
      <c r="E11">
        <v>30.725000000000001</v>
      </c>
      <c r="F11">
        <v>1.103</v>
      </c>
      <c r="G11">
        <v>110.2577</v>
      </c>
      <c r="H11">
        <v>1.0157</v>
      </c>
    </row>
    <row r="12" spans="1:8" x14ac:dyDescent="0.15">
      <c r="A12" t="s">
        <v>9</v>
      </c>
      <c r="B12">
        <v>2500</v>
      </c>
      <c r="C12">
        <v>1</v>
      </c>
      <c r="D12">
        <v>1.0490999999999999</v>
      </c>
      <c r="E12">
        <v>29.788</v>
      </c>
      <c r="F12">
        <v>1.069</v>
      </c>
      <c r="G12">
        <v>106.8954</v>
      </c>
      <c r="H12">
        <v>1.0461</v>
      </c>
    </row>
    <row r="14" spans="1:8" x14ac:dyDescent="0.15">
      <c r="A14" t="s">
        <v>10</v>
      </c>
    </row>
    <row r="15" spans="1:8" x14ac:dyDescent="0.15">
      <c r="A15" t="s">
        <v>1</v>
      </c>
      <c r="B15" t="s">
        <v>2</v>
      </c>
      <c r="C15" t="s">
        <v>3</v>
      </c>
      <c r="D15" t="s">
        <v>4</v>
      </c>
      <c r="E15" t="s">
        <v>5</v>
      </c>
      <c r="F15" t="s">
        <v>6</v>
      </c>
      <c r="G15" t="s">
        <v>7</v>
      </c>
      <c r="H15" t="s">
        <v>8</v>
      </c>
    </row>
    <row r="16" spans="1:8" x14ac:dyDescent="0.15">
      <c r="A16" t="s">
        <v>9</v>
      </c>
      <c r="B16">
        <v>2500</v>
      </c>
      <c r="C16">
        <v>1</v>
      </c>
      <c r="D16">
        <v>1.0586</v>
      </c>
      <c r="E16">
        <v>29.520900000000001</v>
      </c>
      <c r="F16">
        <v>1.044</v>
      </c>
      <c r="G16">
        <v>104.41630000000001</v>
      </c>
      <c r="H16">
        <v>1.0571999999999999</v>
      </c>
    </row>
    <row r="17" spans="1:8" x14ac:dyDescent="0.15">
      <c r="A17" t="s">
        <v>9</v>
      </c>
      <c r="B17">
        <v>2500</v>
      </c>
      <c r="C17">
        <v>1</v>
      </c>
      <c r="D17">
        <v>1.0367999999999999</v>
      </c>
      <c r="E17">
        <v>30.141500000000001</v>
      </c>
      <c r="F17">
        <v>1.0660000000000001</v>
      </c>
      <c r="G17">
        <v>106.6114</v>
      </c>
      <c r="H17">
        <v>1.0357000000000001</v>
      </c>
    </row>
    <row r="18" spans="1:8" x14ac:dyDescent="0.15">
      <c r="A18" t="s">
        <v>9</v>
      </c>
      <c r="B18">
        <v>2500</v>
      </c>
      <c r="C18">
        <v>1</v>
      </c>
      <c r="D18">
        <v>1.0319</v>
      </c>
      <c r="E18">
        <v>30.283899999999999</v>
      </c>
      <c r="F18">
        <v>1.071</v>
      </c>
      <c r="G18">
        <v>107.1151</v>
      </c>
      <c r="H18">
        <v>1.0309999999999999</v>
      </c>
    </row>
    <row r="19" spans="1:8" x14ac:dyDescent="0.15">
      <c r="A19" t="s">
        <v>9</v>
      </c>
      <c r="B19">
        <v>2500</v>
      </c>
      <c r="C19">
        <v>1</v>
      </c>
      <c r="D19">
        <v>1.0399</v>
      </c>
      <c r="E19">
        <v>30.052</v>
      </c>
      <c r="F19">
        <v>1.0629999999999999</v>
      </c>
      <c r="G19">
        <v>106.2949</v>
      </c>
      <c r="H19">
        <v>1.0387</v>
      </c>
    </row>
    <row r="20" spans="1:8" x14ac:dyDescent="0.15">
      <c r="A20" t="s">
        <v>9</v>
      </c>
      <c r="B20">
        <v>2500</v>
      </c>
      <c r="C20">
        <v>1</v>
      </c>
      <c r="D20">
        <v>1.0526</v>
      </c>
      <c r="E20">
        <v>29.6876</v>
      </c>
      <c r="F20">
        <v>1.05</v>
      </c>
      <c r="G20">
        <v>105.00579999999999</v>
      </c>
      <c r="H20">
        <v>1.0505</v>
      </c>
    </row>
    <row r="21" spans="1:8" x14ac:dyDescent="0.15">
      <c r="A21" t="s">
        <v>9</v>
      </c>
      <c r="B21">
        <v>2500</v>
      </c>
      <c r="C21">
        <v>1</v>
      </c>
      <c r="D21">
        <v>1.0361</v>
      </c>
      <c r="E21">
        <v>30.1599</v>
      </c>
      <c r="F21">
        <v>1.0669999999999999</v>
      </c>
      <c r="G21">
        <v>106.6764</v>
      </c>
      <c r="H21">
        <v>1.0350999999999999</v>
      </c>
    </row>
    <row r="22" spans="1:8" x14ac:dyDescent="0.15">
      <c r="A22" t="s">
        <v>9</v>
      </c>
      <c r="B22">
        <v>2500</v>
      </c>
      <c r="C22">
        <v>1</v>
      </c>
      <c r="D22">
        <v>1.0535000000000001</v>
      </c>
      <c r="E22">
        <v>29.662099999999999</v>
      </c>
      <c r="F22">
        <v>1.0489999999999999</v>
      </c>
      <c r="G22">
        <v>104.9156</v>
      </c>
      <c r="H22">
        <v>1.0512999999999999</v>
      </c>
    </row>
    <row r="23" spans="1:8" x14ac:dyDescent="0.15">
      <c r="A23" t="s">
        <v>9</v>
      </c>
      <c r="B23">
        <v>2500</v>
      </c>
      <c r="C23">
        <v>1</v>
      </c>
      <c r="D23">
        <v>1.0468</v>
      </c>
      <c r="E23">
        <v>29.851600000000001</v>
      </c>
      <c r="F23">
        <v>1.056</v>
      </c>
      <c r="G23">
        <v>105.5859</v>
      </c>
      <c r="H23">
        <v>1.0439000000000001</v>
      </c>
    </row>
    <row r="24" spans="1:8" x14ac:dyDescent="0.15">
      <c r="A24" t="s">
        <v>9</v>
      </c>
      <c r="B24">
        <v>2500</v>
      </c>
      <c r="C24">
        <v>1</v>
      </c>
      <c r="D24">
        <v>1.0533999999999999</v>
      </c>
      <c r="E24">
        <v>29.666799999999999</v>
      </c>
      <c r="F24">
        <v>1.0489999999999999</v>
      </c>
      <c r="G24">
        <v>104.93219999999999</v>
      </c>
      <c r="H24">
        <v>1.0518000000000001</v>
      </c>
    </row>
    <row r="25" spans="1:8" x14ac:dyDescent="0.15">
      <c r="A25" t="s">
        <v>9</v>
      </c>
      <c r="B25">
        <v>2500</v>
      </c>
      <c r="C25">
        <v>1</v>
      </c>
      <c r="D25">
        <v>1.0159</v>
      </c>
      <c r="E25">
        <v>30.760200000000001</v>
      </c>
      <c r="F25">
        <v>1.0880000000000001</v>
      </c>
      <c r="G25">
        <v>108.7996</v>
      </c>
      <c r="H25">
        <v>1.0150999999999999</v>
      </c>
    </row>
    <row r="27" spans="1:8" x14ac:dyDescent="0.15">
      <c r="A27" t="s">
        <v>9</v>
      </c>
      <c r="B27">
        <v>2500</v>
      </c>
      <c r="C27">
        <v>2</v>
      </c>
      <c r="D27">
        <v>0.53469999999999995</v>
      </c>
      <c r="E27">
        <v>58.438499999999998</v>
      </c>
      <c r="F27">
        <v>2.0830000000000002</v>
      </c>
      <c r="G27">
        <v>104.1546</v>
      </c>
      <c r="H27">
        <v>1.0673999999999999</v>
      </c>
    </row>
    <row r="28" spans="1:8" x14ac:dyDescent="0.15">
      <c r="A28" t="s">
        <v>9</v>
      </c>
      <c r="B28">
        <v>2500</v>
      </c>
      <c r="C28">
        <v>2</v>
      </c>
      <c r="D28">
        <v>0.54610000000000003</v>
      </c>
      <c r="E28">
        <v>57.222000000000001</v>
      </c>
      <c r="F28">
        <v>2.04</v>
      </c>
      <c r="G28">
        <v>101.9863</v>
      </c>
      <c r="H28">
        <v>1.0892999999999999</v>
      </c>
    </row>
    <row r="29" spans="1:8" x14ac:dyDescent="0.15">
      <c r="A29" t="s">
        <v>9</v>
      </c>
      <c r="B29">
        <v>2500</v>
      </c>
      <c r="C29">
        <v>2</v>
      </c>
      <c r="D29">
        <v>0.53779999999999994</v>
      </c>
      <c r="E29">
        <v>58.106000000000002</v>
      </c>
      <c r="F29">
        <v>2.0710000000000002</v>
      </c>
      <c r="G29">
        <v>103.56189999999999</v>
      </c>
      <c r="H29">
        <v>1.0729</v>
      </c>
    </row>
    <row r="30" spans="1:8" x14ac:dyDescent="0.15">
      <c r="A30" t="s">
        <v>9</v>
      </c>
      <c r="B30">
        <v>2500</v>
      </c>
      <c r="C30">
        <v>2</v>
      </c>
      <c r="D30">
        <v>0.54690000000000005</v>
      </c>
      <c r="E30">
        <v>57.139499999999998</v>
      </c>
      <c r="F30">
        <v>2.0369999999999999</v>
      </c>
      <c r="G30">
        <v>101.83929999999999</v>
      </c>
      <c r="H30">
        <v>1.0902000000000001</v>
      </c>
    </row>
    <row r="31" spans="1:8" x14ac:dyDescent="0.15">
      <c r="A31" t="s">
        <v>9</v>
      </c>
      <c r="B31">
        <v>2500</v>
      </c>
      <c r="C31">
        <v>2</v>
      </c>
      <c r="D31">
        <v>0.54190000000000005</v>
      </c>
      <c r="E31">
        <v>57.662100000000002</v>
      </c>
      <c r="F31">
        <v>2.0550000000000002</v>
      </c>
      <c r="G31">
        <v>102.77079999999999</v>
      </c>
      <c r="H31">
        <v>1.0781000000000001</v>
      </c>
    </row>
    <row r="32" spans="1:8" x14ac:dyDescent="0.15">
      <c r="A32" t="s">
        <v>9</v>
      </c>
      <c r="B32">
        <v>2500</v>
      </c>
      <c r="C32">
        <v>2</v>
      </c>
      <c r="D32">
        <v>0.55500000000000005</v>
      </c>
      <c r="E32">
        <v>56.305</v>
      </c>
      <c r="F32">
        <v>2.0070000000000001</v>
      </c>
      <c r="G32">
        <v>100.352</v>
      </c>
      <c r="H32">
        <v>1.1032</v>
      </c>
    </row>
    <row r="33" spans="1:10" x14ac:dyDescent="0.15">
      <c r="A33" t="s">
        <v>9</v>
      </c>
      <c r="B33">
        <v>2500</v>
      </c>
      <c r="C33">
        <v>2</v>
      </c>
      <c r="D33">
        <v>0.53779999999999994</v>
      </c>
      <c r="E33">
        <v>58.105800000000002</v>
      </c>
      <c r="F33">
        <v>2.0710000000000002</v>
      </c>
      <c r="G33">
        <v>103.5616</v>
      </c>
      <c r="H33">
        <v>1.0717000000000001</v>
      </c>
    </row>
    <row r="34" spans="1:10" x14ac:dyDescent="0.15">
      <c r="A34" t="s">
        <v>9</v>
      </c>
      <c r="B34">
        <v>2500</v>
      </c>
      <c r="C34">
        <v>2</v>
      </c>
      <c r="D34">
        <v>0.53790000000000004</v>
      </c>
      <c r="E34">
        <v>58.094499999999996</v>
      </c>
      <c r="F34">
        <v>2.0710000000000002</v>
      </c>
      <c r="G34">
        <v>103.54130000000001</v>
      </c>
      <c r="H34">
        <v>1.0729</v>
      </c>
    </row>
    <row r="35" spans="1:10" x14ac:dyDescent="0.15">
      <c r="A35" t="s">
        <v>9</v>
      </c>
      <c r="B35">
        <v>2500</v>
      </c>
      <c r="C35">
        <v>2</v>
      </c>
      <c r="D35">
        <v>0.57199999999999995</v>
      </c>
      <c r="E35">
        <v>54.633299999999998</v>
      </c>
      <c r="F35">
        <v>1.9470000000000001</v>
      </c>
      <c r="G35">
        <v>97.372600000000006</v>
      </c>
      <c r="H35">
        <v>1.1402000000000001</v>
      </c>
    </row>
    <row r="36" spans="1:10" x14ac:dyDescent="0.15">
      <c r="A36" t="s">
        <v>9</v>
      </c>
      <c r="B36">
        <v>2500</v>
      </c>
      <c r="C36">
        <v>2</v>
      </c>
      <c r="D36">
        <v>0.54079999999999995</v>
      </c>
      <c r="E36">
        <v>57.781399999999998</v>
      </c>
      <c r="F36">
        <v>2.06</v>
      </c>
      <c r="G36">
        <v>102.98350000000001</v>
      </c>
      <c r="H36">
        <v>1.0795999999999999</v>
      </c>
    </row>
    <row r="39" spans="1:10" x14ac:dyDescent="0.15">
      <c r="A39" t="s">
        <v>11</v>
      </c>
    </row>
    <row r="41" spans="1:10" x14ac:dyDescent="0.15">
      <c r="C41" s="1" t="s">
        <v>4</v>
      </c>
      <c r="D41" s="1"/>
      <c r="E41" s="1"/>
      <c r="F41" s="1"/>
      <c r="G41" s="1" t="s">
        <v>5</v>
      </c>
      <c r="H41" s="1"/>
      <c r="I41" s="1"/>
      <c r="J41" s="1"/>
    </row>
    <row r="42" spans="1:10" x14ac:dyDescent="0.15">
      <c r="A42" t="s">
        <v>12</v>
      </c>
      <c r="B42" s="2" t="s">
        <v>13</v>
      </c>
      <c r="C42" s="2" t="s">
        <v>16</v>
      </c>
      <c r="D42" s="2" t="s">
        <v>17</v>
      </c>
      <c r="E42" s="2" t="s">
        <v>18</v>
      </c>
      <c r="F42" s="2" t="s">
        <v>19</v>
      </c>
      <c r="G42" s="2" t="s">
        <v>16</v>
      </c>
      <c r="H42" s="2" t="s">
        <v>17</v>
      </c>
      <c r="I42" s="2" t="s">
        <v>18</v>
      </c>
      <c r="J42" s="2" t="s">
        <v>19</v>
      </c>
    </row>
    <row r="43" spans="1:10" x14ac:dyDescent="0.15">
      <c r="A43" t="s">
        <v>14</v>
      </c>
      <c r="B43">
        <v>1</v>
      </c>
      <c r="C43">
        <f>AVERAGE($D3:$D12)</f>
        <v>1.0275899999999998</v>
      </c>
      <c r="D43">
        <f>MAX($D3:$D12)</f>
        <v>1.0490999999999999</v>
      </c>
      <c r="E43">
        <f>MIN($D3:$D12)</f>
        <v>1.0162</v>
      </c>
      <c r="F43" s="3">
        <f>(D43-E43)/C43</f>
        <v>3.2016660341186595E-2</v>
      </c>
      <c r="G43">
        <f>AVERAGE($E3:$E12)</f>
        <v>30.41451</v>
      </c>
      <c r="H43">
        <f>MAX($E3:$E12)</f>
        <v>30.753</v>
      </c>
      <c r="I43">
        <f>MIN($E3:$E12)</f>
        <v>29.788</v>
      </c>
      <c r="J43" s="3">
        <f>(H43-I43)/G43</f>
        <v>3.1728277062494183E-2</v>
      </c>
    </row>
    <row r="44" spans="1:10" x14ac:dyDescent="0.15">
      <c r="A44" t="s">
        <v>15</v>
      </c>
      <c r="B44">
        <v>1</v>
      </c>
      <c r="C44">
        <f>AVERAGE($D16:$D25)</f>
        <v>1.0425499999999999</v>
      </c>
      <c r="D44">
        <f>MAX($D16:$D25)</f>
        <v>1.0586</v>
      </c>
      <c r="E44">
        <f>MIN($D16:$D25)</f>
        <v>1.0159</v>
      </c>
      <c r="F44" s="3">
        <f>(D44-E44)/C44</f>
        <v>4.0957268236535387E-2</v>
      </c>
      <c r="G44">
        <f>AVERAGE($E16:$E25)</f>
        <v>29.978649999999998</v>
      </c>
      <c r="H44">
        <f>MAX($E16:$E25)</f>
        <v>30.760200000000001</v>
      </c>
      <c r="I44">
        <f>MIN($E16:$E25)</f>
        <v>29.520900000000001</v>
      </c>
      <c r="J44" s="3">
        <f>(H44-I44)/G44</f>
        <v>4.1339419887153027E-2</v>
      </c>
    </row>
    <row r="45" spans="1:10" x14ac:dyDescent="0.15">
      <c r="A45" t="s">
        <v>15</v>
      </c>
      <c r="B45">
        <v>2</v>
      </c>
      <c r="C45">
        <f>AVERAGE($D27:$D36)</f>
        <v>0.54508999999999996</v>
      </c>
      <c r="D45">
        <f>MAX($D27:$D36)</f>
        <v>0.57199999999999995</v>
      </c>
      <c r="E45">
        <f>MIN($D27:$D36)</f>
        <v>0.53469999999999995</v>
      </c>
      <c r="F45" s="3">
        <f>(D45-E45)/C45</f>
        <v>6.8429066759617685E-2</v>
      </c>
      <c r="G45">
        <f>AVERAGE($E27:$E36)</f>
        <v>57.348809999999993</v>
      </c>
      <c r="H45">
        <f>MAX($E27:$E36)</f>
        <v>58.438499999999998</v>
      </c>
      <c r="I45">
        <f>MIN($E27:$E36)</f>
        <v>54.633299999999998</v>
      </c>
      <c r="J45" s="3">
        <f>(H45-I45)/G45</f>
        <v>6.6351856298325976E-2</v>
      </c>
    </row>
  </sheetData>
  <mergeCells count="2">
    <mergeCell ref="C41:F41"/>
    <mergeCell ref="G41:J41"/>
  </mergeCells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Roman,Standaard"&amp;12&amp;A</oddHeader>
    <oddFooter>&amp;C&amp;"Times New Roman,Standaard"&amp;12Pagina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</TotalTime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test_OpenBLAS_OSX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Kurt Lust</cp:lastModifiedBy>
  <cp:revision>1</cp:revision>
  <dcterms:modified xsi:type="dcterms:W3CDTF">2016-02-09T10:44:45Z</dcterms:modified>
  <dc:language>nl-NL</dc:language>
</cp:coreProperties>
</file>